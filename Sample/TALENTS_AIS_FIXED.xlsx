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18720" windowHeight="15480" tabRatio="500" firstSheet="1" activeTab="7" autoFilterDateGrouping="1"/>
  </bookViews>
  <sheets>
    <sheet xmlns:r="http://schemas.openxmlformats.org/officeDocument/2006/relationships" name="Navigation" sheetId="1" state="visible" r:id="rId1"/>
    <sheet xmlns:r="http://schemas.openxmlformats.org/officeDocument/2006/relationships" name="Revenue_Log" sheetId="2" state="visible" r:id="rId2"/>
    <sheet xmlns:r="http://schemas.openxmlformats.org/officeDocument/2006/relationships" name="Expenses_Log" sheetId="3" state="visible" r:id="rId3"/>
    <sheet xmlns:r="http://schemas.openxmlformats.org/officeDocument/2006/relationships" name="Staff_Salaries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General_Ledger" sheetId="8" state="visible" r:id="rId8"/>
    <sheet xmlns:r="http://schemas.openxmlformats.org/officeDocument/2006/relationships" name="Profit_Loss" sheetId="9" state="visible" r:id="rId9"/>
    <sheet xmlns:r="http://schemas.openxmlformats.org/officeDocument/2006/relationships" name="Cash_Flow" sheetId="10" state="visible" r:id="rId10"/>
    <sheet xmlns:r="http://schemas.openxmlformats.org/officeDocument/2006/relationships" name="Balance_Sheet" sheetId="11" state="visible" r:id="rId11"/>
    <sheet xmlns:r="http://schemas.openxmlformats.org/officeDocument/2006/relationships" name="Trial_Balance" sheetId="12" state="visible" r:id="rId12"/>
    <sheet xmlns:r="http://schemas.openxmlformats.org/officeDocument/2006/relationships" name="Chart_of_Accounts" sheetId="13" state="visible" r:id="rId13"/>
    <sheet xmlns:r="http://schemas.openxmlformats.org/officeDocument/2006/relationships" name="Dropdown_Lists" sheetId="14" state="visible" r:id="rId14"/>
    <sheet xmlns:r="http://schemas.openxmlformats.org/officeDocument/2006/relationships" name="Employee_Data" sheetId="15" state="visible" r:id="rId1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\-mm\-dd"/>
  </numFmts>
  <fonts count="34">
    <font>
      <name val="Calibri"/>
      <charset val="1"/>
      <family val="2"/>
      <color theme="1"/>
      <sz val="11"/>
    </font>
    <font>
      <name val="Aptos"/>
      <b val="1"/>
      <color rgb="FF1B2A4A"/>
      <sz val="28"/>
    </font>
    <font>
      <name val="Aptos"/>
      <color rgb="FF3D5A80"/>
      <sz val="14"/>
    </font>
    <font>
      <name val="Aptos"/>
      <i val="1"/>
      <color rgb="FF4A5568"/>
      <sz val="11"/>
    </font>
    <font>
      <name val="Aptos"/>
      <b val="1"/>
      <color rgb="FF2E8B57"/>
      <sz val="11"/>
    </font>
    <font>
      <name val="Aptos"/>
      <b val="1"/>
      <color rgb="FF3D5A80"/>
      <sz val="12"/>
      <u val="single"/>
    </font>
    <font>
      <name val="Aptos"/>
      <color rgb="FF4A5568"/>
      <sz val="10"/>
    </font>
    <font>
      <name val="Aptos"/>
      <color rgb="FF3D5A80"/>
      <sz val="12"/>
    </font>
    <font>
      <name val="Aptos"/>
      <b val="1"/>
      <color rgb="FF3D5A80"/>
      <sz val="11"/>
    </font>
    <font>
      <name val="Aptos"/>
      <b val="1"/>
      <color rgb="FF4A5568"/>
      <sz val="11"/>
    </font>
    <font>
      <name val="Aptos"/>
      <b val="1"/>
      <color rgb="FF1B2A4A"/>
      <sz val="15"/>
    </font>
    <font>
      <name val="Aptos"/>
      <b val="1"/>
      <color rgb="FF2D3748"/>
      <sz val="10"/>
    </font>
    <font>
      <name val="Aptos"/>
      <b val="1"/>
      <color rgb="FF1B2A4A"/>
      <sz val="13"/>
    </font>
    <font>
      <name val="Aptos"/>
      <b val="1"/>
      <color rgb="FFFFFFFF"/>
      <sz val="10"/>
    </font>
    <font>
      <name val="Aptos"/>
      <color rgb="FF2D3748"/>
      <sz val="10"/>
    </font>
    <font>
      <name val="Aptos"/>
      <b val="1"/>
      <color rgb="FFE85D5D"/>
      <sz val="13"/>
    </font>
    <font>
      <name val="Aptos"/>
      <b val="1"/>
      <color rgb="FF1B2A4A"/>
      <sz val="14"/>
    </font>
    <font>
      <name val="Aptos"/>
      <i val="1"/>
      <color rgb="FF999999"/>
      <sz val="9"/>
    </font>
    <font>
      <name val="Aptos"/>
      <b val="1"/>
      <color rgb="FF1B2A4A"/>
      <sz val="10"/>
    </font>
    <font>
      <name val="Aptos"/>
      <b val="1"/>
      <color rgb="FF1B2A4A"/>
      <sz val="12"/>
    </font>
    <font>
      <name val="Aptos"/>
      <b val="1"/>
      <color rgb="FFFFFFFF"/>
      <sz val="9"/>
    </font>
    <font>
      <name val="Aptos"/>
      <b val="1"/>
      <color rgb="FF1B2A4A"/>
      <sz val="8"/>
    </font>
    <font>
      <name val="Aptos"/>
      <color rgb="FF0000CC"/>
      <sz val="10"/>
    </font>
    <font>
      <name val="Aptos"/>
      <color rgb="FF000000"/>
      <sz val="10"/>
    </font>
    <font>
      <name val="Aptos"/>
      <b val="1"/>
      <color rgb="FF1B2A4A"/>
      <sz val="11"/>
    </font>
    <font>
      <name val="Aptos"/>
      <b val="1"/>
      <color rgb="FFE85D5D"/>
      <sz val="11"/>
    </font>
    <font>
      <name val="Aptos"/>
      <b val="1"/>
      <color rgb="FF1B2A4A"/>
      <sz val="22"/>
    </font>
    <font>
      <name val="Aptos"/>
      <i val="1"/>
      <color rgb="FF4A5568"/>
      <sz val="10"/>
    </font>
    <font>
      <name val="Aptos"/>
      <b val="1"/>
      <color rgb="FF0000CC"/>
      <sz val="11"/>
    </font>
    <font>
      <name val="Aptos"/>
      <color rgb="FF4A5568"/>
      <sz val="9"/>
    </font>
    <font>
      <name val="Aptos"/>
      <b val="1"/>
      <color rgb="FF1B2A4A"/>
      <sz val="24"/>
    </font>
    <font>
      <name val="Aptos"/>
      <b val="1"/>
      <color rgb="FF2E8B57"/>
      <sz val="10"/>
    </font>
    <font>
      <name val="Aptos"/>
      <b val="1"/>
      <color rgb="FFE85D5D"/>
      <sz val="10"/>
    </font>
    <font>
      <name val="Aptos"/>
      <color rgb="FF2E8B57"/>
      <sz val="10"/>
    </font>
  </fonts>
  <fills count="10">
    <fill>
      <patternFill/>
    </fill>
    <fill>
      <patternFill patternType="gray125"/>
    </fill>
    <fill>
      <patternFill patternType="solid">
        <fgColor rgb="FF1B2A4A"/>
        <bgColor rgb="FF2D3748"/>
      </patternFill>
    </fill>
    <fill>
      <patternFill patternType="solid">
        <fgColor rgb="FFF0F4F8"/>
        <bgColor rgb="FFEDF4FA"/>
      </patternFill>
    </fill>
    <fill>
      <patternFill patternType="solid">
        <fgColor rgb="FFFFF8E7"/>
        <bgColor rgb="FFF9F9F9"/>
      </patternFill>
    </fill>
    <fill>
      <patternFill patternType="solid">
        <fgColor rgb="FFD6E8F5"/>
        <bgColor rgb="FFE8ECF0"/>
      </patternFill>
    </fill>
    <fill>
      <patternFill patternType="solid">
        <fgColor rgb="FFE8F5EE"/>
        <bgColor rgb="FFEDF4FA"/>
      </patternFill>
    </fill>
    <fill>
      <patternFill patternType="solid">
        <fgColor rgb="FFFDEDEC"/>
        <bgColor rgb="FFFFF8E7"/>
      </patternFill>
    </fill>
    <fill>
      <patternFill patternType="solid">
        <fgColor rgb="FFEDF4FA"/>
        <bgColor rgb="FFF0F4F8"/>
      </patternFill>
    </fill>
    <fill>
      <patternFill patternType="solid">
        <fgColor rgb="FF2E8B57"/>
        <bgColor rgb="FF008080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B2A4A"/>
      </bottom>
      <diagonal/>
    </border>
    <border>
      <left/>
      <right/>
      <top/>
      <bottom style="thin">
        <color rgb="FFE8ECF0"/>
      </bottom>
      <diagonal/>
    </border>
    <border>
      <left/>
      <right/>
      <top style="thin">
        <color rgb="FF1B2A4A"/>
      </top>
      <bottom style="double">
        <color rgb="FF1B2A4A"/>
      </bottom>
      <diagonal/>
    </border>
    <border>
      <left/>
      <right/>
      <top style="medium">
        <color rgb="FF1B2A4A"/>
      </top>
      <bottom style="double">
        <color rgb="FF1B2A4A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164" fontId="30" fillId="8" borderId="0" applyAlignment="1" pivotButton="0" quotePrefix="0" xfId="0">
      <alignment horizontal="center" vertical="center" wrapText="1"/>
    </xf>
    <xf numFmtId="3" fontId="30" fillId="8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26" fillId="0" borderId="0" pivotButton="0" quotePrefix="0" xfId="0"/>
    <xf numFmtId="0" fontId="20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3" fontId="12" fillId="0" borderId="0" pivotButton="0" quotePrefix="0" xfId="0"/>
    <xf numFmtId="0" fontId="13" fillId="2" borderId="0" applyAlignment="1" pivotButton="0" quotePrefix="0" xfId="0">
      <alignment horizontal="center" vertical="center" wrapText="1"/>
    </xf>
    <xf numFmtId="165" fontId="14" fillId="3" borderId="2" applyProtection="1" pivotButton="0" quotePrefix="0" xfId="0">
      <protection locked="0" hidden="0"/>
    </xf>
    <xf numFmtId="0" fontId="14" fillId="3" borderId="2" applyProtection="1" pivotButton="0" quotePrefix="0" xfId="0">
      <protection locked="0" hidden="0"/>
    </xf>
    <xf numFmtId="3" fontId="14" fillId="3" borderId="2" applyProtection="1" pivotButton="0" quotePrefix="0" xfId="0">
      <protection locked="0" hidden="0"/>
    </xf>
    <xf numFmtId="165" fontId="14" fillId="4" borderId="2" applyProtection="1" pivotButton="0" quotePrefix="0" xfId="0">
      <protection locked="0" hidden="0"/>
    </xf>
    <xf numFmtId="0" fontId="14" fillId="4" borderId="2" applyProtection="1" pivotButton="0" quotePrefix="0" xfId="0">
      <protection locked="0" hidden="0"/>
    </xf>
    <xf numFmtId="3" fontId="14" fillId="4" borderId="2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3" fontId="15" fillId="0" borderId="0" pivotButton="0" quotePrefix="0" xfId="0"/>
    <xf numFmtId="0" fontId="14" fillId="0" borderId="2" applyProtection="1" pivotButton="0" quotePrefix="0" xfId="0">
      <protection locked="0" hidden="0"/>
    </xf>
    <xf numFmtId="3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21" fillId="5" borderId="0" applyAlignment="1" pivotButton="0" quotePrefix="0" xfId="0">
      <alignment horizontal="center" vertical="center" wrapText="1"/>
    </xf>
    <xf numFmtId="0" fontId="14" fillId="3" borderId="0" pivotButton="0" quotePrefix="0" xfId="0"/>
    <xf numFmtId="3" fontId="22" fillId="3" borderId="0" applyProtection="1" pivotButton="0" quotePrefix="0" xfId="0">
      <protection locked="0" hidden="0"/>
    </xf>
    <xf numFmtId="3" fontId="23" fillId="3" borderId="0" pivotButton="0" quotePrefix="0" xfId="0"/>
    <xf numFmtId="3" fontId="24" fillId="3" borderId="0" pivotButton="0" quotePrefix="0" xfId="0"/>
    <xf numFmtId="0" fontId="14" fillId="0" borderId="0" pivotButton="0" quotePrefix="0" xfId="0"/>
    <xf numFmtId="3" fontId="22" fillId="4" borderId="0" applyProtection="1" pivotButton="0" quotePrefix="0" xfId="0">
      <protection locked="0" hidden="0"/>
    </xf>
    <xf numFmtId="3" fontId="23" fillId="0" borderId="0" pivotButton="0" quotePrefix="0" xfId="0"/>
    <xf numFmtId="3" fontId="24" fillId="0" borderId="0" pivotButton="0" quotePrefix="0" xfId="0"/>
    <xf numFmtId="0" fontId="11" fillId="6" borderId="0" pivotButton="0" quotePrefix="0" xfId="0"/>
    <xf numFmtId="3" fontId="24" fillId="6" borderId="0" applyProtection="1" pivotButton="0" quotePrefix="0" xfId="0">
      <protection locked="0" hidden="0"/>
    </xf>
    <xf numFmtId="3" fontId="24" fillId="6" borderId="0" pivotButton="0" quotePrefix="0" xfId="0"/>
    <xf numFmtId="0" fontId="11" fillId="7" borderId="0" pivotButton="0" quotePrefix="0" xfId="0"/>
    <xf numFmtId="3" fontId="25" fillId="7" borderId="0" applyProtection="1" pivotButton="0" quotePrefix="0" xfId="0">
      <protection locked="0" hidden="0"/>
    </xf>
    <xf numFmtId="3" fontId="25" fillId="7" borderId="0" pivotButton="0" quotePrefix="0" xfId="0"/>
    <xf numFmtId="0" fontId="16" fillId="8" borderId="0" pivotButton="0" quotePrefix="0" xfId="0"/>
    <xf numFmtId="3" fontId="16" fillId="8" borderId="0" applyProtection="1" pivotButton="0" quotePrefix="0" xfId="0">
      <protection locked="0" hidden="0"/>
    </xf>
    <xf numFmtId="3" fontId="16" fillId="8" borderId="0" pivotButton="0" quotePrefix="0" xfId="0"/>
    <xf numFmtId="0" fontId="28" fillId="4" borderId="0" applyAlignment="1" applyProtection="1" pivotButton="0" quotePrefix="0" xfId="0">
      <alignment horizontal="center" vertical="center" wrapText="1"/>
      <protection locked="0" hidden="0"/>
    </xf>
    <xf numFmtId="0" fontId="29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20" fillId="9" borderId="0" applyAlignment="1" pivotButton="0" quotePrefix="0" xfId="0">
      <alignment horizontal="center" vertical="center" wrapText="1"/>
    </xf>
    <xf numFmtId="0" fontId="31" fillId="6" borderId="0" pivotButton="0" quotePrefix="0" xfId="0"/>
    <xf numFmtId="3" fontId="0" fillId="3" borderId="0" pivotButton="0" quotePrefix="0" xfId="0"/>
    <xf numFmtId="3" fontId="0" fillId="0" borderId="0" pivotButton="0" quotePrefix="0" xfId="0"/>
    <xf numFmtId="0" fontId="11" fillId="5" borderId="0" pivotButton="0" quotePrefix="0" xfId="0"/>
    <xf numFmtId="3" fontId="24" fillId="5" borderId="0" pivotButton="0" quotePrefix="0" xfId="0"/>
    <xf numFmtId="0" fontId="32" fillId="7" borderId="0" pivotButton="0" quotePrefix="0" xfId="0"/>
    <xf numFmtId="3" fontId="33" fillId="0" borderId="0" pivotButton="0" quotePrefix="0" xfId="0"/>
    <xf numFmtId="165" fontId="14" fillId="0" borderId="0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3" fontId="14" fillId="0" borderId="0" applyProtection="1" pivotButton="0" quotePrefix="0" xfId="0">
      <protection locked="0" hidden="0"/>
    </xf>
    <xf numFmtId="0" fontId="18" fillId="0" borderId="0" applyAlignment="1" pivotButton="0" quotePrefix="0" xfId="0">
      <alignment horizontal="center" vertical="center" wrapText="1"/>
    </xf>
    <xf numFmtId="0" fontId="19" fillId="0" borderId="1" pivotButton="0" quotePrefix="0" xfId="0"/>
    <xf numFmtId="3" fontId="33" fillId="3" borderId="0" pivotButton="0" quotePrefix="0" xfId="0"/>
    <xf numFmtId="3" fontId="29" fillId="3" borderId="0" pivotButton="0" quotePrefix="0" xfId="0"/>
    <xf numFmtId="3" fontId="29" fillId="0" borderId="0" pivotButton="0" quotePrefix="0" xfId="0"/>
    <xf numFmtId="3" fontId="24" fillId="0" borderId="3" pivotButton="0" quotePrefix="0" xfId="0"/>
    <xf numFmtId="3" fontId="25" fillId="0" borderId="3" pivotButton="0" quotePrefix="0" xfId="0"/>
    <xf numFmtId="0" fontId="16" fillId="0" borderId="0" pivotButton="0" quotePrefix="0" xfId="0"/>
    <xf numFmtId="3" fontId="16" fillId="0" borderId="4" pivotButton="0" quotePrefix="0" xfId="0"/>
    <xf numFmtId="3" fontId="22" fillId="4" borderId="0" pivotButton="0" quotePrefix="0" xfId="0"/>
    <xf numFmtId="3" fontId="19" fillId="0" borderId="3" pivotButton="0" quotePrefix="0" xfId="0"/>
    <xf numFmtId="3" fontId="32" fillId="0" borderId="0" pivotButton="0" quotePrefix="0" xfId="0"/>
    <xf numFmtId="0" fontId="14" fillId="3" borderId="2" pivotButton="0" quotePrefix="0" xfId="0"/>
    <xf numFmtId="3" fontId="14" fillId="3" borderId="2" pivotButton="0" quotePrefix="0" xfId="0"/>
    <xf numFmtId="0" fontId="14" fillId="0" borderId="2" pivotButton="0" quotePrefix="0" xfId="0"/>
    <xf numFmtId="3" fontId="14" fillId="0" borderId="2" pivotButton="0" quotePrefix="0" xfId="0"/>
    <xf numFmtId="0" fontId="32" fillId="0" borderId="0" pivotButton="0" quotePrefix="0" xfId="0"/>
    <xf numFmtId="0" fontId="14" fillId="4" borderId="0" pivotButton="0" quotePrefix="0" xfId="0"/>
    <xf numFmtId="0" fontId="11" fillId="0" borderId="0" applyProtection="1" pivotButton="0" quotePrefix="0" xfId="0">
      <protection locked="0" hidden="0"/>
    </xf>
    <xf numFmtId="3" fontId="24" fillId="0" borderId="0" applyProtection="1" pivotButton="0" quotePrefix="0" xfId="0">
      <protection locked="0" hidden="0"/>
    </xf>
    <xf numFmtId="165" fontId="14" fillId="3" borderId="2" applyProtection="1" pivotButton="0" quotePrefix="0" xfId="0">
      <protection locked="0" hidden="0"/>
    </xf>
    <xf numFmtId="165" fontId="14" fillId="4" borderId="2" applyProtection="1" pivotButton="0" quotePrefix="0" xfId="0">
      <protection locked="0" hidden="0"/>
    </xf>
    <xf numFmtId="164" fontId="30" fillId="8" borderId="0" applyAlignment="1" pivotButton="0" quotePrefix="0" xfId="0">
      <alignment horizontal="center" vertical="center" wrapText="1"/>
    </xf>
    <xf numFmtId="165" fontId="14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F4FA"/>
      <rgbColor rgb="FF878787"/>
      <rgbColor rgb="FF9999FF"/>
      <rgbColor rgb="FFC0504D"/>
      <rgbColor rgb="FFFFF8E7"/>
      <rgbColor rgb="FFE8F5EE"/>
      <rgbColor rgb="FF660066"/>
      <rgbColor rgb="FFE85D5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5"/>
      <rgbColor rgb="FFE8ECF0"/>
      <rgbColor rgb="FFFDEDEC"/>
      <rgbColor rgb="FFF9F9F9"/>
      <rgbColor rgb="FFFF99CC"/>
      <rgbColor rgb="FFCC99FF"/>
      <rgbColor rgb="FFF0F4F8"/>
      <rgbColor rgb="FF4F81BD"/>
      <rgbColor rgb="FF33CCCC"/>
      <rgbColor rgb="FF99CC00"/>
      <rgbColor rgb="FFFFCC00"/>
      <rgbColor rgb="FFD4A843"/>
      <rgbColor rgb="FFFF6600"/>
      <rgbColor rgb="FF3D5A80"/>
      <rgbColor rgb="FF999999"/>
      <rgbColor rgb="FF1B2A4A"/>
      <rgbColor rgb="FF2E8B57"/>
      <rgbColor rgb="FF003300"/>
      <rgbColor rgb="FF333300"/>
      <rgbColor rgb="FF993300"/>
      <rgbColor rgb="FF993366"/>
      <rgbColor rgb="FF4A5568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vs Expenses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Revenue</v>
          </tx>
          <spPr>
            <a:ln xmlns:a="http://schemas.openxmlformats.org/drawingml/2006/main" w="28080">
              <a:solidFill>
                <a:srgbClr val="3D5A8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NG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Analysis!$C$8:$N$8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Analysis!$C$9:$N$9</f>
              <numCache>
                <formatCode>#,##0</formatCode>
                <ptCount val="12"/>
                <pt idx="0">
                  <v>2623827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1"/>
        </ser>
        <ser>
          <idx val="1"/>
          <order val="1"/>
          <tx>
            <v>Expenses</v>
          </tx>
          <spPr>
            <a:ln xmlns:a="http://schemas.openxmlformats.org/drawingml/2006/main" w="28080">
              <a:solidFill>
                <a:srgbClr val="E85D5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NG"/>
              </a:p>
            </txPr>
            <dLblPos val="r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Analysis!$C$8:$N$8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Analysis!$C$10:$N$10</f>
              <numCache>
                <formatCode>#,##0</formatCode>
                <ptCount val="12"/>
                <pt idx="0">
                  <v>806669</v>
                </pt>
                <pt idx="1">
                  <v>406109</v>
                </pt>
                <pt idx="2">
                  <v>401121</v>
                </pt>
                <pt idx="3">
                  <v>411259</v>
                </pt>
                <pt idx="4">
                  <v>411302</v>
                </pt>
                <pt idx="5">
                  <v>407037</v>
                </pt>
                <pt idx="6">
                  <v>412015</v>
                </pt>
                <pt idx="7">
                  <v>403739</v>
                </pt>
                <pt idx="8">
                  <v>397707</v>
                </pt>
                <pt idx="9">
                  <v>408910</v>
                </pt>
                <pt idx="10">
                  <v>397586</v>
                </pt>
                <pt idx="11">
                  <v>409110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95706245"/>
        <axId val="81427267"/>
      </lineChart>
      <catAx>
        <axId val="9570624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NG"/>
          </a:p>
        </txPr>
        <crossAx val="81427267"/>
        <crosses val="autoZero"/>
        <auto val="1"/>
        <lblAlgn val="ctr"/>
        <lblOffset val="100"/>
        <noMultiLvlLbl val="0"/>
      </catAx>
      <valAx>
        <axId val="8142726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NG"/>
          </a:p>
        </txPr>
        <crossAx val="9570624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NG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Net Profit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Net Profit</v>
          </tx>
          <spPr>
            <a:solidFill xmlns:a="http://schemas.openxmlformats.org/drawingml/2006/main">
              <a:srgbClr val="2E8B57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NG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Analysis!$C$8:$N$8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Analysis!$C$11:$N$11</f>
              <numCache>
                <formatCode>#,##0</formatCode>
                <ptCount val="12"/>
                <pt idx="0">
                  <v>1817158</v>
                </pt>
                <pt idx="1">
                  <v>-406109</v>
                </pt>
                <pt idx="2">
                  <v>-401121</v>
                </pt>
                <pt idx="3">
                  <v>-411259</v>
                </pt>
                <pt idx="4">
                  <v>-411302</v>
                </pt>
                <pt idx="5">
                  <v>-407037</v>
                </pt>
                <pt idx="6">
                  <v>-412015</v>
                </pt>
                <pt idx="7">
                  <v>-403739</v>
                </pt>
                <pt idx="8">
                  <v>-397707</v>
                </pt>
                <pt idx="9">
                  <v>-408910</v>
                </pt>
                <pt idx="10">
                  <v>-397586</v>
                </pt>
                <pt idx="11">
                  <v>-409110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3355824"/>
        <axId val="20663633"/>
      </barChart>
      <catAx>
        <axId val="2335582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NG"/>
          </a:p>
        </txPr>
        <crossAx val="20663633"/>
        <crosses val="autoZero"/>
        <auto val="1"/>
        <lblAlgn val="ctr"/>
        <lblOffset val="100"/>
        <noMultiLvlLbl val="0"/>
      </catAx>
      <valAx>
        <axId val="2066363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NG"/>
          </a:p>
        </txPr>
        <crossAx val="2335582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NG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Location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9360">
                <a:solidFill>
                  <a:srgbClr val="F9F9F9"/>
                </a:solidFill>
                <a:prstDash val="solid"/>
                <a:round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n-NG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  <a:endParaRPr lang="en-NG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  <a:endParaRPr lang="en-NG"/>
              </a:p>
            </txPr>
            <dLblPos val="bestFit"/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Analysis!$B$18:$B$19</f>
              <strCache>
                <ptCount val="2"/>
                <pt idx="0">
                  <v>Agbowo</v>
                </pt>
                <pt idx="1">
                  <v>UI</v>
                </pt>
              </strCache>
            </strRef>
          </cat>
          <val>
            <numRef>
              <f>Analysis!$C$18:$C$19</f>
              <numCache>
                <formatCode>#,##0</formatCode>
                <ptCount val="2"/>
                <pt idx="0">
                  <v>1397850</v>
                </pt>
                <pt idx="1">
                  <v>1225977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NG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Expenses by Category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3D5A80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NG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Analysis!$B$23:$B$32</f>
              <strCache>
                <ptCount val="10"/>
                <pt idx="0">
                  <v>Salaries</v>
                </pt>
                <pt idx="1">
                  <v>Construction</v>
                </pt>
                <pt idx="2">
                  <v>Maintenance</v>
                </pt>
                <pt idx="3">
                  <v>Utilities</v>
                </pt>
                <pt idx="4">
                  <v>Inventory</v>
                </pt>
                <pt idx="5">
                  <v>Administrative</v>
                </pt>
                <pt idx="6">
                  <v>Loans &amp; Advances</v>
                </pt>
                <pt idx="7">
                  <v>Transportation</v>
                </pt>
                <pt idx="8">
                  <v>IT &amp; Communications</v>
                </pt>
                <pt idx="9">
                  <v>Other</v>
                </pt>
              </strCache>
            </strRef>
          </cat>
          <val>
            <numRef>
              <f>Analysis!$C$23:$C$32</f>
              <numCache>
                <formatCode>#,##0</formatCode>
                <ptCount val="10"/>
                <pt idx="0">
                  <v>4873564</v>
                </pt>
                <pt idx="1">
                  <v>75000</v>
                </pt>
                <pt idx="2">
                  <v>75000</v>
                </pt>
                <pt idx="3">
                  <v>41000</v>
                </pt>
                <pt idx="4">
                  <v>0</v>
                </pt>
                <pt idx="5">
                  <v>8000</v>
                </pt>
                <pt idx="6">
                  <v>200000</v>
                </pt>
                <pt idx="7">
                  <v>0</v>
                </pt>
                <pt idx="8">
                  <v>0</v>
                </pt>
                <pt idx="9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0621223"/>
        <axId val="85311706"/>
      </barChart>
      <catAx>
        <axId val="90621223"/>
        <scaling>
          <orientation val="minMax"/>
        </scaling>
        <delete val="0"/>
        <axPos val="l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NG"/>
          </a:p>
        </txPr>
        <crossAx val="85311706"/>
        <crosses val="autoZero"/>
        <auto val="1"/>
        <lblAlgn val="ctr"/>
        <lblOffset val="100"/>
        <noMultiLvlLbl val="0"/>
      </catAx>
      <valAx>
        <axId val="85311706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NG"/>
          </a:p>
        </txPr>
        <crossAx val="9062122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NG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Actual vs Budget Revenue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Actual</v>
          </tx>
          <spPr>
            <a:solidFill xmlns:a="http://schemas.openxmlformats.org/drawingml/2006/main">
              <a:srgbClr val="3D5A80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NG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Analysis!$C$8:$N$8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Analysis!$C$9:$N$9</f>
              <numCache>
                <formatCode>#,##0</formatCode>
                <ptCount val="12"/>
                <pt idx="0">
                  <v>2623827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v>Budget</v>
          </tx>
          <spPr>
            <a:solidFill xmlns:a="http://schemas.openxmlformats.org/drawingml/2006/main">
              <a:srgbClr val="D6E8F5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NG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Analysis!$C$8:$N$8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Analysis!$C$13:$N$13</f>
              <numCache>
                <formatCode>#,##0</formatCode>
                <ptCount val="12"/>
                <pt idx="0">
                  <v>3625000</v>
                </pt>
                <pt idx="1">
                  <v>3360000</v>
                </pt>
                <pt idx="2">
                  <v>2930000</v>
                </pt>
                <pt idx="3">
                  <v>2715000</v>
                </pt>
                <pt idx="4">
                  <v>2715000</v>
                </pt>
                <pt idx="5">
                  <v>2085000</v>
                </pt>
                <pt idx="6">
                  <v>1870000</v>
                </pt>
                <pt idx="7">
                  <v>1870000</v>
                </pt>
                <pt idx="8">
                  <v>3625000</v>
                </pt>
                <pt idx="9">
                  <v>3625000</v>
                </pt>
                <pt idx="10">
                  <v>3140000</v>
                </pt>
                <pt idx="11">
                  <v>3140000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119206"/>
        <axId val="37444413"/>
      </barChart>
      <catAx>
        <axId val="411920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NG"/>
          </a:p>
        </txPr>
        <crossAx val="37444413"/>
        <crosses val="autoZero"/>
        <auto val="1"/>
        <lblAlgn val="ctr"/>
        <lblOffset val="100"/>
        <noMultiLvlLbl val="0"/>
      </catAx>
      <valAx>
        <axId val="3744441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NG"/>
          </a:p>
        </txPr>
        <crossAx val="411920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NG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Staff Salary vs Net Profit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Net Profit</v>
          </tx>
          <spPr>
            <a:solidFill xmlns:a="http://schemas.openxmlformats.org/drawingml/2006/main">
              <a:srgbClr val="2E8B57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NG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Analysis!$C$8:$N$8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Analysis!$C$11:$N$11</f>
              <numCache>
                <formatCode>#,##0</formatCode>
                <ptCount val="12"/>
                <pt idx="0">
                  <v>1817158</v>
                </pt>
                <pt idx="1">
                  <v>-406109</v>
                </pt>
                <pt idx="2">
                  <v>-401121</v>
                </pt>
                <pt idx="3">
                  <v>-411259</v>
                </pt>
                <pt idx="4">
                  <v>-411302</v>
                </pt>
                <pt idx="5">
                  <v>-407037</v>
                </pt>
                <pt idx="6">
                  <v>-412015</v>
                </pt>
                <pt idx="7">
                  <v>-403739</v>
                </pt>
                <pt idx="8">
                  <v>-397707</v>
                </pt>
                <pt idx="9">
                  <v>-408910</v>
                </pt>
                <pt idx="10">
                  <v>-397586</v>
                </pt>
                <pt idx="11">
                  <v>-409110</v>
                </pt>
              </numCache>
            </numRef>
          </val>
        </ser>
        <ser>
          <idx val="1"/>
          <order val="1"/>
          <tx>
            <v>Staff Salary</v>
          </tx>
          <spPr>
            <a:solidFill xmlns:a="http://schemas.openxmlformats.org/drawingml/2006/main">
              <a:srgbClr val="D4A843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  <a:endParaRPr lang="en-NG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Analysis!$C$8:$N$8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Analysis!$C$12:$N$12</f>
              <numCache>
                <formatCode>#,##0</formatCode>
                <ptCount val="12"/>
                <pt idx="0">
                  <v>407669</v>
                </pt>
                <pt idx="1">
                  <v>406109</v>
                </pt>
                <pt idx="2">
                  <v>401121</v>
                </pt>
                <pt idx="3">
                  <v>411259</v>
                </pt>
                <pt idx="4">
                  <v>411302</v>
                </pt>
                <pt idx="5">
                  <v>407037</v>
                </pt>
                <pt idx="6">
                  <v>412015</v>
                </pt>
                <pt idx="7">
                  <v>403739</v>
                </pt>
                <pt idx="8">
                  <v>397707</v>
                </pt>
                <pt idx="9">
                  <v>408910</v>
                </pt>
                <pt idx="10">
                  <v>397586</v>
                </pt>
                <pt idx="11">
                  <v>409110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0029831"/>
        <axId val="81317368"/>
      </barChart>
      <catAx>
        <axId val="7002983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NG"/>
          </a:p>
        </txPr>
        <crossAx val="81317368"/>
        <crosses val="autoZero"/>
        <auto val="1"/>
        <lblAlgn val="ctr"/>
        <lblOffset val="100"/>
        <noMultiLvlLbl val="0"/>
      </catAx>
      <valAx>
        <axId val="8131736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NG"/>
          </a:p>
        </txPr>
        <crossAx val="7002983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NG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twoCellAnchor editAs="oneCell">
    <from>
      <col>2</col>
      <colOff>0</colOff>
      <row>2</row>
      <rowOff>0</rowOff>
    </from>
    <to>
      <col>3</col>
      <colOff>70920</colOff>
      <row>5</row>
      <rowOff>102960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23000" y="380880"/>
          <a:ext cx="1903320" cy="6746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1</col>
      <colOff>1474560</colOff>
      <row>2</row>
      <rowOff>181440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1120" y="190440"/>
          <a:ext cx="1474560" cy="514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0</colOff>
      <row>33</row>
      <rowOff>145440</rowOff>
    </from>
    <to>
      <col>10</col>
      <colOff>320760</colOff>
      <row>60</row>
      <rowOff>40320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13</col>
      <colOff>0</colOff>
      <row>33</row>
      <rowOff>145440</rowOff>
    </from>
    <to>
      <col>26</col>
      <colOff>454320</colOff>
      <row>60</row>
      <rowOff>40320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51</row>
      <rowOff>145440</rowOff>
    </from>
    <to>
      <col>7</col>
      <colOff>698400</colOff>
      <row>78</row>
      <rowOff>40320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13</col>
      <colOff>0</colOff>
      <row>51</row>
      <rowOff>145440</rowOff>
    </from>
    <to>
      <col>26</col>
      <colOff>454320</colOff>
      <row>78</row>
      <rowOff>40320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</col>
      <colOff>0</colOff>
      <row>69</row>
      <rowOff>145440</rowOff>
    </from>
    <to>
      <col>10</col>
      <colOff>320760</colOff>
      <row>96</row>
      <rowOff>40320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13</col>
      <colOff>0</colOff>
      <row>69</row>
      <rowOff>145440</rowOff>
    </from>
    <to>
      <col>26</col>
      <colOff>454320</colOff>
      <row>96</row>
      <rowOff>40320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ALENTS_AIS_FINAL.xlsx" TargetMode="External" Id="rId1"/><Relationship Type="http://schemas.openxmlformats.org/officeDocument/2006/relationships/hyperlink" Target="TALENTS_AIS_FINAL.xlsx" TargetMode="External" Id="rId2"/><Relationship Type="http://schemas.openxmlformats.org/officeDocument/2006/relationships/hyperlink" Target="TALENTS_AIS_FINAL.xlsx" TargetMode="External" Id="rId3"/><Relationship Type="http://schemas.openxmlformats.org/officeDocument/2006/relationships/hyperlink" Target="TALENTS_AIS_FINAL.xlsx" TargetMode="External" Id="rId4"/><Relationship Type="http://schemas.openxmlformats.org/officeDocument/2006/relationships/hyperlink" Target="TALENTS_AIS_FINAL.xlsx" TargetMode="External" Id="rId5"/><Relationship Type="http://schemas.openxmlformats.org/officeDocument/2006/relationships/hyperlink" Target="TALENTS_AIS_FINAL.xlsx" TargetMode="External" Id="rId6"/><Relationship Type="http://schemas.openxmlformats.org/officeDocument/2006/relationships/hyperlink" Target="TALENTS_AIS_FINAL.xlsx" TargetMode="External" Id="rId7"/><Relationship Type="http://schemas.openxmlformats.org/officeDocument/2006/relationships/hyperlink" Target="TALENTS_AIS_FINAL.xlsx" TargetMode="External" Id="rId8"/><Relationship Type="http://schemas.openxmlformats.org/officeDocument/2006/relationships/hyperlink" Target="TALENTS_AIS_FINAL.xlsx" TargetMode="External" Id="rId9"/><Relationship Type="http://schemas.openxmlformats.org/officeDocument/2006/relationships/hyperlink" Target="TALENTS_AIS_FINAL.xlsx" TargetMode="External" Id="rId10"/><Relationship Type="http://schemas.openxmlformats.org/officeDocument/2006/relationships/hyperlink" Target="TALENTS_AIS_FINAL.xlsx" TargetMode="External" Id="rId11"/><Relationship Type="http://schemas.openxmlformats.org/officeDocument/2006/relationships/hyperlink" Target="TALENTS_AIS_FINAL.xlsx" TargetMode="External" Id="rId12"/><Relationship Type="http://schemas.openxmlformats.org/officeDocument/2006/relationships/hyperlink" Target="TALENTS_AIS_FINAL.xlsx" TargetMode="External" Id="rId13"/><Relationship Type="http://schemas.openxmlformats.org/officeDocument/2006/relationships/hyperlink" Target="TALENTS_AIS_FINAL.xlsx" TargetMode="External" Id="rId14"/><Relationship Type="http://schemas.openxmlformats.org/officeDocument/2006/relationships/drawing" Target="/xl/drawings/drawing1.xml" Id="rId15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6:H29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3" customWidth="1" min="1" max="2"/>
    <col width="26" customWidth="1" min="3" max="3"/>
    <col width="3" customWidth="1" min="4" max="4"/>
    <col width="42" customWidth="1" min="5" max="5"/>
    <col width="3" customWidth="1" min="6" max="7"/>
    <col width="6" customWidth="1" min="8" max="8"/>
  </cols>
  <sheetData>
    <row r="6" ht="33.75" customHeight="1">
      <c r="C6" s="8" t="inlineStr">
        <is>
          <t>TALENTS APARTMENT</t>
        </is>
      </c>
    </row>
    <row r="7" ht="17.25" customHeight="1">
      <c r="C7" s="7" t="inlineStr">
        <is>
          <t>Accounting Information System</t>
        </is>
      </c>
    </row>
    <row r="8" ht="15" customHeight="1">
      <c r="C8" s="6" t="inlineStr">
        <is>
          <t>...home away from home</t>
        </is>
      </c>
    </row>
    <row r="9" ht="15" customHeight="1">
      <c r="C9" s="9" t="n"/>
      <c r="D9" s="9" t="n"/>
      <c r="E9" s="9" t="n"/>
      <c r="F9" s="9" t="n"/>
      <c r="G9" s="9" t="n"/>
      <c r="H9" s="9" t="n"/>
    </row>
    <row r="11" ht="15" customHeight="1">
      <c r="C11" s="10" t="inlineStr">
        <is>
          <t>DAILY INPUT</t>
        </is>
      </c>
    </row>
    <row r="12" ht="15" customHeight="1">
      <c r="C12" s="11" t="inlineStr">
        <is>
          <t>Record Income</t>
        </is>
      </c>
      <c r="E12" s="12" t="inlineStr">
        <is>
          <t>All revenue transactions</t>
        </is>
      </c>
      <c r="H12" s="13" t="inlineStr">
        <is>
          <t>→</t>
        </is>
      </c>
    </row>
    <row r="13" ht="15" customHeight="1">
      <c r="C13" s="11" t="inlineStr">
        <is>
          <t>Record Expenses</t>
        </is>
      </c>
      <c r="E13" s="12" t="inlineStr">
        <is>
          <t>Non-salary expense transactions</t>
        </is>
      </c>
      <c r="H13" s="13" t="inlineStr">
        <is>
          <t>→</t>
        </is>
      </c>
    </row>
    <row r="14" ht="15" customHeight="1">
      <c r="C14" s="11" t="inlineStr">
        <is>
          <t>Staff Salaries</t>
        </is>
      </c>
      <c r="E14" s="12" t="inlineStr">
        <is>
          <t>Monthly company payroll totals</t>
        </is>
      </c>
      <c r="H14" s="13" t="inlineStr">
        <is>
          <t>→</t>
        </is>
      </c>
    </row>
    <row r="15" ht="15" customHeight="1">
      <c r="C15" s="11" t="inlineStr">
        <is>
          <t>Budget &amp; Targets</t>
        </is>
      </c>
      <c r="E15" s="12" t="inlineStr">
        <is>
          <t>Monthly budget vs actual variance</t>
        </is>
      </c>
      <c r="H15" s="13" t="inlineStr">
        <is>
          <t>→</t>
        </is>
      </c>
    </row>
    <row r="17" ht="15" customHeight="1">
      <c r="C17" s="14" t="inlineStr">
        <is>
          <t>REPORTS &amp; ANALYSIS</t>
        </is>
      </c>
    </row>
    <row r="18" ht="15" customHeight="1">
      <c r="C18" s="11" t="inlineStr">
        <is>
          <t>Executive Dashboard</t>
        </is>
      </c>
      <c r="E18" s="12" t="inlineStr">
        <is>
          <t>KPIs + monthly P&amp;L matrix</t>
        </is>
      </c>
      <c r="H18" s="13" t="inlineStr">
        <is>
          <t>→</t>
        </is>
      </c>
    </row>
    <row r="19" ht="15" customHeight="1">
      <c r="C19" s="11" t="inlineStr">
        <is>
          <t>Charts &amp; Analytics</t>
        </is>
      </c>
      <c r="E19" s="12" t="inlineStr">
        <is>
          <t>6 interactive charts with location filter</t>
        </is>
      </c>
      <c r="H19" s="13" t="inlineStr">
        <is>
          <t>→</t>
        </is>
      </c>
    </row>
    <row r="20" ht="15" customHeight="1">
      <c r="C20" s="11" t="inlineStr">
        <is>
          <t>General Ledger</t>
        </is>
      </c>
      <c r="E20" s="12" t="inlineStr">
        <is>
          <t>Double-entry records</t>
        </is>
      </c>
      <c r="H20" s="13" t="inlineStr">
        <is>
          <t>→</t>
        </is>
      </c>
    </row>
    <row r="21" ht="15" customHeight="1">
      <c r="C21" s="11" t="inlineStr">
        <is>
          <t>Profit &amp; Loss</t>
        </is>
      </c>
      <c r="E21" s="12" t="inlineStr">
        <is>
          <t>Annual income statement</t>
        </is>
      </c>
      <c r="H21" s="13" t="inlineStr">
        <is>
          <t>→</t>
        </is>
      </c>
    </row>
    <row r="22" ht="15" customHeight="1">
      <c r="C22" s="11" t="inlineStr">
        <is>
          <t>Cash Flow</t>
        </is>
      </c>
      <c r="E22" s="12" t="inlineStr">
        <is>
          <t>Cash movements summary</t>
        </is>
      </c>
      <c r="H22" s="13" t="inlineStr">
        <is>
          <t>→</t>
        </is>
      </c>
    </row>
    <row r="23" ht="15" customHeight="1">
      <c r="C23" s="11" t="inlineStr">
        <is>
          <t>Balance Sheet</t>
        </is>
      </c>
      <c r="E23" s="12" t="inlineStr">
        <is>
          <t>Financial position snapshot</t>
        </is>
      </c>
      <c r="H23" s="13" t="inlineStr">
        <is>
          <t>→</t>
        </is>
      </c>
    </row>
    <row r="24" ht="15" customHeight="1">
      <c r="C24" s="11" t="inlineStr">
        <is>
          <t>Trial Balance</t>
        </is>
      </c>
      <c r="E24" s="12" t="inlineStr">
        <is>
          <t>Debit/credit verification</t>
        </is>
      </c>
      <c r="H24" s="13" t="inlineStr">
        <is>
          <t>→</t>
        </is>
      </c>
    </row>
    <row r="26" ht="15" customHeight="1">
      <c r="C26" s="15" t="inlineStr">
        <is>
          <t>SYSTEM SETTINGS</t>
        </is>
      </c>
    </row>
    <row r="27" ht="15" customHeight="1">
      <c r="C27" s="11" t="inlineStr">
        <is>
          <t>Chart of Accounts</t>
        </is>
      </c>
      <c r="E27" s="12" t="inlineStr">
        <is>
          <t>Account code structure</t>
        </is>
      </c>
      <c r="H27" s="13" t="inlineStr">
        <is>
          <t>→</t>
        </is>
      </c>
    </row>
    <row r="28" ht="15" customHeight="1">
      <c r="C28" s="11" t="inlineStr">
        <is>
          <t>Dropdown Lists</t>
        </is>
      </c>
      <c r="E28" s="12" t="inlineStr">
        <is>
          <t>Master control for ALL dropdowns</t>
        </is>
      </c>
      <c r="H28" s="13" t="inlineStr">
        <is>
          <t>→</t>
        </is>
      </c>
    </row>
    <row r="29" ht="15" customHeight="1">
      <c r="C29" s="11" t="inlineStr">
        <is>
          <t>Employee Records</t>
        </is>
      </c>
      <c r="E29" s="12" t="inlineStr">
        <is>
          <t>Staff info &amp; payroll rates</t>
        </is>
      </c>
      <c r="H29" s="13" t="inlineStr">
        <is>
          <t>→</t>
        </is>
      </c>
    </row>
  </sheetData>
  <mergeCells count="3">
    <mergeCell ref="C6:H6"/>
    <mergeCell ref="C8:H8"/>
    <mergeCell ref="C7:H7"/>
  </mergeCells>
  <hyperlinks>
    <hyperlink xmlns:r="http://schemas.openxmlformats.org/officeDocument/2006/relationships" ref="C12" location="Revenue_Log!A1" r:id="rId1"/>
    <hyperlink xmlns:r="http://schemas.openxmlformats.org/officeDocument/2006/relationships" ref="C13" location="Expenses_Log!A1" r:id="rId2"/>
    <hyperlink xmlns:r="http://schemas.openxmlformats.org/officeDocument/2006/relationships" ref="C14" location="Staff_Salaries!A1" r:id="rId3"/>
    <hyperlink xmlns:r="http://schemas.openxmlformats.org/officeDocument/2006/relationships" ref="C15" location="Budget!A1" r:id="rId4"/>
    <hyperlink xmlns:r="http://schemas.openxmlformats.org/officeDocument/2006/relationships" ref="C18" location="Dashboard!A1" r:id="rId5"/>
    <hyperlink xmlns:r="http://schemas.openxmlformats.org/officeDocument/2006/relationships" ref="C19" location="Analysis!A1" r:id="rId6"/>
    <hyperlink xmlns:r="http://schemas.openxmlformats.org/officeDocument/2006/relationships" ref="C20" location="General_Ledger!A1" r:id="rId7"/>
    <hyperlink xmlns:r="http://schemas.openxmlformats.org/officeDocument/2006/relationships" ref="C21" location="Profit_Loss!A1" r:id="rId8"/>
    <hyperlink xmlns:r="http://schemas.openxmlformats.org/officeDocument/2006/relationships" ref="C22" location="Cash_Flow!A1" r:id="rId9"/>
    <hyperlink xmlns:r="http://schemas.openxmlformats.org/officeDocument/2006/relationships" ref="C23" location="Balance_Sheet!A1" r:id="rId10"/>
    <hyperlink xmlns:r="http://schemas.openxmlformats.org/officeDocument/2006/relationships" ref="C24" location="Trial_Balance!A1" r:id="rId11"/>
    <hyperlink xmlns:r="http://schemas.openxmlformats.org/officeDocument/2006/relationships" ref="C27" location="Chart_of_Accounts!A1" r:id="rId12"/>
    <hyperlink xmlns:r="http://schemas.openxmlformats.org/officeDocument/2006/relationships" ref="C28" location="Dropdown_Lists!A1" r:id="rId13"/>
    <hyperlink xmlns:r="http://schemas.openxmlformats.org/officeDocument/2006/relationships" ref="C29" location="Employee_Data!A1" r:id="rId14"/>
  </hyperlink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H1186"/>
  <sheetViews>
    <sheetView showGridLines="0" zoomScaleNormal="100" workbookViewId="0">
      <pane ySplit="5" topLeftCell="A6" activePane="bottomLeft" state="frozen"/>
      <selection pane="bottomLeft" activeCell="J25" sqref="J25"/>
    </sheetView>
  </sheetViews>
  <sheetFormatPr baseColWidth="10" defaultColWidth="8.6640625" defaultRowHeight="15"/>
  <cols>
    <col width="13" customWidth="1" min="1" max="1"/>
    <col width="12" customWidth="1" min="2" max="2"/>
    <col width="18" customWidth="1" min="3" max="4"/>
    <col width="26" customWidth="1" min="5" max="5"/>
    <col width="10" customWidth="1" min="6" max="6"/>
    <col width="16" customWidth="1" min="7" max="7"/>
    <col width="15" customWidth="1" min="8" max="8"/>
  </cols>
  <sheetData>
    <row r="2" ht="18" customHeight="1">
      <c r="B2" s="16" t="inlineStr">
        <is>
          <t>Revenue Log</t>
        </is>
      </c>
    </row>
    <row r="3" ht="15" customHeight="1">
      <c r="B3" s="12" t="inlineStr">
        <is>
          <t>Record all income transactions</t>
        </is>
      </c>
    </row>
    <row r="4" ht="15.75" customHeight="1">
      <c r="A4" s="17" t="inlineStr">
        <is>
          <t>TOTAL:</t>
        </is>
      </c>
      <c r="H4" s="18">
        <f>SUBTOTAL(9,H6:H5000)</f>
        <v/>
      </c>
    </row>
    <row r="5" ht="23.25" customHeight="1">
      <c r="A5" s="19" t="inlineStr">
        <is>
          <t>Date</t>
        </is>
      </c>
      <c r="B5" s="19" t="inlineStr">
        <is>
          <t>Location</t>
        </is>
      </c>
      <c r="C5" s="19" t="inlineStr">
        <is>
          <t>Unit Name</t>
        </is>
      </c>
      <c r="D5" s="19" t="inlineStr">
        <is>
          <t>Account</t>
        </is>
      </c>
      <c r="E5" s="19" t="inlineStr">
        <is>
          <t>Description</t>
        </is>
      </c>
      <c r="F5" s="19" t="inlineStr">
        <is>
          <t>Txn ID</t>
        </is>
      </c>
      <c r="G5" s="19" t="inlineStr">
        <is>
          <t>Payment Method</t>
        </is>
      </c>
      <c r="H5" s="19" t="inlineStr">
        <is>
          <t>Amount</t>
        </is>
      </c>
    </row>
    <row r="6" ht="15" customHeight="1">
      <c r="A6" s="87" t="n">
        <v>45299</v>
      </c>
      <c r="B6" s="21" t="inlineStr">
        <is>
          <t>Agbowo</t>
        </is>
      </c>
      <c r="C6" s="21" t="inlineStr">
        <is>
          <t>Anooore 1</t>
        </is>
      </c>
      <c r="D6" s="21" t="inlineStr">
        <is>
          <t>Room Revenue</t>
        </is>
      </c>
      <c r="E6" s="21" t="inlineStr">
        <is>
          <t>Booking - Anooore 1</t>
        </is>
      </c>
      <c r="F6" s="21" t="inlineStr">
        <is>
          <t>R0001</t>
        </is>
      </c>
      <c r="G6" s="21" t="inlineStr">
        <is>
          <t>Bank Transfer</t>
        </is>
      </c>
      <c r="H6" s="22" t="n">
        <v>196558</v>
      </c>
    </row>
    <row r="7" ht="15" customHeight="1">
      <c r="A7" s="88" t="n">
        <v>45299</v>
      </c>
      <c r="B7" s="24" t="inlineStr">
        <is>
          <t>Agbowo</t>
        </is>
      </c>
      <c r="C7" s="24" t="inlineStr">
        <is>
          <t>Anooore 1</t>
        </is>
      </c>
      <c r="D7" s="24" t="inlineStr">
        <is>
          <t>Extra Charges</t>
        </is>
      </c>
      <c r="E7" s="24" t="inlineStr">
        <is>
          <t>TV rental</t>
        </is>
      </c>
      <c r="F7" s="24" t="inlineStr">
        <is>
          <t>R0002</t>
        </is>
      </c>
      <c r="G7" s="24" t="inlineStr">
        <is>
          <t>Cash</t>
        </is>
      </c>
      <c r="H7" s="25" t="n">
        <v>10000</v>
      </c>
    </row>
    <row r="8" ht="15" customHeight="1">
      <c r="A8" s="87" t="n">
        <v>45308</v>
      </c>
      <c r="B8" s="21" t="inlineStr">
        <is>
          <t>Agbowo</t>
        </is>
      </c>
      <c r="C8" s="21" t="inlineStr">
        <is>
          <t>Vine 1</t>
        </is>
      </c>
      <c r="D8" s="21" t="inlineStr">
        <is>
          <t>Room Revenue</t>
        </is>
      </c>
      <c r="E8" s="21" t="inlineStr">
        <is>
          <t>Booking - Vine 1</t>
        </is>
      </c>
      <c r="F8" s="21" t="inlineStr">
        <is>
          <t>R0003</t>
        </is>
      </c>
      <c r="G8" s="21" t="inlineStr">
        <is>
          <t>Cash</t>
        </is>
      </c>
      <c r="H8" s="22" t="n">
        <v>176948</v>
      </c>
    </row>
    <row r="9" ht="15" customHeight="1">
      <c r="A9" s="88" t="n">
        <v>45310</v>
      </c>
      <c r="B9" s="24" t="inlineStr">
        <is>
          <t>Agbowo</t>
        </is>
      </c>
      <c r="C9" s="24" t="inlineStr">
        <is>
          <t>Vine 2</t>
        </is>
      </c>
      <c r="D9" s="24" t="inlineStr">
        <is>
          <t>Room Revenue</t>
        </is>
      </c>
      <c r="E9" s="24" t="inlineStr">
        <is>
          <t>Booking - Vine 2</t>
        </is>
      </c>
      <c r="F9" s="24" t="inlineStr">
        <is>
          <t>R0004</t>
        </is>
      </c>
      <c r="G9" s="24" t="inlineStr">
        <is>
          <t>POS</t>
        </is>
      </c>
      <c r="H9" s="25" t="n">
        <v>354033</v>
      </c>
    </row>
    <row r="10" ht="15" customHeight="1">
      <c r="A10" s="87" t="n">
        <v>45310</v>
      </c>
      <c r="B10" s="21" t="inlineStr">
        <is>
          <t>Agbowo</t>
        </is>
      </c>
      <c r="C10" s="21" t="inlineStr">
        <is>
          <t>Vine 2</t>
        </is>
      </c>
      <c r="D10" s="21" t="inlineStr">
        <is>
          <t>Form &amp; Legal Fees</t>
        </is>
      </c>
      <c r="E10" s="21" t="inlineStr">
        <is>
          <t>Registration form fee</t>
        </is>
      </c>
      <c r="F10" s="21" t="inlineStr">
        <is>
          <t>R0005</t>
        </is>
      </c>
      <c r="G10" s="21" t="inlineStr">
        <is>
          <t>Cash</t>
        </is>
      </c>
      <c r="H10" s="22" t="n">
        <v>5000</v>
      </c>
    </row>
    <row r="11" ht="15" customHeight="1">
      <c r="A11" s="88" t="n">
        <v>45298</v>
      </c>
      <c r="B11" s="24" t="inlineStr">
        <is>
          <t>Agbowo</t>
        </is>
      </c>
      <c r="C11" s="24" t="inlineStr">
        <is>
          <t>Provision Shop</t>
        </is>
      </c>
      <c r="D11" s="24" t="inlineStr">
        <is>
          <t>Room Revenue</t>
        </is>
      </c>
      <c r="E11" s="24" t="inlineStr">
        <is>
          <t>Booking - Provision Shop</t>
        </is>
      </c>
      <c r="F11" s="24" t="inlineStr">
        <is>
          <t>R0006</t>
        </is>
      </c>
      <c r="G11" s="24" t="inlineStr">
        <is>
          <t>POS</t>
        </is>
      </c>
      <c r="H11" s="25" t="n">
        <v>298616</v>
      </c>
    </row>
    <row r="12" ht="15" customHeight="1">
      <c r="A12" s="87" t="n">
        <v>45298</v>
      </c>
      <c r="B12" s="21" t="inlineStr">
        <is>
          <t>Agbowo</t>
        </is>
      </c>
      <c r="C12" s="21" t="inlineStr">
        <is>
          <t>Provision Shop</t>
        </is>
      </c>
      <c r="D12" s="21" t="inlineStr">
        <is>
          <t>Extra Charges</t>
        </is>
      </c>
      <c r="E12" s="21" t="inlineStr">
        <is>
          <t>TV rental</t>
        </is>
      </c>
      <c r="F12" s="21" t="inlineStr">
        <is>
          <t>R0007</t>
        </is>
      </c>
      <c r="G12" s="21" t="inlineStr">
        <is>
          <t>Cash</t>
        </is>
      </c>
      <c r="H12" s="22" t="n">
        <v>25000</v>
      </c>
    </row>
    <row r="13" ht="15" customHeight="1">
      <c r="A13" s="88" t="n">
        <v>45315</v>
      </c>
      <c r="B13" s="24" t="inlineStr">
        <is>
          <t>Agbowo</t>
        </is>
      </c>
      <c r="C13" s="24" t="inlineStr">
        <is>
          <t>Salon</t>
        </is>
      </c>
      <c r="D13" s="24" t="inlineStr">
        <is>
          <t>Room Revenue</t>
        </is>
      </c>
      <c r="E13" s="24" t="inlineStr">
        <is>
          <t>Booking - Salon</t>
        </is>
      </c>
      <c r="F13" s="24" t="inlineStr">
        <is>
          <t>R0008</t>
        </is>
      </c>
      <c r="G13" s="24" t="inlineStr">
        <is>
          <t>Mobile Transfer</t>
        </is>
      </c>
      <c r="H13" s="25" t="n">
        <v>331695</v>
      </c>
    </row>
    <row r="14" ht="15" customHeight="1">
      <c r="A14" s="87" t="n">
        <v>45312</v>
      </c>
      <c r="B14" s="21" t="inlineStr">
        <is>
          <t>UI</t>
        </is>
      </c>
      <c r="C14" s="21" t="inlineStr">
        <is>
          <t>Anooore 2</t>
        </is>
      </c>
      <c r="D14" s="21" t="inlineStr">
        <is>
          <t>Room Revenue</t>
        </is>
      </c>
      <c r="E14" s="21" t="inlineStr">
        <is>
          <t>Booking - Anooore 2</t>
        </is>
      </c>
      <c r="F14" s="21" t="inlineStr">
        <is>
          <t>R0009</t>
        </is>
      </c>
      <c r="G14" s="21" t="inlineStr">
        <is>
          <t>POS</t>
        </is>
      </c>
      <c r="H14" s="22" t="n">
        <v>479317</v>
      </c>
    </row>
    <row r="15" ht="15" customHeight="1">
      <c r="A15" s="88" t="n">
        <v>45294</v>
      </c>
      <c r="B15" s="24" t="inlineStr">
        <is>
          <t>UI</t>
        </is>
      </c>
      <c r="C15" s="24" t="inlineStr">
        <is>
          <t>Scholar</t>
        </is>
      </c>
      <c r="D15" s="24" t="inlineStr">
        <is>
          <t>Room Revenue</t>
        </is>
      </c>
      <c r="E15" s="24" t="inlineStr">
        <is>
          <t>Booking - Scholar</t>
        </is>
      </c>
      <c r="F15" s="24" t="inlineStr">
        <is>
          <t>R0010</t>
        </is>
      </c>
      <c r="G15" s="24" t="inlineStr">
        <is>
          <t>Bank Transfer</t>
        </is>
      </c>
      <c r="H15" s="25" t="n">
        <v>263653</v>
      </c>
    </row>
    <row r="16" ht="15" customHeight="1">
      <c r="A16" s="87" t="n">
        <v>45303</v>
      </c>
      <c r="B16" s="21" t="inlineStr">
        <is>
          <t>UI</t>
        </is>
      </c>
      <c r="C16" s="21" t="inlineStr">
        <is>
          <t>Scholar 2</t>
        </is>
      </c>
      <c r="D16" s="21" t="inlineStr">
        <is>
          <t>Room Revenue</t>
        </is>
      </c>
      <c r="E16" s="21" t="inlineStr">
        <is>
          <t>Booking - Scholar 2</t>
        </is>
      </c>
      <c r="F16" s="21" t="inlineStr">
        <is>
          <t>R0011</t>
        </is>
      </c>
      <c r="G16" s="21" t="inlineStr">
        <is>
          <t>Bank Transfer</t>
        </is>
      </c>
      <c r="H16" s="22" t="n">
        <v>291415</v>
      </c>
    </row>
    <row r="17" ht="15" customHeight="1">
      <c r="A17" s="88" t="n">
        <v>45297</v>
      </c>
      <c r="B17" s="24" t="inlineStr">
        <is>
          <t>UI</t>
        </is>
      </c>
      <c r="C17" s="24" t="inlineStr">
        <is>
          <t>Kollege</t>
        </is>
      </c>
      <c r="D17" s="24" t="inlineStr">
        <is>
          <t>Room Revenue</t>
        </is>
      </c>
      <c r="E17" s="24" t="inlineStr">
        <is>
          <t>Booking - Kollege</t>
        </is>
      </c>
      <c r="F17" s="24" t="inlineStr">
        <is>
          <t>R0012</t>
        </is>
      </c>
      <c r="G17" s="24" t="inlineStr">
        <is>
          <t>Bank Transfer</t>
        </is>
      </c>
      <c r="H17" s="25" t="n">
        <v>191592</v>
      </c>
    </row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>
      <c r="A223" s="26" t="n"/>
      <c r="B223" s="26" t="n"/>
      <c r="C223" s="26" t="n"/>
      <c r="D223" s="26" t="n"/>
      <c r="E223" s="26" t="n"/>
      <c r="F223" s="26" t="n"/>
      <c r="G223" s="26" t="n"/>
      <c r="H223" s="26" t="n"/>
    </row>
    <row r="224" ht="15" customHeight="1">
      <c r="A224" s="26" t="n"/>
      <c r="B224" s="26" t="n"/>
      <c r="C224" s="26" t="n"/>
      <c r="D224" s="26" t="n"/>
      <c r="E224" s="26" t="n"/>
      <c r="F224" s="26" t="n"/>
      <c r="G224" s="26" t="n"/>
      <c r="H224" s="26" t="n"/>
    </row>
    <row r="225" ht="15" customHeight="1">
      <c r="A225" s="26" t="n"/>
      <c r="B225" s="26" t="n"/>
      <c r="C225" s="26" t="n"/>
      <c r="D225" s="26" t="n"/>
      <c r="E225" s="26" t="n"/>
      <c r="F225" s="26" t="n"/>
      <c r="G225" s="26" t="n"/>
      <c r="H225" s="26" t="n"/>
    </row>
    <row r="226" ht="15" customHeight="1">
      <c r="A226" s="26" t="n"/>
      <c r="B226" s="26" t="n"/>
      <c r="C226" s="26" t="n"/>
      <c r="D226" s="26" t="n"/>
      <c r="E226" s="26" t="n"/>
      <c r="F226" s="26" t="n"/>
      <c r="G226" s="26" t="n"/>
      <c r="H226" s="26" t="n"/>
    </row>
    <row r="227" ht="15" customHeight="1">
      <c r="A227" s="26" t="n"/>
      <c r="B227" s="26" t="n"/>
      <c r="C227" s="26" t="n"/>
      <c r="D227" s="26" t="n"/>
      <c r="E227" s="26" t="n"/>
      <c r="F227" s="26" t="n"/>
      <c r="G227" s="26" t="n"/>
      <c r="H227" s="26" t="n"/>
    </row>
    <row r="228" ht="15" customHeight="1">
      <c r="A228" s="26" t="n"/>
      <c r="B228" s="26" t="n"/>
      <c r="C228" s="26" t="n"/>
      <c r="D228" s="26" t="n"/>
      <c r="E228" s="26" t="n"/>
      <c r="F228" s="26" t="n"/>
      <c r="G228" s="26" t="n"/>
      <c r="H228" s="26" t="n"/>
    </row>
    <row r="229" ht="15" customHeight="1">
      <c r="A229" s="26" t="n"/>
      <c r="B229" s="26" t="n"/>
      <c r="C229" s="26" t="n"/>
      <c r="D229" s="26" t="n"/>
      <c r="E229" s="26" t="n"/>
      <c r="F229" s="26" t="n"/>
      <c r="G229" s="26" t="n"/>
      <c r="H229" s="26" t="n"/>
    </row>
    <row r="230" ht="15" customHeight="1">
      <c r="A230" s="26" t="n"/>
      <c r="B230" s="26" t="n"/>
      <c r="C230" s="26" t="n"/>
      <c r="D230" s="26" t="n"/>
      <c r="E230" s="26" t="n"/>
      <c r="F230" s="26" t="n"/>
      <c r="G230" s="26" t="n"/>
      <c r="H230" s="26" t="n"/>
    </row>
    <row r="231" ht="15" customHeight="1">
      <c r="A231" s="26" t="n"/>
      <c r="B231" s="26" t="n"/>
      <c r="C231" s="26" t="n"/>
      <c r="D231" s="26" t="n"/>
      <c r="E231" s="26" t="n"/>
      <c r="F231" s="26" t="n"/>
      <c r="G231" s="26" t="n"/>
      <c r="H231" s="26" t="n"/>
    </row>
    <row r="232" ht="15" customHeight="1">
      <c r="A232" s="26" t="n"/>
      <c r="B232" s="26" t="n"/>
      <c r="C232" s="26" t="n"/>
      <c r="D232" s="26" t="n"/>
      <c r="E232" s="26" t="n"/>
      <c r="F232" s="26" t="n"/>
      <c r="G232" s="26" t="n"/>
      <c r="H232" s="26" t="n"/>
    </row>
    <row r="233" ht="15" customHeight="1">
      <c r="A233" s="26" t="n"/>
      <c r="B233" s="26" t="n"/>
      <c r="C233" s="26" t="n"/>
      <c r="D233" s="26" t="n"/>
      <c r="E233" s="26" t="n"/>
      <c r="F233" s="26" t="n"/>
      <c r="G233" s="26" t="n"/>
      <c r="H233" s="26" t="n"/>
    </row>
    <row r="234" ht="15" customHeight="1">
      <c r="A234" s="26" t="n"/>
      <c r="B234" s="26" t="n"/>
      <c r="C234" s="26" t="n"/>
      <c r="D234" s="26" t="n"/>
      <c r="E234" s="26" t="n"/>
      <c r="F234" s="26" t="n"/>
      <c r="G234" s="26" t="n"/>
      <c r="H234" s="26" t="n"/>
    </row>
    <row r="235" ht="15" customHeight="1">
      <c r="A235" s="26" t="n"/>
      <c r="B235" s="26" t="n"/>
      <c r="C235" s="26" t="n"/>
      <c r="D235" s="26" t="n"/>
      <c r="E235" s="26" t="n"/>
      <c r="F235" s="26" t="n"/>
      <c r="G235" s="26" t="n"/>
      <c r="H235" s="26" t="n"/>
    </row>
    <row r="236" ht="15" customHeight="1">
      <c r="A236" s="26" t="n"/>
      <c r="B236" s="26" t="n"/>
      <c r="C236" s="26" t="n"/>
      <c r="D236" s="26" t="n"/>
      <c r="E236" s="26" t="n"/>
      <c r="F236" s="26" t="n"/>
      <c r="G236" s="26" t="n"/>
      <c r="H236" s="26" t="n"/>
    </row>
    <row r="237" ht="15" customHeight="1">
      <c r="A237" s="26" t="n"/>
      <c r="B237" s="26" t="n"/>
      <c r="C237" s="26" t="n"/>
      <c r="D237" s="26" t="n"/>
      <c r="E237" s="26" t="n"/>
      <c r="F237" s="26" t="n"/>
      <c r="G237" s="26" t="n"/>
      <c r="H237" s="26" t="n"/>
    </row>
    <row r="238" ht="15" customHeight="1">
      <c r="A238" s="26" t="n"/>
      <c r="B238" s="26" t="n"/>
      <c r="C238" s="26" t="n"/>
      <c r="D238" s="26" t="n"/>
      <c r="E238" s="26" t="n"/>
      <c r="F238" s="26" t="n"/>
      <c r="G238" s="26" t="n"/>
      <c r="H238" s="26" t="n"/>
    </row>
    <row r="239" ht="15" customHeight="1">
      <c r="A239" s="26" t="n"/>
      <c r="B239" s="26" t="n"/>
      <c r="C239" s="26" t="n"/>
      <c r="D239" s="26" t="n"/>
      <c r="E239" s="26" t="n"/>
      <c r="F239" s="26" t="n"/>
      <c r="G239" s="26" t="n"/>
      <c r="H239" s="26" t="n"/>
    </row>
    <row r="240" ht="15" customHeight="1">
      <c r="A240" s="26" t="n"/>
      <c r="B240" s="26" t="n"/>
      <c r="C240" s="26" t="n"/>
      <c r="D240" s="26" t="n"/>
      <c r="E240" s="26" t="n"/>
      <c r="F240" s="26" t="n"/>
      <c r="G240" s="26" t="n"/>
      <c r="H240" s="26" t="n"/>
    </row>
    <row r="241" ht="15" customHeight="1">
      <c r="A241" s="26" t="n"/>
      <c r="B241" s="26" t="n"/>
      <c r="C241" s="26" t="n"/>
      <c r="D241" s="26" t="n"/>
      <c r="E241" s="26" t="n"/>
      <c r="F241" s="26" t="n"/>
      <c r="G241" s="26" t="n"/>
      <c r="H241" s="26" t="n"/>
    </row>
    <row r="242" ht="15" customHeight="1">
      <c r="A242" s="26" t="n"/>
      <c r="B242" s="26" t="n"/>
      <c r="C242" s="26" t="n"/>
      <c r="D242" s="26" t="n"/>
      <c r="E242" s="26" t="n"/>
      <c r="F242" s="26" t="n"/>
      <c r="G242" s="26" t="n"/>
      <c r="H242" s="26" t="n"/>
    </row>
    <row r="243" ht="15" customHeight="1">
      <c r="A243" s="26" t="n"/>
      <c r="B243" s="26" t="n"/>
      <c r="C243" s="26" t="n"/>
      <c r="D243" s="26" t="n"/>
      <c r="E243" s="26" t="n"/>
      <c r="F243" s="26" t="n"/>
      <c r="G243" s="26" t="n"/>
      <c r="H243" s="26" t="n"/>
    </row>
    <row r="244" ht="15" customHeight="1">
      <c r="A244" s="26" t="n"/>
      <c r="B244" s="26" t="n"/>
      <c r="C244" s="26" t="n"/>
      <c r="D244" s="26" t="n"/>
      <c r="E244" s="26" t="n"/>
      <c r="F244" s="26" t="n"/>
      <c r="G244" s="26" t="n"/>
      <c r="H244" s="26" t="n"/>
    </row>
    <row r="245" ht="15" customHeight="1">
      <c r="A245" s="26" t="n"/>
      <c r="B245" s="26" t="n"/>
      <c r="C245" s="26" t="n"/>
      <c r="D245" s="26" t="n"/>
      <c r="E245" s="26" t="n"/>
      <c r="F245" s="26" t="n"/>
      <c r="G245" s="26" t="n"/>
      <c r="H245" s="26" t="n"/>
    </row>
    <row r="246" ht="15" customHeight="1">
      <c r="A246" s="26" t="n"/>
      <c r="B246" s="26" t="n"/>
      <c r="C246" s="26" t="n"/>
      <c r="D246" s="26" t="n"/>
      <c r="E246" s="26" t="n"/>
      <c r="F246" s="26" t="n"/>
      <c r="G246" s="26" t="n"/>
      <c r="H246" s="26" t="n"/>
    </row>
    <row r="247" ht="15" customHeight="1">
      <c r="A247" s="26" t="n"/>
      <c r="B247" s="26" t="n"/>
      <c r="C247" s="26" t="n"/>
      <c r="D247" s="26" t="n"/>
      <c r="E247" s="26" t="n"/>
      <c r="F247" s="26" t="n"/>
      <c r="G247" s="26" t="n"/>
      <c r="H247" s="26" t="n"/>
    </row>
    <row r="248" ht="15" customHeight="1">
      <c r="A248" s="26" t="n"/>
      <c r="B248" s="26" t="n"/>
      <c r="C248" s="26" t="n"/>
      <c r="D248" s="26" t="n"/>
      <c r="E248" s="26" t="n"/>
      <c r="F248" s="26" t="n"/>
      <c r="G248" s="26" t="n"/>
      <c r="H248" s="26" t="n"/>
    </row>
    <row r="249" ht="15" customHeight="1">
      <c r="A249" s="26" t="n"/>
      <c r="B249" s="26" t="n"/>
      <c r="C249" s="26" t="n"/>
      <c r="D249" s="26" t="n"/>
      <c r="E249" s="26" t="n"/>
      <c r="F249" s="26" t="n"/>
      <c r="G249" s="26" t="n"/>
      <c r="H249" s="26" t="n"/>
    </row>
    <row r="250" ht="15" customHeight="1">
      <c r="A250" s="26" t="n"/>
      <c r="B250" s="26" t="n"/>
      <c r="C250" s="26" t="n"/>
      <c r="D250" s="26" t="n"/>
      <c r="E250" s="26" t="n"/>
      <c r="F250" s="26" t="n"/>
      <c r="G250" s="26" t="n"/>
      <c r="H250" s="26" t="n"/>
    </row>
    <row r="251" ht="15" customHeight="1">
      <c r="A251" s="26" t="n"/>
      <c r="B251" s="26" t="n"/>
      <c r="C251" s="26" t="n"/>
      <c r="D251" s="26" t="n"/>
      <c r="E251" s="26" t="n"/>
      <c r="F251" s="26" t="n"/>
      <c r="G251" s="26" t="n"/>
      <c r="H251" s="26" t="n"/>
    </row>
    <row r="252" ht="15" customHeight="1">
      <c r="A252" s="26" t="n"/>
      <c r="B252" s="26" t="n"/>
      <c r="C252" s="26" t="n"/>
      <c r="D252" s="26" t="n"/>
      <c r="E252" s="26" t="n"/>
      <c r="F252" s="26" t="n"/>
      <c r="G252" s="26" t="n"/>
      <c r="H252" s="26" t="n"/>
    </row>
    <row r="253" ht="15" customHeight="1">
      <c r="A253" s="26" t="n"/>
      <c r="B253" s="26" t="n"/>
      <c r="C253" s="26" t="n"/>
      <c r="D253" s="26" t="n"/>
      <c r="E253" s="26" t="n"/>
      <c r="F253" s="26" t="n"/>
      <c r="G253" s="26" t="n"/>
      <c r="H253" s="26" t="n"/>
    </row>
    <row r="254" ht="15" customHeight="1">
      <c r="A254" s="26" t="n"/>
      <c r="B254" s="26" t="n"/>
      <c r="C254" s="26" t="n"/>
      <c r="D254" s="26" t="n"/>
      <c r="E254" s="26" t="n"/>
      <c r="F254" s="26" t="n"/>
      <c r="G254" s="26" t="n"/>
      <c r="H254" s="26" t="n"/>
    </row>
    <row r="255" ht="15" customHeight="1">
      <c r="A255" s="26" t="n"/>
      <c r="B255" s="26" t="n"/>
      <c r="C255" s="26" t="n"/>
      <c r="D255" s="26" t="n"/>
      <c r="E255" s="26" t="n"/>
      <c r="F255" s="26" t="n"/>
      <c r="G255" s="26" t="n"/>
      <c r="H255" s="26" t="n"/>
    </row>
    <row r="256" ht="15" customHeight="1">
      <c r="A256" s="26" t="n"/>
      <c r="B256" s="26" t="n"/>
      <c r="C256" s="26" t="n"/>
      <c r="D256" s="26" t="n"/>
      <c r="E256" s="26" t="n"/>
      <c r="F256" s="26" t="n"/>
      <c r="G256" s="26" t="n"/>
      <c r="H256" s="26" t="n"/>
    </row>
    <row r="257" ht="15" customHeight="1">
      <c r="A257" s="26" t="n"/>
      <c r="B257" s="26" t="n"/>
      <c r="C257" s="26" t="n"/>
      <c r="D257" s="26" t="n"/>
      <c r="E257" s="26" t="n"/>
      <c r="F257" s="26" t="n"/>
      <c r="G257" s="26" t="n"/>
      <c r="H257" s="26" t="n"/>
    </row>
    <row r="258" ht="15" customHeight="1">
      <c r="A258" s="26" t="n"/>
      <c r="B258" s="26" t="n"/>
      <c r="C258" s="26" t="n"/>
      <c r="D258" s="26" t="n"/>
      <c r="E258" s="26" t="n"/>
      <c r="F258" s="26" t="n"/>
      <c r="G258" s="26" t="n"/>
      <c r="H258" s="26" t="n"/>
    </row>
    <row r="259" ht="15" customHeight="1">
      <c r="A259" s="26" t="n"/>
      <c r="B259" s="26" t="n"/>
      <c r="C259" s="26" t="n"/>
      <c r="D259" s="26" t="n"/>
      <c r="E259" s="26" t="n"/>
      <c r="F259" s="26" t="n"/>
      <c r="G259" s="26" t="n"/>
      <c r="H259" s="26" t="n"/>
    </row>
    <row r="260" ht="15" customHeight="1">
      <c r="A260" s="26" t="n"/>
      <c r="B260" s="26" t="n"/>
      <c r="C260" s="26" t="n"/>
      <c r="D260" s="26" t="n"/>
      <c r="E260" s="26" t="n"/>
      <c r="F260" s="26" t="n"/>
      <c r="G260" s="26" t="n"/>
      <c r="H260" s="26" t="n"/>
    </row>
    <row r="261" ht="15" customHeight="1">
      <c r="A261" s="26" t="n"/>
      <c r="B261" s="26" t="n"/>
      <c r="C261" s="26" t="n"/>
      <c r="D261" s="26" t="n"/>
      <c r="E261" s="26" t="n"/>
      <c r="F261" s="26" t="n"/>
      <c r="G261" s="26" t="n"/>
      <c r="H261" s="26" t="n"/>
    </row>
    <row r="262" ht="15" customHeight="1">
      <c r="A262" s="26" t="n"/>
      <c r="B262" s="26" t="n"/>
      <c r="C262" s="26" t="n"/>
      <c r="D262" s="26" t="n"/>
      <c r="E262" s="26" t="n"/>
      <c r="F262" s="26" t="n"/>
      <c r="G262" s="26" t="n"/>
      <c r="H262" s="26" t="n"/>
    </row>
    <row r="263" ht="15" customHeight="1">
      <c r="A263" s="26" t="n"/>
      <c r="B263" s="26" t="n"/>
      <c r="C263" s="26" t="n"/>
      <c r="D263" s="26" t="n"/>
      <c r="E263" s="26" t="n"/>
      <c r="F263" s="26" t="n"/>
      <c r="G263" s="26" t="n"/>
      <c r="H263" s="26" t="n"/>
    </row>
    <row r="264" ht="15" customHeight="1">
      <c r="A264" s="26" t="n"/>
      <c r="B264" s="26" t="n"/>
      <c r="C264" s="26" t="n"/>
      <c r="D264" s="26" t="n"/>
      <c r="E264" s="26" t="n"/>
      <c r="F264" s="26" t="n"/>
      <c r="G264" s="26" t="n"/>
      <c r="H264" s="26" t="n"/>
    </row>
    <row r="265" ht="15" customHeight="1">
      <c r="A265" s="26" t="n"/>
      <c r="B265" s="26" t="n"/>
      <c r="C265" s="26" t="n"/>
      <c r="D265" s="26" t="n"/>
      <c r="E265" s="26" t="n"/>
      <c r="F265" s="26" t="n"/>
      <c r="G265" s="26" t="n"/>
      <c r="H265" s="26" t="n"/>
    </row>
    <row r="266" ht="15" customHeight="1">
      <c r="A266" s="26" t="n"/>
      <c r="B266" s="26" t="n"/>
      <c r="C266" s="26" t="n"/>
      <c r="D266" s="26" t="n"/>
      <c r="E266" s="26" t="n"/>
      <c r="F266" s="26" t="n"/>
      <c r="G266" s="26" t="n"/>
      <c r="H266" s="26" t="n"/>
    </row>
    <row r="267" ht="15" customHeight="1">
      <c r="A267" s="26" t="n"/>
      <c r="B267" s="26" t="n"/>
      <c r="C267" s="26" t="n"/>
      <c r="D267" s="26" t="n"/>
      <c r="E267" s="26" t="n"/>
      <c r="F267" s="26" t="n"/>
      <c r="G267" s="26" t="n"/>
      <c r="H267" s="26" t="n"/>
    </row>
    <row r="268" ht="15" customHeight="1">
      <c r="A268" s="26" t="n"/>
      <c r="B268" s="26" t="n"/>
      <c r="C268" s="26" t="n"/>
      <c r="D268" s="26" t="n"/>
      <c r="E268" s="26" t="n"/>
      <c r="F268" s="26" t="n"/>
      <c r="G268" s="26" t="n"/>
      <c r="H268" s="26" t="n"/>
    </row>
    <row r="269" ht="15" customHeight="1">
      <c r="A269" s="26" t="n"/>
      <c r="B269" s="26" t="n"/>
      <c r="C269" s="26" t="n"/>
      <c r="D269" s="26" t="n"/>
      <c r="E269" s="26" t="n"/>
      <c r="F269" s="26" t="n"/>
      <c r="G269" s="26" t="n"/>
      <c r="H269" s="26" t="n"/>
    </row>
    <row r="270" ht="15" customHeight="1">
      <c r="A270" s="26" t="n"/>
      <c r="B270" s="26" t="n"/>
      <c r="C270" s="26" t="n"/>
      <c r="D270" s="26" t="n"/>
      <c r="E270" s="26" t="n"/>
      <c r="F270" s="26" t="n"/>
      <c r="G270" s="26" t="n"/>
      <c r="H270" s="26" t="n"/>
    </row>
    <row r="271" ht="15" customHeight="1">
      <c r="A271" s="26" t="n"/>
      <c r="B271" s="26" t="n"/>
      <c r="C271" s="26" t="n"/>
      <c r="D271" s="26" t="n"/>
      <c r="E271" s="26" t="n"/>
      <c r="F271" s="26" t="n"/>
      <c r="G271" s="26" t="n"/>
      <c r="H271" s="26" t="n"/>
    </row>
    <row r="272" ht="15" customHeight="1">
      <c r="A272" s="26" t="n"/>
      <c r="B272" s="26" t="n"/>
      <c r="C272" s="26" t="n"/>
      <c r="D272" s="26" t="n"/>
      <c r="E272" s="26" t="n"/>
      <c r="F272" s="26" t="n"/>
      <c r="G272" s="26" t="n"/>
      <c r="H272" s="26" t="n"/>
    </row>
    <row r="273" ht="15" customHeight="1">
      <c r="A273" s="26" t="n"/>
      <c r="B273" s="26" t="n"/>
      <c r="C273" s="26" t="n"/>
      <c r="D273" s="26" t="n"/>
      <c r="E273" s="26" t="n"/>
      <c r="F273" s="26" t="n"/>
      <c r="G273" s="26" t="n"/>
      <c r="H273" s="26" t="n"/>
    </row>
    <row r="274" ht="15" customHeight="1">
      <c r="A274" s="26" t="n"/>
      <c r="B274" s="26" t="n"/>
      <c r="C274" s="26" t="n"/>
      <c r="D274" s="26" t="n"/>
      <c r="E274" s="26" t="n"/>
      <c r="F274" s="26" t="n"/>
      <c r="G274" s="26" t="n"/>
      <c r="H274" s="26" t="n"/>
    </row>
    <row r="275" ht="15" customHeight="1">
      <c r="A275" s="26" t="n"/>
      <c r="B275" s="26" t="n"/>
      <c r="C275" s="26" t="n"/>
      <c r="D275" s="26" t="n"/>
      <c r="E275" s="26" t="n"/>
      <c r="F275" s="26" t="n"/>
      <c r="G275" s="26" t="n"/>
      <c r="H275" s="26" t="n"/>
    </row>
    <row r="276" ht="15" customHeight="1">
      <c r="A276" s="26" t="n"/>
      <c r="B276" s="26" t="n"/>
      <c r="C276" s="26" t="n"/>
      <c r="D276" s="26" t="n"/>
      <c r="E276" s="26" t="n"/>
      <c r="F276" s="26" t="n"/>
      <c r="G276" s="26" t="n"/>
      <c r="H276" s="26" t="n"/>
    </row>
    <row r="277" ht="15" customHeight="1">
      <c r="A277" s="26" t="n"/>
      <c r="B277" s="26" t="n"/>
      <c r="C277" s="26" t="n"/>
      <c r="D277" s="26" t="n"/>
      <c r="E277" s="26" t="n"/>
      <c r="F277" s="26" t="n"/>
      <c r="G277" s="26" t="n"/>
      <c r="H277" s="26" t="n"/>
    </row>
    <row r="278" ht="15" customHeight="1">
      <c r="A278" s="26" t="n"/>
      <c r="B278" s="26" t="n"/>
      <c r="C278" s="26" t="n"/>
      <c r="D278" s="26" t="n"/>
      <c r="E278" s="26" t="n"/>
      <c r="F278" s="26" t="n"/>
      <c r="G278" s="26" t="n"/>
      <c r="H278" s="26" t="n"/>
    </row>
    <row r="279" ht="15" customHeight="1">
      <c r="A279" s="26" t="n"/>
      <c r="B279" s="26" t="n"/>
      <c r="C279" s="26" t="n"/>
      <c r="D279" s="26" t="n"/>
      <c r="E279" s="26" t="n"/>
      <c r="F279" s="26" t="n"/>
      <c r="G279" s="26" t="n"/>
      <c r="H279" s="26" t="n"/>
    </row>
    <row r="280" ht="15" customHeight="1">
      <c r="A280" s="26" t="n"/>
      <c r="B280" s="26" t="n"/>
      <c r="C280" s="26" t="n"/>
      <c r="D280" s="26" t="n"/>
      <c r="E280" s="26" t="n"/>
      <c r="F280" s="26" t="n"/>
      <c r="G280" s="26" t="n"/>
      <c r="H280" s="26" t="n"/>
    </row>
    <row r="281" ht="15" customHeight="1">
      <c r="A281" s="26" t="n"/>
      <c r="B281" s="26" t="n"/>
      <c r="C281" s="26" t="n"/>
      <c r="D281" s="26" t="n"/>
      <c r="E281" s="26" t="n"/>
      <c r="F281" s="26" t="n"/>
      <c r="G281" s="26" t="n"/>
      <c r="H281" s="26" t="n"/>
    </row>
    <row r="282" ht="15" customHeight="1">
      <c r="A282" s="26" t="n"/>
      <c r="B282" s="26" t="n"/>
      <c r="C282" s="26" t="n"/>
      <c r="D282" s="26" t="n"/>
      <c r="E282" s="26" t="n"/>
      <c r="F282" s="26" t="n"/>
      <c r="G282" s="26" t="n"/>
      <c r="H282" s="26" t="n"/>
    </row>
    <row r="283" ht="15" customHeight="1">
      <c r="A283" s="26" t="n"/>
      <c r="B283" s="26" t="n"/>
      <c r="C283" s="26" t="n"/>
      <c r="D283" s="26" t="n"/>
      <c r="E283" s="26" t="n"/>
      <c r="F283" s="26" t="n"/>
      <c r="G283" s="26" t="n"/>
      <c r="H283" s="26" t="n"/>
    </row>
    <row r="284" ht="15" customHeight="1">
      <c r="A284" s="26" t="n"/>
      <c r="B284" s="26" t="n"/>
      <c r="C284" s="26" t="n"/>
      <c r="D284" s="26" t="n"/>
      <c r="E284" s="26" t="n"/>
      <c r="F284" s="26" t="n"/>
      <c r="G284" s="26" t="n"/>
      <c r="H284" s="26" t="n"/>
    </row>
    <row r="285" ht="15" customHeight="1">
      <c r="A285" s="26" t="n"/>
      <c r="B285" s="26" t="n"/>
      <c r="C285" s="26" t="n"/>
      <c r="D285" s="26" t="n"/>
      <c r="E285" s="26" t="n"/>
      <c r="F285" s="26" t="n"/>
      <c r="G285" s="26" t="n"/>
      <c r="H285" s="26" t="n"/>
    </row>
    <row r="286" ht="15" customHeight="1">
      <c r="A286" s="26" t="n"/>
      <c r="B286" s="26" t="n"/>
      <c r="C286" s="26" t="n"/>
      <c r="D286" s="26" t="n"/>
      <c r="E286" s="26" t="n"/>
      <c r="F286" s="26" t="n"/>
      <c r="G286" s="26" t="n"/>
      <c r="H286" s="26" t="n"/>
    </row>
    <row r="287" ht="15" customHeight="1">
      <c r="A287" s="26" t="n"/>
      <c r="B287" s="26" t="n"/>
      <c r="C287" s="26" t="n"/>
      <c r="D287" s="26" t="n"/>
      <c r="E287" s="26" t="n"/>
      <c r="F287" s="26" t="n"/>
      <c r="G287" s="26" t="n"/>
      <c r="H287" s="26" t="n"/>
    </row>
    <row r="288" ht="15" customHeight="1">
      <c r="A288" s="26" t="n"/>
      <c r="B288" s="26" t="n"/>
      <c r="C288" s="26" t="n"/>
      <c r="D288" s="26" t="n"/>
      <c r="E288" s="26" t="n"/>
      <c r="F288" s="26" t="n"/>
      <c r="G288" s="26" t="n"/>
      <c r="H288" s="26" t="n"/>
    </row>
    <row r="289" ht="15" customHeight="1">
      <c r="A289" s="26" t="n"/>
      <c r="B289" s="26" t="n"/>
      <c r="C289" s="26" t="n"/>
      <c r="D289" s="26" t="n"/>
      <c r="E289" s="26" t="n"/>
      <c r="F289" s="26" t="n"/>
      <c r="G289" s="26" t="n"/>
      <c r="H289" s="26" t="n"/>
    </row>
    <row r="290" ht="15" customHeight="1">
      <c r="A290" s="26" t="n"/>
      <c r="B290" s="26" t="n"/>
      <c r="C290" s="26" t="n"/>
      <c r="D290" s="26" t="n"/>
      <c r="E290" s="26" t="n"/>
      <c r="F290" s="26" t="n"/>
      <c r="G290" s="26" t="n"/>
      <c r="H290" s="26" t="n"/>
    </row>
    <row r="291" ht="15" customHeight="1">
      <c r="A291" s="26" t="n"/>
      <c r="B291" s="26" t="n"/>
      <c r="C291" s="26" t="n"/>
      <c r="D291" s="26" t="n"/>
      <c r="E291" s="26" t="n"/>
      <c r="F291" s="26" t="n"/>
      <c r="G291" s="26" t="n"/>
      <c r="H291" s="26" t="n"/>
    </row>
    <row r="292" ht="15" customHeight="1">
      <c r="A292" s="26" t="n"/>
      <c r="B292" s="26" t="n"/>
      <c r="C292" s="26" t="n"/>
      <c r="D292" s="26" t="n"/>
      <c r="E292" s="26" t="n"/>
      <c r="F292" s="26" t="n"/>
      <c r="G292" s="26" t="n"/>
      <c r="H292" s="26" t="n"/>
    </row>
    <row r="293" ht="15" customHeight="1">
      <c r="A293" s="26" t="n"/>
      <c r="B293" s="26" t="n"/>
      <c r="C293" s="26" t="n"/>
      <c r="D293" s="26" t="n"/>
      <c r="E293" s="26" t="n"/>
      <c r="F293" s="26" t="n"/>
      <c r="G293" s="26" t="n"/>
      <c r="H293" s="26" t="n"/>
    </row>
    <row r="294" ht="15" customHeight="1">
      <c r="A294" s="26" t="n"/>
      <c r="B294" s="26" t="n"/>
      <c r="C294" s="26" t="n"/>
      <c r="D294" s="26" t="n"/>
      <c r="E294" s="26" t="n"/>
      <c r="F294" s="26" t="n"/>
      <c r="G294" s="26" t="n"/>
      <c r="H294" s="26" t="n"/>
    </row>
    <row r="295" ht="15" customHeight="1">
      <c r="A295" s="26" t="n"/>
      <c r="B295" s="26" t="n"/>
      <c r="C295" s="26" t="n"/>
      <c r="D295" s="26" t="n"/>
      <c r="E295" s="26" t="n"/>
      <c r="F295" s="26" t="n"/>
      <c r="G295" s="26" t="n"/>
      <c r="H295" s="26" t="n"/>
    </row>
    <row r="296" ht="15" customHeight="1">
      <c r="A296" s="26" t="n"/>
      <c r="B296" s="26" t="n"/>
      <c r="C296" s="26" t="n"/>
      <c r="D296" s="26" t="n"/>
      <c r="E296" s="26" t="n"/>
      <c r="F296" s="26" t="n"/>
      <c r="G296" s="26" t="n"/>
      <c r="H296" s="26" t="n"/>
    </row>
    <row r="297" ht="15" customHeight="1">
      <c r="A297" s="26" t="n"/>
      <c r="B297" s="26" t="n"/>
      <c r="C297" s="26" t="n"/>
      <c r="D297" s="26" t="n"/>
      <c r="E297" s="26" t="n"/>
      <c r="F297" s="26" t="n"/>
      <c r="G297" s="26" t="n"/>
      <c r="H297" s="26" t="n"/>
    </row>
    <row r="298" ht="15" customHeight="1">
      <c r="A298" s="26" t="n"/>
      <c r="B298" s="26" t="n"/>
      <c r="C298" s="26" t="n"/>
      <c r="D298" s="26" t="n"/>
      <c r="E298" s="26" t="n"/>
      <c r="F298" s="26" t="n"/>
      <c r="G298" s="26" t="n"/>
      <c r="H298" s="26" t="n"/>
    </row>
    <row r="299" ht="15" customHeight="1">
      <c r="A299" s="26" t="n"/>
      <c r="B299" s="26" t="n"/>
      <c r="C299" s="26" t="n"/>
      <c r="D299" s="26" t="n"/>
      <c r="E299" s="26" t="n"/>
      <c r="F299" s="26" t="n"/>
      <c r="G299" s="26" t="n"/>
      <c r="H299" s="26" t="n"/>
    </row>
    <row r="300" ht="15" customHeight="1">
      <c r="A300" s="26" t="n"/>
      <c r="B300" s="26" t="n"/>
      <c r="C300" s="26" t="n"/>
      <c r="D300" s="26" t="n"/>
      <c r="E300" s="26" t="n"/>
      <c r="F300" s="26" t="n"/>
      <c r="G300" s="26" t="n"/>
      <c r="H300" s="26" t="n"/>
    </row>
    <row r="301" ht="15" customHeight="1">
      <c r="A301" s="26" t="n"/>
      <c r="B301" s="26" t="n"/>
      <c r="C301" s="26" t="n"/>
      <c r="D301" s="26" t="n"/>
      <c r="E301" s="26" t="n"/>
      <c r="F301" s="26" t="n"/>
      <c r="G301" s="26" t="n"/>
      <c r="H301" s="26" t="n"/>
    </row>
    <row r="302" ht="15" customHeight="1">
      <c r="A302" s="26" t="n"/>
      <c r="B302" s="26" t="n"/>
      <c r="C302" s="26" t="n"/>
      <c r="D302" s="26" t="n"/>
      <c r="E302" s="26" t="n"/>
      <c r="F302" s="26" t="n"/>
      <c r="G302" s="26" t="n"/>
      <c r="H302" s="26" t="n"/>
    </row>
    <row r="303" ht="15" customHeight="1">
      <c r="A303" s="26" t="n"/>
      <c r="B303" s="26" t="n"/>
      <c r="C303" s="26" t="n"/>
      <c r="D303" s="26" t="n"/>
      <c r="E303" s="26" t="n"/>
      <c r="F303" s="26" t="n"/>
      <c r="G303" s="26" t="n"/>
      <c r="H303" s="26" t="n"/>
    </row>
    <row r="304" ht="15" customHeight="1">
      <c r="A304" s="26" t="n"/>
      <c r="B304" s="26" t="n"/>
      <c r="C304" s="26" t="n"/>
      <c r="D304" s="26" t="n"/>
      <c r="E304" s="26" t="n"/>
      <c r="F304" s="26" t="n"/>
      <c r="G304" s="26" t="n"/>
      <c r="H304" s="26" t="n"/>
    </row>
    <row r="305" ht="15" customHeight="1">
      <c r="A305" s="26" t="n"/>
      <c r="B305" s="26" t="n"/>
      <c r="C305" s="26" t="n"/>
      <c r="D305" s="26" t="n"/>
      <c r="E305" s="26" t="n"/>
      <c r="F305" s="26" t="n"/>
      <c r="G305" s="26" t="n"/>
      <c r="H305" s="26" t="n"/>
    </row>
    <row r="306" ht="15" customHeight="1">
      <c r="A306" s="26" t="n"/>
      <c r="B306" s="26" t="n"/>
      <c r="C306" s="26" t="n"/>
      <c r="D306" s="26" t="n"/>
      <c r="E306" s="26" t="n"/>
      <c r="F306" s="26" t="n"/>
      <c r="G306" s="26" t="n"/>
      <c r="H306" s="26" t="n"/>
    </row>
    <row r="307" ht="15" customHeight="1">
      <c r="A307" s="26" t="n"/>
      <c r="B307" s="26" t="n"/>
      <c r="C307" s="26" t="n"/>
      <c r="D307" s="26" t="n"/>
      <c r="E307" s="26" t="n"/>
      <c r="F307" s="26" t="n"/>
      <c r="G307" s="26" t="n"/>
      <c r="H307" s="26" t="n"/>
    </row>
    <row r="308" ht="15" customHeight="1">
      <c r="A308" s="26" t="n"/>
      <c r="B308" s="26" t="n"/>
      <c r="C308" s="26" t="n"/>
      <c r="D308" s="26" t="n"/>
      <c r="E308" s="26" t="n"/>
      <c r="F308" s="26" t="n"/>
      <c r="G308" s="26" t="n"/>
      <c r="H308" s="26" t="n"/>
    </row>
    <row r="309" ht="15" customHeight="1">
      <c r="A309" s="26" t="n"/>
      <c r="B309" s="26" t="n"/>
      <c r="C309" s="26" t="n"/>
      <c r="D309" s="26" t="n"/>
      <c r="E309" s="26" t="n"/>
      <c r="F309" s="26" t="n"/>
      <c r="G309" s="26" t="n"/>
      <c r="H309" s="26" t="n"/>
    </row>
    <row r="310" ht="15" customHeight="1">
      <c r="A310" s="26" t="n"/>
      <c r="B310" s="26" t="n"/>
      <c r="C310" s="26" t="n"/>
      <c r="D310" s="26" t="n"/>
      <c r="E310" s="26" t="n"/>
      <c r="F310" s="26" t="n"/>
      <c r="G310" s="26" t="n"/>
      <c r="H310" s="26" t="n"/>
    </row>
    <row r="311" ht="15" customHeight="1">
      <c r="A311" s="26" t="n"/>
      <c r="B311" s="26" t="n"/>
      <c r="C311" s="26" t="n"/>
      <c r="D311" s="26" t="n"/>
      <c r="E311" s="26" t="n"/>
      <c r="F311" s="26" t="n"/>
      <c r="G311" s="26" t="n"/>
      <c r="H311" s="26" t="n"/>
    </row>
    <row r="312" ht="15" customHeight="1">
      <c r="A312" s="26" t="n"/>
      <c r="B312" s="26" t="n"/>
      <c r="C312" s="26" t="n"/>
      <c r="D312" s="26" t="n"/>
      <c r="E312" s="26" t="n"/>
      <c r="F312" s="26" t="n"/>
      <c r="G312" s="26" t="n"/>
      <c r="H312" s="26" t="n"/>
    </row>
    <row r="313" ht="15" customHeight="1">
      <c r="A313" s="26" t="n"/>
      <c r="B313" s="26" t="n"/>
      <c r="C313" s="26" t="n"/>
      <c r="D313" s="26" t="n"/>
      <c r="E313" s="26" t="n"/>
      <c r="F313" s="26" t="n"/>
      <c r="G313" s="26" t="n"/>
      <c r="H313" s="26" t="n"/>
    </row>
    <row r="314" ht="15" customHeight="1">
      <c r="A314" s="26" t="n"/>
      <c r="B314" s="26" t="n"/>
      <c r="C314" s="26" t="n"/>
      <c r="D314" s="26" t="n"/>
      <c r="E314" s="26" t="n"/>
      <c r="F314" s="26" t="n"/>
      <c r="G314" s="26" t="n"/>
      <c r="H314" s="26" t="n"/>
    </row>
    <row r="315" ht="15" customHeight="1">
      <c r="A315" s="26" t="n"/>
      <c r="B315" s="26" t="n"/>
      <c r="C315" s="26" t="n"/>
      <c r="D315" s="26" t="n"/>
      <c r="E315" s="26" t="n"/>
      <c r="F315" s="26" t="n"/>
      <c r="G315" s="26" t="n"/>
      <c r="H315" s="26" t="n"/>
    </row>
    <row r="316" ht="15" customHeight="1">
      <c r="A316" s="26" t="n"/>
      <c r="B316" s="26" t="n"/>
      <c r="C316" s="26" t="n"/>
      <c r="D316" s="26" t="n"/>
      <c r="E316" s="26" t="n"/>
      <c r="F316" s="26" t="n"/>
      <c r="G316" s="26" t="n"/>
      <c r="H316" s="26" t="n"/>
    </row>
    <row r="317" ht="15" customHeight="1">
      <c r="A317" s="26" t="n"/>
      <c r="B317" s="26" t="n"/>
      <c r="C317" s="26" t="n"/>
      <c r="D317" s="26" t="n"/>
      <c r="E317" s="26" t="n"/>
      <c r="F317" s="26" t="n"/>
      <c r="G317" s="26" t="n"/>
      <c r="H317" s="26" t="n"/>
    </row>
    <row r="318" ht="15" customHeight="1">
      <c r="A318" s="26" t="n"/>
      <c r="B318" s="26" t="n"/>
      <c r="C318" s="26" t="n"/>
      <c r="D318" s="26" t="n"/>
      <c r="E318" s="26" t="n"/>
      <c r="F318" s="26" t="n"/>
      <c r="G318" s="26" t="n"/>
      <c r="H318" s="26" t="n"/>
    </row>
    <row r="319" ht="15" customHeight="1">
      <c r="A319" s="26" t="n"/>
      <c r="B319" s="26" t="n"/>
      <c r="C319" s="26" t="n"/>
      <c r="D319" s="26" t="n"/>
      <c r="E319" s="26" t="n"/>
      <c r="F319" s="26" t="n"/>
      <c r="G319" s="26" t="n"/>
      <c r="H319" s="26" t="n"/>
    </row>
    <row r="320" ht="15" customHeight="1">
      <c r="A320" s="26" t="n"/>
      <c r="B320" s="26" t="n"/>
      <c r="C320" s="26" t="n"/>
      <c r="D320" s="26" t="n"/>
      <c r="E320" s="26" t="n"/>
      <c r="F320" s="26" t="n"/>
      <c r="G320" s="26" t="n"/>
      <c r="H320" s="26" t="n"/>
    </row>
    <row r="321" ht="15" customHeight="1">
      <c r="A321" s="26" t="n"/>
      <c r="B321" s="26" t="n"/>
      <c r="C321" s="26" t="n"/>
      <c r="D321" s="26" t="n"/>
      <c r="E321" s="26" t="n"/>
      <c r="F321" s="26" t="n"/>
      <c r="G321" s="26" t="n"/>
      <c r="H321" s="26" t="n"/>
    </row>
    <row r="322" ht="15" customHeight="1">
      <c r="A322" s="26" t="n"/>
      <c r="B322" s="26" t="n"/>
      <c r="C322" s="26" t="n"/>
      <c r="D322" s="26" t="n"/>
      <c r="E322" s="26" t="n"/>
      <c r="F322" s="26" t="n"/>
      <c r="G322" s="26" t="n"/>
      <c r="H322" s="26" t="n"/>
    </row>
    <row r="323" ht="15" customHeight="1">
      <c r="A323" s="26" t="n"/>
      <c r="B323" s="26" t="n"/>
      <c r="C323" s="26" t="n"/>
      <c r="D323" s="26" t="n"/>
      <c r="E323" s="26" t="n"/>
      <c r="F323" s="26" t="n"/>
      <c r="G323" s="26" t="n"/>
      <c r="H323" s="26" t="n"/>
    </row>
    <row r="324" ht="15" customHeight="1">
      <c r="A324" s="26" t="n"/>
      <c r="B324" s="26" t="n"/>
      <c r="C324" s="26" t="n"/>
      <c r="D324" s="26" t="n"/>
      <c r="E324" s="26" t="n"/>
      <c r="F324" s="26" t="n"/>
      <c r="G324" s="26" t="n"/>
      <c r="H324" s="26" t="n"/>
    </row>
    <row r="325" ht="15" customHeight="1">
      <c r="A325" s="26" t="n"/>
      <c r="B325" s="26" t="n"/>
      <c r="C325" s="26" t="n"/>
      <c r="D325" s="26" t="n"/>
      <c r="E325" s="26" t="n"/>
      <c r="F325" s="26" t="n"/>
      <c r="G325" s="26" t="n"/>
      <c r="H325" s="26" t="n"/>
    </row>
    <row r="326" ht="15" customHeight="1">
      <c r="A326" s="26" t="n"/>
      <c r="B326" s="26" t="n"/>
      <c r="C326" s="26" t="n"/>
      <c r="D326" s="26" t="n"/>
      <c r="E326" s="26" t="n"/>
      <c r="F326" s="26" t="n"/>
      <c r="G326" s="26" t="n"/>
      <c r="H326" s="26" t="n"/>
    </row>
    <row r="327" ht="15" customHeight="1">
      <c r="A327" s="26" t="n"/>
      <c r="B327" s="26" t="n"/>
      <c r="C327" s="26" t="n"/>
      <c r="D327" s="26" t="n"/>
      <c r="E327" s="26" t="n"/>
      <c r="F327" s="26" t="n"/>
      <c r="G327" s="26" t="n"/>
      <c r="H327" s="26" t="n"/>
    </row>
    <row r="328" ht="15" customHeight="1">
      <c r="A328" s="26" t="n"/>
      <c r="B328" s="26" t="n"/>
      <c r="C328" s="26" t="n"/>
      <c r="D328" s="26" t="n"/>
      <c r="E328" s="26" t="n"/>
      <c r="F328" s="26" t="n"/>
      <c r="G328" s="26" t="n"/>
      <c r="H328" s="26" t="n"/>
    </row>
    <row r="329" ht="15" customHeight="1">
      <c r="A329" s="26" t="n"/>
      <c r="B329" s="26" t="n"/>
      <c r="C329" s="26" t="n"/>
      <c r="D329" s="26" t="n"/>
      <c r="E329" s="26" t="n"/>
      <c r="F329" s="26" t="n"/>
      <c r="G329" s="26" t="n"/>
      <c r="H329" s="26" t="n"/>
    </row>
    <row r="330" ht="15" customHeight="1">
      <c r="A330" s="26" t="n"/>
      <c r="B330" s="26" t="n"/>
      <c r="C330" s="26" t="n"/>
      <c r="D330" s="26" t="n"/>
      <c r="E330" s="26" t="n"/>
      <c r="F330" s="26" t="n"/>
      <c r="G330" s="26" t="n"/>
      <c r="H330" s="26" t="n"/>
    </row>
    <row r="331" ht="15" customHeight="1">
      <c r="A331" s="26" t="n"/>
      <c r="B331" s="26" t="n"/>
      <c r="C331" s="26" t="n"/>
      <c r="D331" s="26" t="n"/>
      <c r="E331" s="26" t="n"/>
      <c r="F331" s="26" t="n"/>
      <c r="G331" s="26" t="n"/>
      <c r="H331" s="26" t="n"/>
    </row>
    <row r="332" ht="15" customHeight="1">
      <c r="A332" s="26" t="n"/>
      <c r="B332" s="26" t="n"/>
      <c r="C332" s="26" t="n"/>
      <c r="D332" s="26" t="n"/>
      <c r="E332" s="26" t="n"/>
      <c r="F332" s="26" t="n"/>
      <c r="G332" s="26" t="n"/>
      <c r="H332" s="26" t="n"/>
    </row>
    <row r="333" ht="15" customHeight="1">
      <c r="A333" s="26" t="n"/>
      <c r="B333" s="26" t="n"/>
      <c r="C333" s="26" t="n"/>
      <c r="D333" s="26" t="n"/>
      <c r="E333" s="26" t="n"/>
      <c r="F333" s="26" t="n"/>
      <c r="G333" s="26" t="n"/>
      <c r="H333" s="26" t="n"/>
    </row>
    <row r="334" ht="15" customHeight="1">
      <c r="A334" s="26" t="n"/>
      <c r="B334" s="26" t="n"/>
      <c r="C334" s="26" t="n"/>
      <c r="D334" s="26" t="n"/>
      <c r="E334" s="26" t="n"/>
      <c r="F334" s="26" t="n"/>
      <c r="G334" s="26" t="n"/>
      <c r="H334" s="26" t="n"/>
    </row>
    <row r="335" ht="15" customHeight="1">
      <c r="A335" s="26" t="n"/>
      <c r="B335" s="26" t="n"/>
      <c r="C335" s="26" t="n"/>
      <c r="D335" s="26" t="n"/>
      <c r="E335" s="26" t="n"/>
      <c r="F335" s="26" t="n"/>
      <c r="G335" s="26" t="n"/>
      <c r="H335" s="26" t="n"/>
    </row>
    <row r="336" ht="15" customHeight="1">
      <c r="A336" s="26" t="n"/>
      <c r="B336" s="26" t="n"/>
      <c r="C336" s="26" t="n"/>
      <c r="D336" s="26" t="n"/>
      <c r="E336" s="26" t="n"/>
      <c r="F336" s="26" t="n"/>
      <c r="G336" s="26" t="n"/>
      <c r="H336" s="26" t="n"/>
    </row>
    <row r="337" ht="15" customHeight="1">
      <c r="A337" s="26" t="n"/>
      <c r="B337" s="26" t="n"/>
      <c r="C337" s="26" t="n"/>
      <c r="D337" s="26" t="n"/>
      <c r="E337" s="26" t="n"/>
      <c r="F337" s="26" t="n"/>
      <c r="G337" s="26" t="n"/>
      <c r="H337" s="26" t="n"/>
    </row>
    <row r="338" ht="15" customHeight="1">
      <c r="A338" s="26" t="n"/>
      <c r="B338" s="26" t="n"/>
      <c r="C338" s="26" t="n"/>
      <c r="D338" s="26" t="n"/>
      <c r="E338" s="26" t="n"/>
      <c r="F338" s="26" t="n"/>
      <c r="G338" s="26" t="n"/>
      <c r="H338" s="26" t="n"/>
    </row>
    <row r="339" ht="15" customHeight="1">
      <c r="A339" s="26" t="n"/>
      <c r="B339" s="26" t="n"/>
      <c r="C339" s="26" t="n"/>
      <c r="D339" s="26" t="n"/>
      <c r="E339" s="26" t="n"/>
      <c r="F339" s="26" t="n"/>
      <c r="G339" s="26" t="n"/>
      <c r="H339" s="26" t="n"/>
    </row>
    <row r="340" ht="15" customHeight="1">
      <c r="A340" s="26" t="n"/>
      <c r="B340" s="26" t="n"/>
      <c r="C340" s="26" t="n"/>
      <c r="D340" s="26" t="n"/>
      <c r="E340" s="26" t="n"/>
      <c r="F340" s="26" t="n"/>
      <c r="G340" s="26" t="n"/>
      <c r="H340" s="26" t="n"/>
    </row>
    <row r="341" ht="15" customHeight="1">
      <c r="A341" s="26" t="n"/>
      <c r="B341" s="26" t="n"/>
      <c r="C341" s="26" t="n"/>
      <c r="D341" s="26" t="n"/>
      <c r="E341" s="26" t="n"/>
      <c r="F341" s="26" t="n"/>
      <c r="G341" s="26" t="n"/>
      <c r="H341" s="26" t="n"/>
    </row>
    <row r="342" ht="15" customHeight="1">
      <c r="A342" s="26" t="n"/>
      <c r="B342" s="26" t="n"/>
      <c r="C342" s="26" t="n"/>
      <c r="D342" s="26" t="n"/>
      <c r="E342" s="26" t="n"/>
      <c r="F342" s="26" t="n"/>
      <c r="G342" s="26" t="n"/>
      <c r="H342" s="26" t="n"/>
    </row>
    <row r="343" ht="15" customHeight="1">
      <c r="A343" s="26" t="n"/>
      <c r="B343" s="26" t="n"/>
      <c r="C343" s="26" t="n"/>
      <c r="D343" s="26" t="n"/>
      <c r="E343" s="26" t="n"/>
      <c r="F343" s="26" t="n"/>
      <c r="G343" s="26" t="n"/>
      <c r="H343" s="26" t="n"/>
    </row>
    <row r="344" ht="15" customHeight="1">
      <c r="A344" s="26" t="n"/>
      <c r="B344" s="26" t="n"/>
      <c r="C344" s="26" t="n"/>
      <c r="D344" s="26" t="n"/>
      <c r="E344" s="26" t="n"/>
      <c r="F344" s="26" t="n"/>
      <c r="G344" s="26" t="n"/>
      <c r="H344" s="26" t="n"/>
    </row>
    <row r="345" ht="15" customHeight="1">
      <c r="A345" s="26" t="n"/>
      <c r="B345" s="26" t="n"/>
      <c r="C345" s="26" t="n"/>
      <c r="D345" s="26" t="n"/>
      <c r="E345" s="26" t="n"/>
      <c r="F345" s="26" t="n"/>
      <c r="G345" s="26" t="n"/>
      <c r="H345" s="26" t="n"/>
    </row>
    <row r="346" ht="15" customHeight="1">
      <c r="A346" s="26" t="n"/>
      <c r="B346" s="26" t="n"/>
      <c r="C346" s="26" t="n"/>
      <c r="D346" s="26" t="n"/>
      <c r="E346" s="26" t="n"/>
      <c r="F346" s="26" t="n"/>
      <c r="G346" s="26" t="n"/>
      <c r="H346" s="26" t="n"/>
    </row>
    <row r="347" ht="15" customHeight="1">
      <c r="A347" s="26" t="n"/>
      <c r="B347" s="26" t="n"/>
      <c r="C347" s="26" t="n"/>
      <c r="D347" s="26" t="n"/>
      <c r="E347" s="26" t="n"/>
      <c r="F347" s="26" t="n"/>
      <c r="G347" s="26" t="n"/>
      <c r="H347" s="26" t="n"/>
    </row>
    <row r="348" ht="15" customHeight="1">
      <c r="A348" s="26" t="n"/>
      <c r="B348" s="26" t="n"/>
      <c r="C348" s="26" t="n"/>
      <c r="D348" s="26" t="n"/>
      <c r="E348" s="26" t="n"/>
      <c r="F348" s="26" t="n"/>
      <c r="G348" s="26" t="n"/>
      <c r="H348" s="26" t="n"/>
    </row>
    <row r="349" ht="15" customHeight="1">
      <c r="A349" s="26" t="n"/>
      <c r="B349" s="26" t="n"/>
      <c r="C349" s="26" t="n"/>
      <c r="D349" s="26" t="n"/>
      <c r="E349" s="26" t="n"/>
      <c r="F349" s="26" t="n"/>
      <c r="G349" s="26" t="n"/>
      <c r="H349" s="26" t="n"/>
    </row>
    <row r="350" ht="15" customHeight="1">
      <c r="A350" s="26" t="n"/>
      <c r="B350" s="26" t="n"/>
      <c r="C350" s="26" t="n"/>
      <c r="D350" s="26" t="n"/>
      <c r="E350" s="26" t="n"/>
      <c r="F350" s="26" t="n"/>
      <c r="G350" s="26" t="n"/>
      <c r="H350" s="26" t="n"/>
    </row>
    <row r="351" ht="15" customHeight="1">
      <c r="A351" s="26" t="n"/>
      <c r="B351" s="26" t="n"/>
      <c r="C351" s="26" t="n"/>
      <c r="D351" s="26" t="n"/>
      <c r="E351" s="26" t="n"/>
      <c r="F351" s="26" t="n"/>
      <c r="G351" s="26" t="n"/>
      <c r="H351" s="26" t="n"/>
    </row>
    <row r="352" ht="15" customHeight="1">
      <c r="A352" s="26" t="n"/>
      <c r="B352" s="26" t="n"/>
      <c r="C352" s="26" t="n"/>
      <c r="D352" s="26" t="n"/>
      <c r="E352" s="26" t="n"/>
      <c r="F352" s="26" t="n"/>
      <c r="G352" s="26" t="n"/>
      <c r="H352" s="26" t="n"/>
    </row>
    <row r="353" ht="15" customHeight="1">
      <c r="A353" s="26" t="n"/>
      <c r="B353" s="26" t="n"/>
      <c r="C353" s="26" t="n"/>
      <c r="D353" s="26" t="n"/>
      <c r="E353" s="26" t="n"/>
      <c r="F353" s="26" t="n"/>
      <c r="G353" s="26" t="n"/>
      <c r="H353" s="26" t="n"/>
    </row>
    <row r="354" ht="15" customHeight="1">
      <c r="A354" s="26" t="n"/>
      <c r="B354" s="26" t="n"/>
      <c r="C354" s="26" t="n"/>
      <c r="D354" s="26" t="n"/>
      <c r="E354" s="26" t="n"/>
      <c r="F354" s="26" t="n"/>
      <c r="G354" s="26" t="n"/>
      <c r="H354" s="26" t="n"/>
    </row>
    <row r="355" ht="15" customHeight="1">
      <c r="A355" s="26" t="n"/>
      <c r="B355" s="26" t="n"/>
      <c r="C355" s="26" t="n"/>
      <c r="D355" s="26" t="n"/>
      <c r="E355" s="26" t="n"/>
      <c r="F355" s="26" t="n"/>
      <c r="G355" s="26" t="n"/>
      <c r="H355" s="26" t="n"/>
    </row>
    <row r="356" ht="15" customHeight="1">
      <c r="A356" s="26" t="n"/>
      <c r="B356" s="26" t="n"/>
      <c r="C356" s="26" t="n"/>
      <c r="D356" s="26" t="n"/>
      <c r="E356" s="26" t="n"/>
      <c r="F356" s="26" t="n"/>
      <c r="G356" s="26" t="n"/>
      <c r="H356" s="26" t="n"/>
    </row>
    <row r="357" ht="15" customHeight="1">
      <c r="A357" s="26" t="n"/>
      <c r="B357" s="26" t="n"/>
      <c r="C357" s="26" t="n"/>
      <c r="D357" s="26" t="n"/>
      <c r="E357" s="26" t="n"/>
      <c r="F357" s="26" t="n"/>
      <c r="G357" s="26" t="n"/>
      <c r="H357" s="26" t="n"/>
    </row>
    <row r="358" ht="15" customHeight="1">
      <c r="A358" s="26" t="n"/>
      <c r="B358" s="26" t="n"/>
      <c r="C358" s="26" t="n"/>
      <c r="D358" s="26" t="n"/>
      <c r="E358" s="26" t="n"/>
      <c r="F358" s="26" t="n"/>
      <c r="G358" s="26" t="n"/>
      <c r="H358" s="26" t="n"/>
    </row>
    <row r="359" ht="15" customHeight="1">
      <c r="A359" s="26" t="n"/>
      <c r="B359" s="26" t="n"/>
      <c r="C359" s="26" t="n"/>
      <c r="D359" s="26" t="n"/>
      <c r="E359" s="26" t="n"/>
      <c r="F359" s="26" t="n"/>
      <c r="G359" s="26" t="n"/>
      <c r="H359" s="26" t="n"/>
    </row>
    <row r="360" ht="15" customHeight="1">
      <c r="A360" s="26" t="n"/>
      <c r="B360" s="26" t="n"/>
      <c r="C360" s="26" t="n"/>
      <c r="D360" s="26" t="n"/>
      <c r="E360" s="26" t="n"/>
      <c r="F360" s="26" t="n"/>
      <c r="G360" s="26" t="n"/>
      <c r="H360" s="26" t="n"/>
    </row>
    <row r="361" ht="15" customHeight="1">
      <c r="A361" s="26" t="n"/>
      <c r="B361" s="26" t="n"/>
      <c r="C361" s="26" t="n"/>
      <c r="D361" s="26" t="n"/>
      <c r="E361" s="26" t="n"/>
      <c r="F361" s="26" t="n"/>
      <c r="G361" s="26" t="n"/>
      <c r="H361" s="26" t="n"/>
    </row>
    <row r="362" ht="15" customHeight="1">
      <c r="A362" s="26" t="n"/>
      <c r="B362" s="26" t="n"/>
      <c r="C362" s="26" t="n"/>
      <c r="D362" s="26" t="n"/>
      <c r="E362" s="26" t="n"/>
      <c r="F362" s="26" t="n"/>
      <c r="G362" s="26" t="n"/>
      <c r="H362" s="26" t="n"/>
    </row>
    <row r="363" ht="15" customHeight="1">
      <c r="A363" s="26" t="n"/>
      <c r="B363" s="26" t="n"/>
      <c r="C363" s="26" t="n"/>
      <c r="D363" s="26" t="n"/>
      <c r="E363" s="26" t="n"/>
      <c r="F363" s="26" t="n"/>
      <c r="G363" s="26" t="n"/>
      <c r="H363" s="26" t="n"/>
    </row>
    <row r="364" ht="15" customHeight="1">
      <c r="A364" s="26" t="n"/>
      <c r="B364" s="26" t="n"/>
      <c r="C364" s="26" t="n"/>
      <c r="D364" s="26" t="n"/>
      <c r="E364" s="26" t="n"/>
      <c r="F364" s="26" t="n"/>
      <c r="G364" s="26" t="n"/>
      <c r="H364" s="26" t="n"/>
    </row>
    <row r="365" ht="15" customHeight="1">
      <c r="A365" s="26" t="n"/>
      <c r="B365" s="26" t="n"/>
      <c r="C365" s="26" t="n"/>
      <c r="D365" s="26" t="n"/>
      <c r="E365" s="26" t="n"/>
      <c r="F365" s="26" t="n"/>
      <c r="G365" s="26" t="n"/>
      <c r="H365" s="26" t="n"/>
    </row>
    <row r="366" ht="15" customHeight="1">
      <c r="A366" s="26" t="n"/>
      <c r="B366" s="26" t="n"/>
      <c r="C366" s="26" t="n"/>
      <c r="D366" s="26" t="n"/>
      <c r="E366" s="26" t="n"/>
      <c r="F366" s="26" t="n"/>
      <c r="G366" s="26" t="n"/>
      <c r="H366" s="26" t="n"/>
    </row>
    <row r="367" ht="15" customHeight="1">
      <c r="A367" s="26" t="n"/>
      <c r="B367" s="26" t="n"/>
      <c r="C367" s="26" t="n"/>
      <c r="D367" s="26" t="n"/>
      <c r="E367" s="26" t="n"/>
      <c r="F367" s="26" t="n"/>
      <c r="G367" s="26" t="n"/>
      <c r="H367" s="26" t="n"/>
    </row>
    <row r="368" ht="15" customHeight="1">
      <c r="A368" s="26" t="n"/>
      <c r="B368" s="26" t="n"/>
      <c r="C368" s="26" t="n"/>
      <c r="D368" s="26" t="n"/>
      <c r="E368" s="26" t="n"/>
      <c r="F368" s="26" t="n"/>
      <c r="G368" s="26" t="n"/>
      <c r="H368" s="26" t="n"/>
    </row>
    <row r="369" ht="15" customHeight="1">
      <c r="A369" s="26" t="n"/>
      <c r="B369" s="26" t="n"/>
      <c r="C369" s="26" t="n"/>
      <c r="D369" s="26" t="n"/>
      <c r="E369" s="26" t="n"/>
      <c r="F369" s="26" t="n"/>
      <c r="G369" s="26" t="n"/>
      <c r="H369" s="26" t="n"/>
    </row>
    <row r="370" ht="15" customHeight="1">
      <c r="A370" s="26" t="n"/>
      <c r="B370" s="26" t="n"/>
      <c r="C370" s="26" t="n"/>
      <c r="D370" s="26" t="n"/>
      <c r="E370" s="26" t="n"/>
      <c r="F370" s="26" t="n"/>
      <c r="G370" s="26" t="n"/>
      <c r="H370" s="26" t="n"/>
    </row>
    <row r="371" ht="15" customHeight="1">
      <c r="A371" s="26" t="n"/>
      <c r="B371" s="26" t="n"/>
      <c r="C371" s="26" t="n"/>
      <c r="D371" s="26" t="n"/>
      <c r="E371" s="26" t="n"/>
      <c r="F371" s="26" t="n"/>
      <c r="G371" s="26" t="n"/>
      <c r="H371" s="26" t="n"/>
    </row>
    <row r="372" ht="15" customHeight="1">
      <c r="A372" s="26" t="n"/>
      <c r="B372" s="26" t="n"/>
      <c r="C372" s="26" t="n"/>
      <c r="D372" s="26" t="n"/>
      <c r="E372" s="26" t="n"/>
      <c r="F372" s="26" t="n"/>
      <c r="G372" s="26" t="n"/>
      <c r="H372" s="26" t="n"/>
    </row>
    <row r="373" ht="15" customHeight="1">
      <c r="A373" s="26" t="n"/>
      <c r="B373" s="26" t="n"/>
      <c r="C373" s="26" t="n"/>
      <c r="D373" s="26" t="n"/>
      <c r="E373" s="26" t="n"/>
      <c r="F373" s="26" t="n"/>
      <c r="G373" s="26" t="n"/>
      <c r="H373" s="26" t="n"/>
    </row>
    <row r="374" ht="15" customHeight="1">
      <c r="A374" s="26" t="n"/>
      <c r="B374" s="26" t="n"/>
      <c r="C374" s="26" t="n"/>
      <c r="D374" s="26" t="n"/>
      <c r="E374" s="26" t="n"/>
      <c r="F374" s="26" t="n"/>
      <c r="G374" s="26" t="n"/>
      <c r="H374" s="26" t="n"/>
    </row>
    <row r="375" ht="15" customHeight="1">
      <c r="A375" s="26" t="n"/>
      <c r="B375" s="26" t="n"/>
      <c r="C375" s="26" t="n"/>
      <c r="D375" s="26" t="n"/>
      <c r="E375" s="26" t="n"/>
      <c r="F375" s="26" t="n"/>
      <c r="G375" s="26" t="n"/>
      <c r="H375" s="26" t="n"/>
    </row>
    <row r="376" ht="15" customHeight="1">
      <c r="A376" s="26" t="n"/>
      <c r="B376" s="26" t="n"/>
      <c r="C376" s="26" t="n"/>
      <c r="D376" s="26" t="n"/>
      <c r="E376" s="26" t="n"/>
      <c r="F376" s="26" t="n"/>
      <c r="G376" s="26" t="n"/>
      <c r="H376" s="26" t="n"/>
    </row>
    <row r="377" ht="15" customHeight="1">
      <c r="A377" s="26" t="n"/>
      <c r="B377" s="26" t="n"/>
      <c r="C377" s="26" t="n"/>
      <c r="D377" s="26" t="n"/>
      <c r="E377" s="26" t="n"/>
      <c r="F377" s="26" t="n"/>
      <c r="G377" s="26" t="n"/>
      <c r="H377" s="26" t="n"/>
    </row>
    <row r="378" ht="15" customHeight="1">
      <c r="A378" s="26" t="n"/>
      <c r="B378" s="26" t="n"/>
      <c r="C378" s="26" t="n"/>
      <c r="D378" s="26" t="n"/>
      <c r="E378" s="26" t="n"/>
      <c r="F378" s="26" t="n"/>
      <c r="G378" s="26" t="n"/>
      <c r="H378" s="26" t="n"/>
    </row>
    <row r="379" ht="15" customHeight="1">
      <c r="A379" s="26" t="n"/>
      <c r="B379" s="26" t="n"/>
      <c r="C379" s="26" t="n"/>
      <c r="D379" s="26" t="n"/>
      <c r="E379" s="26" t="n"/>
      <c r="F379" s="26" t="n"/>
      <c r="G379" s="26" t="n"/>
      <c r="H379" s="26" t="n"/>
    </row>
    <row r="380" ht="15" customHeight="1">
      <c r="A380" s="26" t="n"/>
      <c r="B380" s="26" t="n"/>
      <c r="C380" s="26" t="n"/>
      <c r="D380" s="26" t="n"/>
      <c r="E380" s="26" t="n"/>
      <c r="F380" s="26" t="n"/>
      <c r="G380" s="26" t="n"/>
      <c r="H380" s="26" t="n"/>
    </row>
    <row r="381" ht="15" customHeight="1">
      <c r="A381" s="26" t="n"/>
      <c r="B381" s="26" t="n"/>
      <c r="C381" s="26" t="n"/>
      <c r="D381" s="26" t="n"/>
      <c r="E381" s="26" t="n"/>
      <c r="F381" s="26" t="n"/>
      <c r="G381" s="26" t="n"/>
      <c r="H381" s="26" t="n"/>
    </row>
    <row r="382" ht="15" customHeight="1">
      <c r="A382" s="26" t="n"/>
      <c r="B382" s="26" t="n"/>
      <c r="C382" s="26" t="n"/>
      <c r="D382" s="26" t="n"/>
      <c r="E382" s="26" t="n"/>
      <c r="F382" s="26" t="n"/>
      <c r="G382" s="26" t="n"/>
      <c r="H382" s="26" t="n"/>
    </row>
    <row r="383" ht="15" customHeight="1">
      <c r="A383" s="26" t="n"/>
      <c r="B383" s="26" t="n"/>
      <c r="C383" s="26" t="n"/>
      <c r="D383" s="26" t="n"/>
      <c r="E383" s="26" t="n"/>
      <c r="F383" s="26" t="n"/>
      <c r="G383" s="26" t="n"/>
      <c r="H383" s="26" t="n"/>
    </row>
    <row r="384" ht="15" customHeight="1">
      <c r="A384" s="26" t="n"/>
      <c r="B384" s="26" t="n"/>
      <c r="C384" s="26" t="n"/>
      <c r="D384" s="26" t="n"/>
      <c r="E384" s="26" t="n"/>
      <c r="F384" s="26" t="n"/>
      <c r="G384" s="26" t="n"/>
      <c r="H384" s="26" t="n"/>
    </row>
    <row r="385" ht="15" customHeight="1">
      <c r="A385" s="26" t="n"/>
      <c r="B385" s="26" t="n"/>
      <c r="C385" s="26" t="n"/>
      <c r="D385" s="26" t="n"/>
      <c r="E385" s="26" t="n"/>
      <c r="F385" s="26" t="n"/>
      <c r="G385" s="26" t="n"/>
      <c r="H385" s="26" t="n"/>
    </row>
    <row r="386" ht="15" customHeight="1">
      <c r="A386" s="26" t="n"/>
      <c r="B386" s="26" t="n"/>
      <c r="C386" s="26" t="n"/>
      <c r="D386" s="26" t="n"/>
      <c r="E386" s="26" t="n"/>
      <c r="F386" s="26" t="n"/>
      <c r="G386" s="26" t="n"/>
      <c r="H386" s="26" t="n"/>
    </row>
    <row r="387" ht="15" customHeight="1">
      <c r="A387" s="26" t="n"/>
      <c r="B387" s="26" t="n"/>
      <c r="C387" s="26" t="n"/>
      <c r="D387" s="26" t="n"/>
      <c r="E387" s="26" t="n"/>
      <c r="F387" s="26" t="n"/>
      <c r="G387" s="26" t="n"/>
      <c r="H387" s="26" t="n"/>
    </row>
    <row r="388" ht="15" customHeight="1">
      <c r="A388" s="26" t="n"/>
      <c r="B388" s="26" t="n"/>
      <c r="C388" s="26" t="n"/>
      <c r="D388" s="26" t="n"/>
      <c r="E388" s="26" t="n"/>
      <c r="F388" s="26" t="n"/>
      <c r="G388" s="26" t="n"/>
      <c r="H388" s="26" t="n"/>
    </row>
    <row r="389" ht="15" customHeight="1">
      <c r="A389" s="26" t="n"/>
      <c r="B389" s="26" t="n"/>
      <c r="C389" s="26" t="n"/>
      <c r="D389" s="26" t="n"/>
      <c r="E389" s="26" t="n"/>
      <c r="F389" s="26" t="n"/>
      <c r="G389" s="26" t="n"/>
      <c r="H389" s="26" t="n"/>
    </row>
    <row r="390" ht="15" customHeight="1">
      <c r="A390" s="26" t="n"/>
      <c r="B390" s="26" t="n"/>
      <c r="C390" s="26" t="n"/>
      <c r="D390" s="26" t="n"/>
      <c r="E390" s="26" t="n"/>
      <c r="F390" s="26" t="n"/>
      <c r="G390" s="26" t="n"/>
      <c r="H390" s="26" t="n"/>
    </row>
    <row r="391" ht="15" customHeight="1">
      <c r="A391" s="26" t="n"/>
      <c r="B391" s="26" t="n"/>
      <c r="C391" s="26" t="n"/>
      <c r="D391" s="26" t="n"/>
      <c r="E391" s="26" t="n"/>
      <c r="F391" s="26" t="n"/>
      <c r="G391" s="26" t="n"/>
      <c r="H391" s="26" t="n"/>
    </row>
    <row r="392" ht="15" customHeight="1">
      <c r="A392" s="26" t="n"/>
      <c r="B392" s="26" t="n"/>
      <c r="C392" s="26" t="n"/>
      <c r="D392" s="26" t="n"/>
      <c r="E392" s="26" t="n"/>
      <c r="F392" s="26" t="n"/>
      <c r="G392" s="26" t="n"/>
      <c r="H392" s="26" t="n"/>
    </row>
    <row r="393" ht="15" customHeight="1">
      <c r="A393" s="26" t="n"/>
      <c r="B393" s="26" t="n"/>
      <c r="C393" s="26" t="n"/>
      <c r="D393" s="26" t="n"/>
      <c r="E393" s="26" t="n"/>
      <c r="F393" s="26" t="n"/>
      <c r="G393" s="26" t="n"/>
      <c r="H393" s="26" t="n"/>
    </row>
    <row r="394" ht="15" customHeight="1">
      <c r="A394" s="26" t="n"/>
      <c r="B394" s="26" t="n"/>
      <c r="C394" s="26" t="n"/>
      <c r="D394" s="26" t="n"/>
      <c r="E394" s="26" t="n"/>
      <c r="F394" s="26" t="n"/>
      <c r="G394" s="26" t="n"/>
      <c r="H394" s="26" t="n"/>
    </row>
    <row r="395" ht="15" customHeight="1">
      <c r="A395" s="26" t="n"/>
      <c r="B395" s="26" t="n"/>
      <c r="C395" s="26" t="n"/>
      <c r="D395" s="26" t="n"/>
      <c r="E395" s="26" t="n"/>
      <c r="F395" s="26" t="n"/>
      <c r="G395" s="26" t="n"/>
      <c r="H395" s="26" t="n"/>
    </row>
    <row r="396" ht="15" customHeight="1">
      <c r="A396" s="26" t="n"/>
      <c r="B396" s="26" t="n"/>
      <c r="C396" s="26" t="n"/>
      <c r="D396" s="26" t="n"/>
      <c r="E396" s="26" t="n"/>
      <c r="F396" s="26" t="n"/>
      <c r="G396" s="26" t="n"/>
      <c r="H396" s="26" t="n"/>
    </row>
    <row r="397" ht="15" customHeight="1">
      <c r="A397" s="26" t="n"/>
      <c r="B397" s="26" t="n"/>
      <c r="C397" s="26" t="n"/>
      <c r="D397" s="26" t="n"/>
      <c r="E397" s="26" t="n"/>
      <c r="F397" s="26" t="n"/>
      <c r="G397" s="26" t="n"/>
      <c r="H397" s="26" t="n"/>
    </row>
    <row r="398" ht="15" customHeight="1">
      <c r="A398" s="26" t="n"/>
      <c r="B398" s="26" t="n"/>
      <c r="C398" s="26" t="n"/>
      <c r="D398" s="26" t="n"/>
      <c r="E398" s="26" t="n"/>
      <c r="F398" s="26" t="n"/>
      <c r="G398" s="26" t="n"/>
      <c r="H398" s="26" t="n"/>
    </row>
    <row r="399" ht="15" customHeight="1">
      <c r="A399" s="26" t="n"/>
      <c r="B399" s="26" t="n"/>
      <c r="C399" s="26" t="n"/>
      <c r="D399" s="26" t="n"/>
      <c r="E399" s="26" t="n"/>
      <c r="F399" s="26" t="n"/>
      <c r="G399" s="26" t="n"/>
      <c r="H399" s="26" t="n"/>
    </row>
    <row r="400" ht="15" customHeight="1">
      <c r="A400" s="26" t="n"/>
      <c r="B400" s="26" t="n"/>
      <c r="C400" s="26" t="n"/>
      <c r="D400" s="26" t="n"/>
      <c r="E400" s="26" t="n"/>
      <c r="F400" s="26" t="n"/>
      <c r="G400" s="26" t="n"/>
      <c r="H400" s="26" t="n"/>
    </row>
    <row r="401" ht="15" customHeight="1">
      <c r="A401" s="26" t="n"/>
      <c r="B401" s="26" t="n"/>
      <c r="C401" s="26" t="n"/>
      <c r="D401" s="26" t="n"/>
      <c r="E401" s="26" t="n"/>
      <c r="F401" s="26" t="n"/>
      <c r="G401" s="26" t="n"/>
      <c r="H401" s="26" t="n"/>
    </row>
    <row r="402" ht="15" customHeight="1">
      <c r="A402" s="26" t="n"/>
      <c r="B402" s="26" t="n"/>
      <c r="C402" s="26" t="n"/>
      <c r="D402" s="26" t="n"/>
      <c r="E402" s="26" t="n"/>
      <c r="F402" s="26" t="n"/>
      <c r="G402" s="26" t="n"/>
      <c r="H402" s="26" t="n"/>
    </row>
    <row r="403" ht="15" customHeight="1">
      <c r="A403" s="26" t="n"/>
      <c r="B403" s="26" t="n"/>
      <c r="C403" s="26" t="n"/>
      <c r="D403" s="26" t="n"/>
      <c r="E403" s="26" t="n"/>
      <c r="F403" s="26" t="n"/>
      <c r="G403" s="26" t="n"/>
      <c r="H403" s="26" t="n"/>
    </row>
    <row r="404" ht="15" customHeight="1">
      <c r="A404" s="26" t="n"/>
      <c r="B404" s="26" t="n"/>
      <c r="C404" s="26" t="n"/>
      <c r="D404" s="26" t="n"/>
      <c r="E404" s="26" t="n"/>
      <c r="F404" s="26" t="n"/>
      <c r="G404" s="26" t="n"/>
      <c r="H404" s="26" t="n"/>
    </row>
    <row r="405" ht="15" customHeight="1">
      <c r="A405" s="26" t="n"/>
      <c r="B405" s="26" t="n"/>
      <c r="C405" s="26" t="n"/>
      <c r="D405" s="26" t="n"/>
      <c r="E405" s="26" t="n"/>
      <c r="F405" s="26" t="n"/>
      <c r="G405" s="26" t="n"/>
      <c r="H405" s="26" t="n"/>
    </row>
    <row r="406" ht="15" customHeight="1">
      <c r="A406" s="26" t="n"/>
      <c r="B406" s="26" t="n"/>
      <c r="C406" s="26" t="n"/>
      <c r="D406" s="26" t="n"/>
      <c r="E406" s="26" t="n"/>
      <c r="F406" s="26" t="n"/>
      <c r="G406" s="26" t="n"/>
      <c r="H406" s="26" t="n"/>
    </row>
    <row r="407" ht="15" customHeight="1">
      <c r="A407" s="26" t="n"/>
      <c r="B407" s="26" t="n"/>
      <c r="C407" s="26" t="n"/>
      <c r="D407" s="26" t="n"/>
      <c r="E407" s="26" t="n"/>
      <c r="F407" s="26" t="n"/>
      <c r="G407" s="26" t="n"/>
      <c r="H407" s="26" t="n"/>
    </row>
    <row r="408" ht="15" customHeight="1">
      <c r="A408" s="26" t="n"/>
      <c r="B408" s="26" t="n"/>
      <c r="C408" s="26" t="n"/>
      <c r="D408" s="26" t="n"/>
      <c r="E408" s="26" t="n"/>
      <c r="F408" s="26" t="n"/>
      <c r="G408" s="26" t="n"/>
      <c r="H408" s="26" t="n"/>
    </row>
    <row r="409" ht="15" customHeight="1">
      <c r="A409" s="26" t="n"/>
      <c r="B409" s="26" t="n"/>
      <c r="C409" s="26" t="n"/>
      <c r="D409" s="26" t="n"/>
      <c r="E409" s="26" t="n"/>
      <c r="F409" s="26" t="n"/>
      <c r="G409" s="26" t="n"/>
      <c r="H409" s="26" t="n"/>
    </row>
    <row r="410" ht="15" customHeight="1">
      <c r="A410" s="26" t="n"/>
      <c r="B410" s="26" t="n"/>
      <c r="C410" s="26" t="n"/>
      <c r="D410" s="26" t="n"/>
      <c r="E410" s="26" t="n"/>
      <c r="F410" s="26" t="n"/>
      <c r="G410" s="26" t="n"/>
      <c r="H410" s="26" t="n"/>
    </row>
    <row r="411" ht="15" customHeight="1">
      <c r="A411" s="26" t="n"/>
      <c r="B411" s="26" t="n"/>
      <c r="C411" s="26" t="n"/>
      <c r="D411" s="26" t="n"/>
      <c r="E411" s="26" t="n"/>
      <c r="F411" s="26" t="n"/>
      <c r="G411" s="26" t="n"/>
      <c r="H411" s="26" t="n"/>
    </row>
    <row r="412" ht="15" customHeight="1">
      <c r="A412" s="26" t="n"/>
      <c r="B412" s="26" t="n"/>
      <c r="C412" s="26" t="n"/>
      <c r="D412" s="26" t="n"/>
      <c r="E412" s="26" t="n"/>
      <c r="F412" s="26" t="n"/>
      <c r="G412" s="26" t="n"/>
      <c r="H412" s="26" t="n"/>
    </row>
    <row r="413" ht="15" customHeight="1">
      <c r="A413" s="26" t="n"/>
      <c r="B413" s="26" t="n"/>
      <c r="C413" s="26" t="n"/>
      <c r="D413" s="26" t="n"/>
      <c r="E413" s="26" t="n"/>
      <c r="F413" s="26" t="n"/>
      <c r="G413" s="26" t="n"/>
      <c r="H413" s="26" t="n"/>
    </row>
    <row r="414" ht="15" customHeight="1">
      <c r="A414" s="26" t="n"/>
      <c r="B414" s="26" t="n"/>
      <c r="C414" s="26" t="n"/>
      <c r="D414" s="26" t="n"/>
      <c r="E414" s="26" t="n"/>
      <c r="F414" s="26" t="n"/>
      <c r="G414" s="26" t="n"/>
      <c r="H414" s="26" t="n"/>
    </row>
    <row r="415" ht="15" customHeight="1">
      <c r="A415" s="26" t="n"/>
      <c r="B415" s="26" t="n"/>
      <c r="C415" s="26" t="n"/>
      <c r="D415" s="26" t="n"/>
      <c r="E415" s="26" t="n"/>
      <c r="F415" s="26" t="n"/>
      <c r="G415" s="26" t="n"/>
      <c r="H415" s="26" t="n"/>
    </row>
    <row r="416" ht="15" customHeight="1">
      <c r="A416" s="26" t="n"/>
      <c r="B416" s="26" t="n"/>
      <c r="C416" s="26" t="n"/>
      <c r="D416" s="26" t="n"/>
      <c r="E416" s="26" t="n"/>
      <c r="F416" s="26" t="n"/>
      <c r="G416" s="26" t="n"/>
      <c r="H416" s="26" t="n"/>
    </row>
    <row r="417" ht="15" customHeight="1">
      <c r="A417" s="26" t="n"/>
      <c r="B417" s="26" t="n"/>
      <c r="C417" s="26" t="n"/>
      <c r="D417" s="26" t="n"/>
      <c r="E417" s="26" t="n"/>
      <c r="F417" s="26" t="n"/>
      <c r="G417" s="26" t="n"/>
      <c r="H417" s="26" t="n"/>
    </row>
    <row r="418" ht="15" customHeight="1">
      <c r="A418" s="26" t="n"/>
      <c r="B418" s="26" t="n"/>
      <c r="C418" s="26" t="n"/>
      <c r="D418" s="26" t="n"/>
      <c r="E418" s="26" t="n"/>
      <c r="F418" s="26" t="n"/>
      <c r="G418" s="26" t="n"/>
      <c r="H418" s="26" t="n"/>
    </row>
    <row r="419" ht="15" customHeight="1">
      <c r="A419" s="26" t="n"/>
      <c r="B419" s="26" t="n"/>
      <c r="C419" s="26" t="n"/>
      <c r="D419" s="26" t="n"/>
      <c r="E419" s="26" t="n"/>
      <c r="F419" s="26" t="n"/>
      <c r="G419" s="26" t="n"/>
      <c r="H419" s="26" t="n"/>
    </row>
    <row r="420" ht="15" customHeight="1">
      <c r="A420" s="26" t="n"/>
      <c r="B420" s="26" t="n"/>
      <c r="C420" s="26" t="n"/>
      <c r="D420" s="26" t="n"/>
      <c r="E420" s="26" t="n"/>
      <c r="F420" s="26" t="n"/>
      <c r="G420" s="26" t="n"/>
      <c r="H420" s="26" t="n"/>
    </row>
    <row r="421" ht="15" customHeight="1">
      <c r="A421" s="26" t="n"/>
      <c r="B421" s="26" t="n"/>
      <c r="C421" s="26" t="n"/>
      <c r="D421" s="26" t="n"/>
      <c r="E421" s="26" t="n"/>
      <c r="F421" s="26" t="n"/>
      <c r="G421" s="26" t="n"/>
      <c r="H421" s="26" t="n"/>
    </row>
    <row r="422" ht="15" customHeight="1">
      <c r="A422" s="26" t="n"/>
      <c r="B422" s="26" t="n"/>
      <c r="C422" s="26" t="n"/>
      <c r="D422" s="26" t="n"/>
      <c r="E422" s="26" t="n"/>
      <c r="F422" s="26" t="n"/>
      <c r="G422" s="26" t="n"/>
      <c r="H422" s="26" t="n"/>
    </row>
    <row r="423" ht="15" customHeight="1">
      <c r="A423" s="26" t="n"/>
      <c r="B423" s="26" t="n"/>
      <c r="C423" s="26" t="n"/>
      <c r="D423" s="26" t="n"/>
      <c r="E423" s="26" t="n"/>
      <c r="F423" s="26" t="n"/>
      <c r="G423" s="26" t="n"/>
      <c r="H423" s="26" t="n"/>
    </row>
    <row r="424" ht="15" customHeight="1">
      <c r="A424" s="26" t="n"/>
      <c r="B424" s="26" t="n"/>
      <c r="C424" s="26" t="n"/>
      <c r="D424" s="26" t="n"/>
      <c r="E424" s="26" t="n"/>
      <c r="F424" s="26" t="n"/>
      <c r="G424" s="26" t="n"/>
      <c r="H424" s="26" t="n"/>
    </row>
    <row r="425" ht="15" customHeight="1">
      <c r="A425" s="26" t="n"/>
      <c r="B425" s="26" t="n"/>
      <c r="C425" s="26" t="n"/>
      <c r="D425" s="26" t="n"/>
      <c r="E425" s="26" t="n"/>
      <c r="F425" s="26" t="n"/>
      <c r="G425" s="26" t="n"/>
      <c r="H425" s="26" t="n"/>
    </row>
    <row r="426" ht="15" customHeight="1">
      <c r="A426" s="26" t="n"/>
      <c r="B426" s="26" t="n"/>
      <c r="C426" s="26" t="n"/>
      <c r="D426" s="26" t="n"/>
      <c r="E426" s="26" t="n"/>
      <c r="F426" s="26" t="n"/>
      <c r="G426" s="26" t="n"/>
      <c r="H426" s="26" t="n"/>
    </row>
    <row r="427" ht="15" customHeight="1">
      <c r="A427" s="26" t="n"/>
      <c r="B427" s="26" t="n"/>
      <c r="C427" s="26" t="n"/>
      <c r="D427" s="26" t="n"/>
      <c r="E427" s="26" t="n"/>
      <c r="F427" s="26" t="n"/>
      <c r="G427" s="26" t="n"/>
      <c r="H427" s="26" t="n"/>
    </row>
    <row r="428" ht="15" customHeight="1">
      <c r="A428" s="26" t="n"/>
      <c r="B428" s="26" t="n"/>
      <c r="C428" s="26" t="n"/>
      <c r="D428" s="26" t="n"/>
      <c r="E428" s="26" t="n"/>
      <c r="F428" s="26" t="n"/>
      <c r="G428" s="26" t="n"/>
      <c r="H428" s="26" t="n"/>
    </row>
    <row r="429" ht="15" customHeight="1">
      <c r="A429" s="26" t="n"/>
      <c r="B429" s="26" t="n"/>
      <c r="C429" s="26" t="n"/>
      <c r="D429" s="26" t="n"/>
      <c r="E429" s="26" t="n"/>
      <c r="F429" s="26" t="n"/>
      <c r="G429" s="26" t="n"/>
      <c r="H429" s="26" t="n"/>
    </row>
    <row r="430" ht="15" customHeight="1">
      <c r="A430" s="26" t="n"/>
      <c r="B430" s="26" t="n"/>
      <c r="C430" s="26" t="n"/>
      <c r="D430" s="26" t="n"/>
      <c r="E430" s="26" t="n"/>
      <c r="F430" s="26" t="n"/>
      <c r="G430" s="26" t="n"/>
      <c r="H430" s="26" t="n"/>
    </row>
    <row r="431" ht="15" customHeight="1">
      <c r="A431" s="26" t="n"/>
      <c r="B431" s="26" t="n"/>
      <c r="C431" s="26" t="n"/>
      <c r="D431" s="26" t="n"/>
      <c r="E431" s="26" t="n"/>
      <c r="F431" s="26" t="n"/>
      <c r="G431" s="26" t="n"/>
      <c r="H431" s="26" t="n"/>
    </row>
    <row r="432" ht="15" customHeight="1">
      <c r="A432" s="26" t="n"/>
      <c r="B432" s="26" t="n"/>
      <c r="C432" s="26" t="n"/>
      <c r="D432" s="26" t="n"/>
      <c r="E432" s="26" t="n"/>
      <c r="F432" s="26" t="n"/>
      <c r="G432" s="26" t="n"/>
      <c r="H432" s="26" t="n"/>
    </row>
    <row r="433" ht="15" customHeight="1">
      <c r="A433" s="26" t="n"/>
      <c r="B433" s="26" t="n"/>
      <c r="C433" s="26" t="n"/>
      <c r="D433" s="26" t="n"/>
      <c r="E433" s="26" t="n"/>
      <c r="F433" s="26" t="n"/>
      <c r="G433" s="26" t="n"/>
      <c r="H433" s="26" t="n"/>
    </row>
    <row r="434" ht="15" customHeight="1">
      <c r="A434" s="26" t="n"/>
      <c r="B434" s="26" t="n"/>
      <c r="C434" s="26" t="n"/>
      <c r="D434" s="26" t="n"/>
      <c r="E434" s="26" t="n"/>
      <c r="F434" s="26" t="n"/>
      <c r="G434" s="26" t="n"/>
      <c r="H434" s="26" t="n"/>
    </row>
    <row r="435" ht="15" customHeight="1">
      <c r="A435" s="26" t="n"/>
      <c r="B435" s="26" t="n"/>
      <c r="C435" s="26" t="n"/>
      <c r="D435" s="26" t="n"/>
      <c r="E435" s="26" t="n"/>
      <c r="F435" s="26" t="n"/>
      <c r="G435" s="26" t="n"/>
      <c r="H435" s="26" t="n"/>
    </row>
    <row r="436" ht="15" customHeight="1">
      <c r="A436" s="26" t="n"/>
      <c r="B436" s="26" t="n"/>
      <c r="C436" s="26" t="n"/>
      <c r="D436" s="26" t="n"/>
      <c r="E436" s="26" t="n"/>
      <c r="F436" s="26" t="n"/>
      <c r="G436" s="26" t="n"/>
      <c r="H436" s="26" t="n"/>
    </row>
    <row r="437" ht="15" customHeight="1">
      <c r="A437" s="26" t="n"/>
      <c r="B437" s="26" t="n"/>
      <c r="C437" s="26" t="n"/>
      <c r="D437" s="26" t="n"/>
      <c r="E437" s="26" t="n"/>
      <c r="F437" s="26" t="n"/>
      <c r="G437" s="26" t="n"/>
      <c r="H437" s="26" t="n"/>
    </row>
    <row r="438" ht="15" customHeight="1">
      <c r="A438" s="26" t="n"/>
      <c r="B438" s="26" t="n"/>
      <c r="C438" s="26" t="n"/>
      <c r="D438" s="26" t="n"/>
      <c r="E438" s="26" t="n"/>
      <c r="F438" s="26" t="n"/>
      <c r="G438" s="26" t="n"/>
      <c r="H438" s="26" t="n"/>
    </row>
    <row r="439" ht="15" customHeight="1">
      <c r="A439" s="26" t="n"/>
      <c r="B439" s="26" t="n"/>
      <c r="C439" s="26" t="n"/>
      <c r="D439" s="26" t="n"/>
      <c r="E439" s="26" t="n"/>
      <c r="F439" s="26" t="n"/>
      <c r="G439" s="26" t="n"/>
      <c r="H439" s="26" t="n"/>
    </row>
    <row r="440" ht="15" customHeight="1">
      <c r="A440" s="26" t="n"/>
      <c r="B440" s="26" t="n"/>
      <c r="C440" s="26" t="n"/>
      <c r="D440" s="26" t="n"/>
      <c r="E440" s="26" t="n"/>
      <c r="F440" s="26" t="n"/>
      <c r="G440" s="26" t="n"/>
      <c r="H440" s="26" t="n"/>
    </row>
    <row r="441" ht="15" customHeight="1">
      <c r="A441" s="26" t="n"/>
      <c r="B441" s="26" t="n"/>
      <c r="C441" s="26" t="n"/>
      <c r="D441" s="26" t="n"/>
      <c r="E441" s="26" t="n"/>
      <c r="F441" s="26" t="n"/>
      <c r="G441" s="26" t="n"/>
      <c r="H441" s="26" t="n"/>
    </row>
    <row r="442" ht="15" customHeight="1">
      <c r="A442" s="26" t="n"/>
      <c r="B442" s="26" t="n"/>
      <c r="C442" s="26" t="n"/>
      <c r="D442" s="26" t="n"/>
      <c r="E442" s="26" t="n"/>
      <c r="F442" s="26" t="n"/>
      <c r="G442" s="26" t="n"/>
      <c r="H442" s="26" t="n"/>
    </row>
    <row r="443" ht="15" customHeight="1">
      <c r="A443" s="26" t="n"/>
      <c r="B443" s="26" t="n"/>
      <c r="C443" s="26" t="n"/>
      <c r="D443" s="26" t="n"/>
      <c r="E443" s="26" t="n"/>
      <c r="F443" s="26" t="n"/>
      <c r="G443" s="26" t="n"/>
      <c r="H443" s="26" t="n"/>
    </row>
    <row r="444" ht="15" customHeight="1">
      <c r="A444" s="26" t="n"/>
      <c r="B444" s="26" t="n"/>
      <c r="C444" s="26" t="n"/>
      <c r="D444" s="26" t="n"/>
      <c r="E444" s="26" t="n"/>
      <c r="F444" s="26" t="n"/>
      <c r="G444" s="26" t="n"/>
      <c r="H444" s="26" t="n"/>
    </row>
    <row r="445" ht="15" customHeight="1">
      <c r="A445" s="26" t="n"/>
      <c r="B445" s="26" t="n"/>
      <c r="C445" s="26" t="n"/>
      <c r="D445" s="26" t="n"/>
      <c r="E445" s="26" t="n"/>
      <c r="F445" s="26" t="n"/>
      <c r="G445" s="26" t="n"/>
      <c r="H445" s="26" t="n"/>
    </row>
    <row r="446" ht="15" customHeight="1">
      <c r="A446" s="26" t="n"/>
      <c r="B446" s="26" t="n"/>
      <c r="C446" s="26" t="n"/>
      <c r="D446" s="26" t="n"/>
      <c r="E446" s="26" t="n"/>
      <c r="F446" s="26" t="n"/>
      <c r="G446" s="26" t="n"/>
      <c r="H446" s="26" t="n"/>
    </row>
    <row r="447" ht="15" customHeight="1">
      <c r="A447" s="26" t="n"/>
      <c r="B447" s="26" t="n"/>
      <c r="C447" s="26" t="n"/>
      <c r="D447" s="26" t="n"/>
      <c r="E447" s="26" t="n"/>
      <c r="F447" s="26" t="n"/>
      <c r="G447" s="26" t="n"/>
      <c r="H447" s="26" t="n"/>
    </row>
    <row r="448" ht="15" customHeight="1">
      <c r="A448" s="26" t="n"/>
      <c r="B448" s="26" t="n"/>
      <c r="C448" s="26" t="n"/>
      <c r="D448" s="26" t="n"/>
      <c r="E448" s="26" t="n"/>
      <c r="F448" s="26" t="n"/>
      <c r="G448" s="26" t="n"/>
      <c r="H448" s="26" t="n"/>
    </row>
    <row r="449" ht="15" customHeight="1">
      <c r="A449" s="26" t="n"/>
      <c r="B449" s="26" t="n"/>
      <c r="C449" s="26" t="n"/>
      <c r="D449" s="26" t="n"/>
      <c r="E449" s="26" t="n"/>
      <c r="F449" s="26" t="n"/>
      <c r="G449" s="26" t="n"/>
      <c r="H449" s="26" t="n"/>
    </row>
    <row r="450" ht="15" customHeight="1">
      <c r="A450" s="26" t="n"/>
      <c r="B450" s="26" t="n"/>
      <c r="C450" s="26" t="n"/>
      <c r="D450" s="26" t="n"/>
      <c r="E450" s="26" t="n"/>
      <c r="F450" s="26" t="n"/>
      <c r="G450" s="26" t="n"/>
      <c r="H450" s="26" t="n"/>
    </row>
    <row r="451" ht="15" customHeight="1">
      <c r="A451" s="26" t="n"/>
      <c r="B451" s="26" t="n"/>
      <c r="C451" s="26" t="n"/>
      <c r="D451" s="26" t="n"/>
      <c r="E451" s="26" t="n"/>
      <c r="F451" s="26" t="n"/>
      <c r="G451" s="26" t="n"/>
      <c r="H451" s="26" t="n"/>
    </row>
    <row r="452" ht="15" customHeight="1">
      <c r="A452" s="26" t="n"/>
      <c r="B452" s="26" t="n"/>
      <c r="C452" s="26" t="n"/>
      <c r="D452" s="26" t="n"/>
      <c r="E452" s="26" t="n"/>
      <c r="F452" s="26" t="n"/>
      <c r="G452" s="26" t="n"/>
      <c r="H452" s="26" t="n"/>
    </row>
    <row r="453" ht="15" customHeight="1">
      <c r="A453" s="26" t="n"/>
      <c r="B453" s="26" t="n"/>
      <c r="C453" s="26" t="n"/>
      <c r="D453" s="26" t="n"/>
      <c r="E453" s="26" t="n"/>
      <c r="F453" s="26" t="n"/>
      <c r="G453" s="26" t="n"/>
      <c r="H453" s="26" t="n"/>
    </row>
    <row r="454" ht="15" customHeight="1">
      <c r="A454" s="26" t="n"/>
      <c r="B454" s="26" t="n"/>
      <c r="C454" s="26" t="n"/>
      <c r="D454" s="26" t="n"/>
      <c r="E454" s="26" t="n"/>
      <c r="F454" s="26" t="n"/>
      <c r="G454" s="26" t="n"/>
      <c r="H454" s="26" t="n"/>
    </row>
    <row r="455" ht="15" customHeight="1">
      <c r="A455" s="26" t="n"/>
      <c r="B455" s="26" t="n"/>
      <c r="C455" s="26" t="n"/>
      <c r="D455" s="26" t="n"/>
      <c r="E455" s="26" t="n"/>
      <c r="F455" s="26" t="n"/>
      <c r="G455" s="26" t="n"/>
      <c r="H455" s="26" t="n"/>
    </row>
    <row r="456" ht="15" customHeight="1">
      <c r="A456" s="26" t="n"/>
      <c r="B456" s="26" t="n"/>
      <c r="C456" s="26" t="n"/>
      <c r="D456" s="26" t="n"/>
      <c r="E456" s="26" t="n"/>
      <c r="F456" s="26" t="n"/>
      <c r="G456" s="26" t="n"/>
      <c r="H456" s="26" t="n"/>
    </row>
    <row r="457" ht="15" customHeight="1">
      <c r="A457" s="26" t="n"/>
      <c r="B457" s="26" t="n"/>
      <c r="C457" s="26" t="n"/>
      <c r="D457" s="26" t="n"/>
      <c r="E457" s="26" t="n"/>
      <c r="F457" s="26" t="n"/>
      <c r="G457" s="26" t="n"/>
      <c r="H457" s="26" t="n"/>
    </row>
    <row r="458" ht="15" customHeight="1">
      <c r="A458" s="26" t="n"/>
      <c r="B458" s="26" t="n"/>
      <c r="C458" s="26" t="n"/>
      <c r="D458" s="26" t="n"/>
      <c r="E458" s="26" t="n"/>
      <c r="F458" s="26" t="n"/>
      <c r="G458" s="26" t="n"/>
      <c r="H458" s="26" t="n"/>
    </row>
    <row r="459" ht="15" customHeight="1">
      <c r="A459" s="26" t="n"/>
      <c r="B459" s="26" t="n"/>
      <c r="C459" s="26" t="n"/>
      <c r="D459" s="26" t="n"/>
      <c r="E459" s="26" t="n"/>
      <c r="F459" s="26" t="n"/>
      <c r="G459" s="26" t="n"/>
      <c r="H459" s="26" t="n"/>
    </row>
    <row r="460" ht="15" customHeight="1">
      <c r="A460" s="26" t="n"/>
      <c r="B460" s="26" t="n"/>
      <c r="C460" s="26" t="n"/>
      <c r="D460" s="26" t="n"/>
      <c r="E460" s="26" t="n"/>
      <c r="F460" s="26" t="n"/>
      <c r="G460" s="26" t="n"/>
      <c r="H460" s="26" t="n"/>
    </row>
    <row r="461" ht="15" customHeight="1">
      <c r="A461" s="26" t="n"/>
      <c r="B461" s="26" t="n"/>
      <c r="C461" s="26" t="n"/>
      <c r="D461" s="26" t="n"/>
      <c r="E461" s="26" t="n"/>
      <c r="F461" s="26" t="n"/>
      <c r="G461" s="26" t="n"/>
      <c r="H461" s="26" t="n"/>
    </row>
    <row r="462" ht="15" customHeight="1">
      <c r="A462" s="26" t="n"/>
      <c r="B462" s="26" t="n"/>
      <c r="C462" s="26" t="n"/>
      <c r="D462" s="26" t="n"/>
      <c r="E462" s="26" t="n"/>
      <c r="F462" s="26" t="n"/>
      <c r="G462" s="26" t="n"/>
      <c r="H462" s="26" t="n"/>
    </row>
    <row r="463" ht="15" customHeight="1">
      <c r="A463" s="26" t="n"/>
      <c r="B463" s="26" t="n"/>
      <c r="C463" s="26" t="n"/>
      <c r="D463" s="26" t="n"/>
      <c r="E463" s="26" t="n"/>
      <c r="F463" s="26" t="n"/>
      <c r="G463" s="26" t="n"/>
      <c r="H463" s="26" t="n"/>
    </row>
    <row r="464" ht="15" customHeight="1">
      <c r="A464" s="26" t="n"/>
      <c r="B464" s="26" t="n"/>
      <c r="C464" s="26" t="n"/>
      <c r="D464" s="26" t="n"/>
      <c r="E464" s="26" t="n"/>
      <c r="F464" s="26" t="n"/>
      <c r="G464" s="26" t="n"/>
      <c r="H464" s="26" t="n"/>
    </row>
    <row r="465" ht="15" customHeight="1">
      <c r="A465" s="26" t="n"/>
      <c r="B465" s="26" t="n"/>
      <c r="C465" s="26" t="n"/>
      <c r="D465" s="26" t="n"/>
      <c r="E465" s="26" t="n"/>
      <c r="F465" s="26" t="n"/>
      <c r="G465" s="26" t="n"/>
      <c r="H465" s="26" t="n"/>
    </row>
    <row r="466" ht="15" customHeight="1">
      <c r="A466" s="26" t="n"/>
      <c r="B466" s="26" t="n"/>
      <c r="C466" s="26" t="n"/>
      <c r="D466" s="26" t="n"/>
      <c r="E466" s="26" t="n"/>
      <c r="F466" s="26" t="n"/>
      <c r="G466" s="26" t="n"/>
      <c r="H466" s="26" t="n"/>
    </row>
    <row r="467" ht="15" customHeight="1">
      <c r="A467" s="26" t="n"/>
      <c r="B467" s="26" t="n"/>
      <c r="C467" s="26" t="n"/>
      <c r="D467" s="26" t="n"/>
      <c r="E467" s="26" t="n"/>
      <c r="F467" s="26" t="n"/>
      <c r="G467" s="26" t="n"/>
      <c r="H467" s="26" t="n"/>
    </row>
    <row r="468" ht="15" customHeight="1">
      <c r="A468" s="26" t="n"/>
      <c r="B468" s="26" t="n"/>
      <c r="C468" s="26" t="n"/>
      <c r="D468" s="26" t="n"/>
      <c r="E468" s="26" t="n"/>
      <c r="F468" s="26" t="n"/>
      <c r="G468" s="26" t="n"/>
      <c r="H468" s="26" t="n"/>
    </row>
    <row r="469" ht="15" customHeight="1">
      <c r="A469" s="26" t="n"/>
      <c r="B469" s="26" t="n"/>
      <c r="C469" s="26" t="n"/>
      <c r="D469" s="26" t="n"/>
      <c r="E469" s="26" t="n"/>
      <c r="F469" s="26" t="n"/>
      <c r="G469" s="26" t="n"/>
      <c r="H469" s="26" t="n"/>
    </row>
    <row r="470" ht="15" customHeight="1">
      <c r="A470" s="26" t="n"/>
      <c r="B470" s="26" t="n"/>
      <c r="C470" s="26" t="n"/>
      <c r="D470" s="26" t="n"/>
      <c r="E470" s="26" t="n"/>
      <c r="F470" s="26" t="n"/>
      <c r="G470" s="26" t="n"/>
      <c r="H470" s="26" t="n"/>
    </row>
    <row r="471" ht="15" customHeight="1">
      <c r="A471" s="26" t="n"/>
      <c r="B471" s="26" t="n"/>
      <c r="C471" s="26" t="n"/>
      <c r="D471" s="26" t="n"/>
      <c r="E471" s="26" t="n"/>
      <c r="F471" s="26" t="n"/>
      <c r="G471" s="26" t="n"/>
      <c r="H471" s="26" t="n"/>
    </row>
    <row r="472" ht="15" customHeight="1">
      <c r="A472" s="26" t="n"/>
      <c r="B472" s="26" t="n"/>
      <c r="C472" s="26" t="n"/>
      <c r="D472" s="26" t="n"/>
      <c r="E472" s="26" t="n"/>
      <c r="F472" s="26" t="n"/>
      <c r="G472" s="26" t="n"/>
      <c r="H472" s="26" t="n"/>
    </row>
    <row r="473" ht="15" customHeight="1">
      <c r="A473" s="26" t="n"/>
      <c r="B473" s="26" t="n"/>
      <c r="C473" s="26" t="n"/>
      <c r="D473" s="26" t="n"/>
      <c r="E473" s="26" t="n"/>
      <c r="F473" s="26" t="n"/>
      <c r="G473" s="26" t="n"/>
      <c r="H473" s="26" t="n"/>
    </row>
    <row r="474" ht="15" customHeight="1">
      <c r="A474" s="26" t="n"/>
      <c r="B474" s="26" t="n"/>
      <c r="C474" s="26" t="n"/>
      <c r="D474" s="26" t="n"/>
      <c r="E474" s="26" t="n"/>
      <c r="F474" s="26" t="n"/>
      <c r="G474" s="26" t="n"/>
      <c r="H474" s="26" t="n"/>
    </row>
    <row r="475" ht="15" customHeight="1">
      <c r="A475" s="26" t="n"/>
      <c r="B475" s="26" t="n"/>
      <c r="C475" s="26" t="n"/>
      <c r="D475" s="26" t="n"/>
      <c r="E475" s="26" t="n"/>
      <c r="F475" s="26" t="n"/>
      <c r="G475" s="26" t="n"/>
      <c r="H475" s="26" t="n"/>
    </row>
    <row r="476" ht="15" customHeight="1">
      <c r="A476" s="26" t="n"/>
      <c r="B476" s="26" t="n"/>
      <c r="C476" s="26" t="n"/>
      <c r="D476" s="26" t="n"/>
      <c r="E476" s="26" t="n"/>
      <c r="F476" s="26" t="n"/>
      <c r="G476" s="26" t="n"/>
      <c r="H476" s="26" t="n"/>
    </row>
    <row r="477" ht="15" customHeight="1">
      <c r="A477" s="26" t="n"/>
      <c r="B477" s="26" t="n"/>
      <c r="C477" s="26" t="n"/>
      <c r="D477" s="26" t="n"/>
      <c r="E477" s="26" t="n"/>
      <c r="F477" s="26" t="n"/>
      <c r="G477" s="26" t="n"/>
      <c r="H477" s="26" t="n"/>
    </row>
    <row r="478" ht="15" customHeight="1">
      <c r="A478" s="26" t="n"/>
      <c r="B478" s="26" t="n"/>
      <c r="C478" s="26" t="n"/>
      <c r="D478" s="26" t="n"/>
      <c r="E478" s="26" t="n"/>
      <c r="F478" s="26" t="n"/>
      <c r="G478" s="26" t="n"/>
      <c r="H478" s="26" t="n"/>
    </row>
    <row r="479" ht="15" customHeight="1">
      <c r="A479" s="26" t="n"/>
      <c r="B479" s="26" t="n"/>
      <c r="C479" s="26" t="n"/>
      <c r="D479" s="26" t="n"/>
      <c r="E479" s="26" t="n"/>
      <c r="F479" s="26" t="n"/>
      <c r="G479" s="26" t="n"/>
      <c r="H479" s="26" t="n"/>
    </row>
    <row r="480" ht="15" customHeight="1">
      <c r="A480" s="26" t="n"/>
      <c r="B480" s="26" t="n"/>
      <c r="C480" s="26" t="n"/>
      <c r="D480" s="26" t="n"/>
      <c r="E480" s="26" t="n"/>
      <c r="F480" s="26" t="n"/>
      <c r="G480" s="26" t="n"/>
      <c r="H480" s="26" t="n"/>
    </row>
    <row r="481" ht="15" customHeight="1">
      <c r="A481" s="26" t="n"/>
      <c r="B481" s="26" t="n"/>
      <c r="C481" s="26" t="n"/>
      <c r="D481" s="26" t="n"/>
      <c r="E481" s="26" t="n"/>
      <c r="F481" s="26" t="n"/>
      <c r="G481" s="26" t="n"/>
      <c r="H481" s="26" t="n"/>
    </row>
    <row r="482" ht="15" customHeight="1">
      <c r="A482" s="26" t="n"/>
      <c r="B482" s="26" t="n"/>
      <c r="C482" s="26" t="n"/>
      <c r="D482" s="26" t="n"/>
      <c r="E482" s="26" t="n"/>
      <c r="F482" s="26" t="n"/>
      <c r="G482" s="26" t="n"/>
      <c r="H482" s="26" t="n"/>
    </row>
    <row r="483" ht="15" customHeight="1">
      <c r="A483" s="26" t="n"/>
      <c r="B483" s="26" t="n"/>
      <c r="C483" s="26" t="n"/>
      <c r="D483" s="26" t="n"/>
      <c r="E483" s="26" t="n"/>
      <c r="F483" s="26" t="n"/>
      <c r="G483" s="26" t="n"/>
      <c r="H483" s="26" t="n"/>
    </row>
    <row r="484" ht="15" customHeight="1">
      <c r="A484" s="26" t="n"/>
      <c r="B484" s="26" t="n"/>
      <c r="C484" s="26" t="n"/>
      <c r="D484" s="26" t="n"/>
      <c r="E484" s="26" t="n"/>
      <c r="F484" s="26" t="n"/>
      <c r="G484" s="26" t="n"/>
      <c r="H484" s="26" t="n"/>
    </row>
    <row r="485" ht="15" customHeight="1">
      <c r="A485" s="26" t="n"/>
      <c r="B485" s="26" t="n"/>
      <c r="C485" s="26" t="n"/>
      <c r="D485" s="26" t="n"/>
      <c r="E485" s="26" t="n"/>
      <c r="F485" s="26" t="n"/>
      <c r="G485" s="26" t="n"/>
      <c r="H485" s="26" t="n"/>
    </row>
    <row r="486" ht="15" customHeight="1">
      <c r="A486" s="26" t="n"/>
      <c r="B486" s="26" t="n"/>
      <c r="C486" s="26" t="n"/>
      <c r="D486" s="26" t="n"/>
      <c r="E486" s="26" t="n"/>
      <c r="F486" s="26" t="n"/>
      <c r="G486" s="26" t="n"/>
      <c r="H486" s="26" t="n"/>
    </row>
    <row r="487" ht="15" customHeight="1">
      <c r="A487" s="26" t="n"/>
      <c r="B487" s="26" t="n"/>
      <c r="C487" s="26" t="n"/>
      <c r="D487" s="26" t="n"/>
      <c r="E487" s="26" t="n"/>
      <c r="F487" s="26" t="n"/>
      <c r="G487" s="26" t="n"/>
      <c r="H487" s="26" t="n"/>
    </row>
    <row r="488" ht="15" customHeight="1">
      <c r="A488" s="26" t="n"/>
      <c r="B488" s="26" t="n"/>
      <c r="C488" s="26" t="n"/>
      <c r="D488" s="26" t="n"/>
      <c r="E488" s="26" t="n"/>
      <c r="F488" s="26" t="n"/>
      <c r="G488" s="26" t="n"/>
      <c r="H488" s="26" t="n"/>
    </row>
    <row r="489" ht="15" customHeight="1">
      <c r="A489" s="26" t="n"/>
      <c r="B489" s="26" t="n"/>
      <c r="C489" s="26" t="n"/>
      <c r="D489" s="26" t="n"/>
      <c r="E489" s="26" t="n"/>
      <c r="F489" s="26" t="n"/>
      <c r="G489" s="26" t="n"/>
      <c r="H489" s="26" t="n"/>
    </row>
    <row r="490" ht="15" customHeight="1">
      <c r="A490" s="26" t="n"/>
      <c r="B490" s="26" t="n"/>
      <c r="C490" s="26" t="n"/>
      <c r="D490" s="26" t="n"/>
      <c r="E490" s="26" t="n"/>
      <c r="F490" s="26" t="n"/>
      <c r="G490" s="26" t="n"/>
      <c r="H490" s="26" t="n"/>
    </row>
    <row r="491" ht="15" customHeight="1">
      <c r="A491" s="26" t="n"/>
      <c r="B491" s="26" t="n"/>
      <c r="C491" s="26" t="n"/>
      <c r="D491" s="26" t="n"/>
      <c r="E491" s="26" t="n"/>
      <c r="F491" s="26" t="n"/>
      <c r="G491" s="26" t="n"/>
      <c r="H491" s="26" t="n"/>
    </row>
    <row r="492" ht="15" customHeight="1">
      <c r="A492" s="26" t="n"/>
      <c r="B492" s="26" t="n"/>
      <c r="C492" s="26" t="n"/>
      <c r="D492" s="26" t="n"/>
      <c r="E492" s="26" t="n"/>
      <c r="F492" s="26" t="n"/>
      <c r="G492" s="26" t="n"/>
      <c r="H492" s="26" t="n"/>
    </row>
    <row r="493" ht="15" customHeight="1">
      <c r="A493" s="26" t="n"/>
      <c r="B493" s="26" t="n"/>
      <c r="C493" s="26" t="n"/>
      <c r="D493" s="26" t="n"/>
      <c r="E493" s="26" t="n"/>
      <c r="F493" s="26" t="n"/>
      <c r="G493" s="26" t="n"/>
      <c r="H493" s="26" t="n"/>
    </row>
    <row r="494" ht="15" customHeight="1">
      <c r="A494" s="26" t="n"/>
      <c r="B494" s="26" t="n"/>
      <c r="C494" s="26" t="n"/>
      <c r="D494" s="26" t="n"/>
      <c r="E494" s="26" t="n"/>
      <c r="F494" s="26" t="n"/>
      <c r="G494" s="26" t="n"/>
      <c r="H494" s="26" t="n"/>
    </row>
    <row r="495" ht="15" customHeight="1">
      <c r="A495" s="26" t="n"/>
      <c r="B495" s="26" t="n"/>
      <c r="C495" s="26" t="n"/>
      <c r="D495" s="26" t="n"/>
      <c r="E495" s="26" t="n"/>
      <c r="F495" s="26" t="n"/>
      <c r="G495" s="26" t="n"/>
      <c r="H495" s="26" t="n"/>
    </row>
    <row r="496" ht="15" customHeight="1">
      <c r="A496" s="26" t="n"/>
      <c r="B496" s="26" t="n"/>
      <c r="C496" s="26" t="n"/>
      <c r="D496" s="26" t="n"/>
      <c r="E496" s="26" t="n"/>
      <c r="F496" s="26" t="n"/>
      <c r="G496" s="26" t="n"/>
      <c r="H496" s="26" t="n"/>
    </row>
    <row r="497" ht="15" customHeight="1">
      <c r="A497" s="26" t="n"/>
      <c r="B497" s="26" t="n"/>
      <c r="C497" s="26" t="n"/>
      <c r="D497" s="26" t="n"/>
      <c r="E497" s="26" t="n"/>
      <c r="F497" s="26" t="n"/>
      <c r="G497" s="26" t="n"/>
      <c r="H497" s="26" t="n"/>
    </row>
    <row r="498" ht="15" customHeight="1">
      <c r="A498" s="26" t="n"/>
      <c r="B498" s="26" t="n"/>
      <c r="C498" s="26" t="n"/>
      <c r="D498" s="26" t="n"/>
      <c r="E498" s="26" t="n"/>
      <c r="F498" s="26" t="n"/>
      <c r="G498" s="26" t="n"/>
      <c r="H498" s="26" t="n"/>
    </row>
    <row r="499" ht="15" customHeight="1">
      <c r="A499" s="26" t="n"/>
      <c r="B499" s="26" t="n"/>
      <c r="C499" s="26" t="n"/>
      <c r="D499" s="26" t="n"/>
      <c r="E499" s="26" t="n"/>
      <c r="F499" s="26" t="n"/>
      <c r="G499" s="26" t="n"/>
      <c r="H499" s="26" t="n"/>
    </row>
    <row r="500" ht="15" customHeight="1">
      <c r="A500" s="26" t="n"/>
      <c r="B500" s="26" t="n"/>
      <c r="C500" s="26" t="n"/>
      <c r="D500" s="26" t="n"/>
      <c r="E500" s="26" t="n"/>
      <c r="F500" s="26" t="n"/>
      <c r="G500" s="26" t="n"/>
      <c r="H500" s="26" t="n"/>
    </row>
    <row r="501" ht="15" customHeight="1">
      <c r="A501" s="26" t="n"/>
      <c r="B501" s="26" t="n"/>
      <c r="C501" s="26" t="n"/>
      <c r="D501" s="26" t="n"/>
      <c r="E501" s="26" t="n"/>
      <c r="F501" s="26" t="n"/>
      <c r="G501" s="26" t="n"/>
      <c r="H501" s="26" t="n"/>
    </row>
    <row r="502" ht="15" customHeight="1">
      <c r="A502" s="26" t="n"/>
      <c r="B502" s="26" t="n"/>
      <c r="C502" s="26" t="n"/>
      <c r="D502" s="26" t="n"/>
      <c r="E502" s="26" t="n"/>
      <c r="F502" s="26" t="n"/>
      <c r="G502" s="26" t="n"/>
      <c r="H502" s="26" t="n"/>
    </row>
    <row r="503" ht="15" customHeight="1">
      <c r="A503" s="26" t="n"/>
      <c r="B503" s="26" t="n"/>
      <c r="C503" s="26" t="n"/>
      <c r="D503" s="26" t="n"/>
      <c r="E503" s="26" t="n"/>
      <c r="F503" s="26" t="n"/>
      <c r="G503" s="26" t="n"/>
      <c r="H503" s="26" t="n"/>
    </row>
    <row r="504" ht="15" customHeight="1">
      <c r="A504" s="26" t="n"/>
      <c r="B504" s="26" t="n"/>
      <c r="C504" s="26" t="n"/>
      <c r="D504" s="26" t="n"/>
      <c r="E504" s="26" t="n"/>
      <c r="F504" s="26" t="n"/>
      <c r="G504" s="26" t="n"/>
      <c r="H504" s="26" t="n"/>
    </row>
    <row r="505" ht="15" customHeight="1">
      <c r="A505" s="26" t="n"/>
      <c r="B505" s="26" t="n"/>
      <c r="C505" s="26" t="n"/>
      <c r="D505" s="26" t="n"/>
      <c r="E505" s="26" t="n"/>
      <c r="F505" s="26" t="n"/>
      <c r="G505" s="26" t="n"/>
      <c r="H505" s="26" t="n"/>
    </row>
    <row r="506" ht="15" customHeight="1">
      <c r="A506" s="26" t="n"/>
      <c r="B506" s="26" t="n"/>
      <c r="C506" s="26" t="n"/>
      <c r="D506" s="26" t="n"/>
      <c r="E506" s="26" t="n"/>
      <c r="F506" s="26" t="n"/>
      <c r="G506" s="26" t="n"/>
      <c r="H506" s="26" t="n"/>
    </row>
    <row r="507" ht="15" customHeight="1">
      <c r="A507" s="26" t="n"/>
      <c r="B507" s="26" t="n"/>
      <c r="C507" s="26" t="n"/>
      <c r="D507" s="26" t="n"/>
      <c r="E507" s="26" t="n"/>
      <c r="F507" s="26" t="n"/>
      <c r="G507" s="26" t="n"/>
      <c r="H507" s="26" t="n"/>
    </row>
    <row r="508" ht="15" customHeight="1">
      <c r="A508" s="26" t="n"/>
      <c r="B508" s="26" t="n"/>
      <c r="C508" s="26" t="n"/>
      <c r="D508" s="26" t="n"/>
      <c r="E508" s="26" t="n"/>
      <c r="F508" s="26" t="n"/>
      <c r="G508" s="26" t="n"/>
      <c r="H508" s="26" t="n"/>
    </row>
    <row r="509" ht="15" customHeight="1">
      <c r="A509" s="26" t="n"/>
      <c r="B509" s="26" t="n"/>
      <c r="C509" s="26" t="n"/>
      <c r="D509" s="26" t="n"/>
      <c r="E509" s="26" t="n"/>
      <c r="F509" s="26" t="n"/>
      <c r="G509" s="26" t="n"/>
      <c r="H509" s="26" t="n"/>
    </row>
    <row r="510" ht="15" customHeight="1">
      <c r="A510" s="26" t="n"/>
      <c r="B510" s="26" t="n"/>
      <c r="C510" s="26" t="n"/>
      <c r="D510" s="26" t="n"/>
      <c r="E510" s="26" t="n"/>
      <c r="F510" s="26" t="n"/>
      <c r="G510" s="26" t="n"/>
      <c r="H510" s="26" t="n"/>
    </row>
    <row r="511" ht="15" customHeight="1">
      <c r="A511" s="26" t="n"/>
      <c r="B511" s="26" t="n"/>
      <c r="C511" s="26" t="n"/>
      <c r="D511" s="26" t="n"/>
      <c r="E511" s="26" t="n"/>
      <c r="F511" s="26" t="n"/>
      <c r="G511" s="26" t="n"/>
      <c r="H511" s="26" t="n"/>
    </row>
    <row r="512" ht="15" customHeight="1">
      <c r="A512" s="26" t="n"/>
      <c r="B512" s="26" t="n"/>
      <c r="C512" s="26" t="n"/>
      <c r="D512" s="26" t="n"/>
      <c r="E512" s="26" t="n"/>
      <c r="F512" s="26" t="n"/>
      <c r="G512" s="26" t="n"/>
      <c r="H512" s="26" t="n"/>
    </row>
    <row r="513" ht="15" customHeight="1">
      <c r="A513" s="26" t="n"/>
      <c r="B513" s="26" t="n"/>
      <c r="C513" s="26" t="n"/>
      <c r="D513" s="26" t="n"/>
      <c r="E513" s="26" t="n"/>
      <c r="F513" s="26" t="n"/>
      <c r="G513" s="26" t="n"/>
      <c r="H513" s="26" t="n"/>
    </row>
    <row r="514" ht="15" customHeight="1">
      <c r="A514" s="26" t="n"/>
      <c r="B514" s="26" t="n"/>
      <c r="C514" s="26" t="n"/>
      <c r="D514" s="26" t="n"/>
      <c r="E514" s="26" t="n"/>
      <c r="F514" s="26" t="n"/>
      <c r="G514" s="26" t="n"/>
      <c r="H514" s="26" t="n"/>
    </row>
    <row r="515" ht="15" customHeight="1">
      <c r="A515" s="26" t="n"/>
      <c r="B515" s="26" t="n"/>
      <c r="C515" s="26" t="n"/>
      <c r="D515" s="26" t="n"/>
      <c r="E515" s="26" t="n"/>
      <c r="F515" s="26" t="n"/>
      <c r="G515" s="26" t="n"/>
      <c r="H515" s="26" t="n"/>
    </row>
    <row r="516" ht="15" customHeight="1">
      <c r="A516" s="26" t="n"/>
      <c r="B516" s="26" t="n"/>
      <c r="C516" s="26" t="n"/>
      <c r="D516" s="26" t="n"/>
      <c r="E516" s="26" t="n"/>
      <c r="F516" s="26" t="n"/>
      <c r="G516" s="26" t="n"/>
      <c r="H516" s="26" t="n"/>
    </row>
    <row r="517" ht="15" customHeight="1">
      <c r="A517" s="26" t="n"/>
      <c r="B517" s="26" t="n"/>
      <c r="C517" s="26" t="n"/>
      <c r="D517" s="26" t="n"/>
      <c r="E517" s="26" t="n"/>
      <c r="F517" s="26" t="n"/>
      <c r="G517" s="26" t="n"/>
      <c r="H517" s="26" t="n"/>
    </row>
    <row r="518" ht="15" customHeight="1">
      <c r="A518" s="26" t="n"/>
      <c r="B518" s="26" t="n"/>
      <c r="C518" s="26" t="n"/>
      <c r="D518" s="26" t="n"/>
      <c r="E518" s="26" t="n"/>
      <c r="F518" s="26" t="n"/>
      <c r="G518" s="26" t="n"/>
      <c r="H518" s="26" t="n"/>
    </row>
    <row r="519" ht="15" customHeight="1">
      <c r="A519" s="26" t="n"/>
      <c r="B519" s="26" t="n"/>
      <c r="C519" s="26" t="n"/>
      <c r="D519" s="26" t="n"/>
      <c r="E519" s="26" t="n"/>
      <c r="F519" s="26" t="n"/>
      <c r="G519" s="26" t="n"/>
      <c r="H519" s="26" t="n"/>
    </row>
    <row r="520" ht="15" customHeight="1">
      <c r="A520" s="26" t="n"/>
      <c r="B520" s="26" t="n"/>
      <c r="C520" s="26" t="n"/>
      <c r="D520" s="26" t="n"/>
      <c r="E520" s="26" t="n"/>
      <c r="F520" s="26" t="n"/>
      <c r="G520" s="26" t="n"/>
      <c r="H520" s="26" t="n"/>
    </row>
    <row r="521" ht="15" customHeight="1">
      <c r="A521" s="26" t="n"/>
      <c r="B521" s="26" t="n"/>
      <c r="C521" s="26" t="n"/>
      <c r="D521" s="26" t="n"/>
      <c r="E521" s="26" t="n"/>
      <c r="F521" s="26" t="n"/>
      <c r="G521" s="26" t="n"/>
      <c r="H521" s="26" t="n"/>
    </row>
    <row r="522" ht="15" customHeight="1">
      <c r="A522" s="26" t="n"/>
      <c r="B522" s="26" t="n"/>
      <c r="C522" s="26" t="n"/>
      <c r="D522" s="26" t="n"/>
      <c r="E522" s="26" t="n"/>
      <c r="F522" s="26" t="n"/>
      <c r="G522" s="26" t="n"/>
      <c r="H522" s="26" t="n"/>
    </row>
    <row r="523" ht="15" customHeight="1">
      <c r="A523" s="26" t="n"/>
      <c r="B523" s="26" t="n"/>
      <c r="C523" s="26" t="n"/>
      <c r="D523" s="26" t="n"/>
      <c r="E523" s="26" t="n"/>
      <c r="F523" s="26" t="n"/>
      <c r="G523" s="26" t="n"/>
      <c r="H523" s="26" t="n"/>
    </row>
    <row r="524" ht="15" customHeight="1">
      <c r="A524" s="26" t="n"/>
      <c r="B524" s="26" t="n"/>
      <c r="C524" s="26" t="n"/>
      <c r="D524" s="26" t="n"/>
      <c r="E524" s="26" t="n"/>
      <c r="F524" s="26" t="n"/>
      <c r="G524" s="26" t="n"/>
      <c r="H524" s="26" t="n"/>
    </row>
    <row r="525" ht="15" customHeight="1">
      <c r="A525" s="26" t="n"/>
      <c r="B525" s="26" t="n"/>
      <c r="C525" s="26" t="n"/>
      <c r="D525" s="26" t="n"/>
      <c r="E525" s="26" t="n"/>
      <c r="F525" s="26" t="n"/>
      <c r="G525" s="26" t="n"/>
      <c r="H525" s="26" t="n"/>
    </row>
    <row r="526" ht="15" customHeight="1">
      <c r="A526" s="26" t="n"/>
      <c r="B526" s="26" t="n"/>
      <c r="C526" s="26" t="n"/>
      <c r="D526" s="26" t="n"/>
      <c r="E526" s="26" t="n"/>
      <c r="F526" s="26" t="n"/>
      <c r="G526" s="26" t="n"/>
      <c r="H526" s="26" t="n"/>
    </row>
    <row r="527" ht="15" customHeight="1">
      <c r="A527" s="26" t="n"/>
      <c r="B527" s="26" t="n"/>
      <c r="C527" s="26" t="n"/>
      <c r="D527" s="26" t="n"/>
      <c r="E527" s="26" t="n"/>
      <c r="F527" s="26" t="n"/>
      <c r="G527" s="26" t="n"/>
      <c r="H527" s="26" t="n"/>
    </row>
    <row r="528" ht="15" customHeight="1">
      <c r="A528" s="26" t="n"/>
      <c r="B528" s="26" t="n"/>
      <c r="C528" s="26" t="n"/>
      <c r="D528" s="26" t="n"/>
      <c r="E528" s="26" t="n"/>
      <c r="F528" s="26" t="n"/>
      <c r="G528" s="26" t="n"/>
      <c r="H528" s="26" t="n"/>
    </row>
    <row r="529" ht="15" customHeight="1">
      <c r="A529" s="26" t="n"/>
      <c r="B529" s="26" t="n"/>
      <c r="C529" s="26" t="n"/>
      <c r="D529" s="26" t="n"/>
      <c r="E529" s="26" t="n"/>
      <c r="F529" s="26" t="n"/>
      <c r="G529" s="26" t="n"/>
      <c r="H529" s="26" t="n"/>
    </row>
    <row r="530" ht="15" customHeight="1">
      <c r="A530" s="26" t="n"/>
      <c r="B530" s="26" t="n"/>
      <c r="C530" s="26" t="n"/>
      <c r="D530" s="26" t="n"/>
      <c r="E530" s="26" t="n"/>
      <c r="F530" s="26" t="n"/>
      <c r="G530" s="26" t="n"/>
      <c r="H530" s="26" t="n"/>
    </row>
    <row r="531" ht="15" customHeight="1">
      <c r="A531" s="26" t="n"/>
      <c r="B531" s="26" t="n"/>
      <c r="C531" s="26" t="n"/>
      <c r="D531" s="26" t="n"/>
      <c r="E531" s="26" t="n"/>
      <c r="F531" s="26" t="n"/>
      <c r="G531" s="26" t="n"/>
      <c r="H531" s="26" t="n"/>
    </row>
    <row r="532" ht="15" customHeight="1">
      <c r="A532" s="26" t="n"/>
      <c r="B532" s="26" t="n"/>
      <c r="C532" s="26" t="n"/>
      <c r="D532" s="26" t="n"/>
      <c r="E532" s="26" t="n"/>
      <c r="F532" s="26" t="n"/>
      <c r="G532" s="26" t="n"/>
      <c r="H532" s="26" t="n"/>
    </row>
    <row r="533" ht="15" customHeight="1">
      <c r="A533" s="26" t="n"/>
      <c r="B533" s="26" t="n"/>
      <c r="C533" s="26" t="n"/>
      <c r="D533" s="26" t="n"/>
      <c r="E533" s="26" t="n"/>
      <c r="F533" s="26" t="n"/>
      <c r="G533" s="26" t="n"/>
      <c r="H533" s="26" t="n"/>
    </row>
    <row r="534" ht="15" customHeight="1">
      <c r="A534" s="26" t="n"/>
      <c r="B534" s="26" t="n"/>
      <c r="C534" s="26" t="n"/>
      <c r="D534" s="26" t="n"/>
      <c r="E534" s="26" t="n"/>
      <c r="F534" s="26" t="n"/>
      <c r="G534" s="26" t="n"/>
      <c r="H534" s="26" t="n"/>
    </row>
    <row r="535" ht="15" customHeight="1">
      <c r="A535" s="26" t="n"/>
      <c r="B535" s="26" t="n"/>
      <c r="C535" s="26" t="n"/>
      <c r="D535" s="26" t="n"/>
      <c r="E535" s="26" t="n"/>
      <c r="F535" s="26" t="n"/>
      <c r="G535" s="26" t="n"/>
      <c r="H535" s="26" t="n"/>
    </row>
    <row r="536" ht="15" customHeight="1">
      <c r="A536" s="26" t="n"/>
      <c r="B536" s="26" t="n"/>
      <c r="C536" s="26" t="n"/>
      <c r="D536" s="26" t="n"/>
      <c r="E536" s="26" t="n"/>
      <c r="F536" s="26" t="n"/>
      <c r="G536" s="26" t="n"/>
      <c r="H536" s="26" t="n"/>
    </row>
    <row r="537" ht="15" customHeight="1">
      <c r="A537" s="26" t="n"/>
      <c r="B537" s="26" t="n"/>
      <c r="C537" s="26" t="n"/>
      <c r="D537" s="26" t="n"/>
      <c r="E537" s="26" t="n"/>
      <c r="F537" s="26" t="n"/>
      <c r="G537" s="26" t="n"/>
      <c r="H537" s="26" t="n"/>
    </row>
    <row r="538" ht="15" customHeight="1">
      <c r="A538" s="26" t="n"/>
      <c r="B538" s="26" t="n"/>
      <c r="C538" s="26" t="n"/>
      <c r="D538" s="26" t="n"/>
      <c r="E538" s="26" t="n"/>
      <c r="F538" s="26" t="n"/>
      <c r="G538" s="26" t="n"/>
      <c r="H538" s="26" t="n"/>
    </row>
    <row r="539" ht="15" customHeight="1">
      <c r="A539" s="26" t="n"/>
      <c r="B539" s="26" t="n"/>
      <c r="C539" s="26" t="n"/>
      <c r="D539" s="26" t="n"/>
      <c r="E539" s="26" t="n"/>
      <c r="F539" s="26" t="n"/>
      <c r="G539" s="26" t="n"/>
      <c r="H539" s="26" t="n"/>
    </row>
    <row r="540" ht="15" customHeight="1">
      <c r="A540" s="26" t="n"/>
      <c r="B540" s="26" t="n"/>
      <c r="C540" s="26" t="n"/>
      <c r="D540" s="26" t="n"/>
      <c r="E540" s="26" t="n"/>
      <c r="F540" s="26" t="n"/>
      <c r="G540" s="26" t="n"/>
      <c r="H540" s="26" t="n"/>
    </row>
    <row r="541" ht="15" customHeight="1">
      <c r="A541" s="26" t="n"/>
      <c r="B541" s="26" t="n"/>
      <c r="C541" s="26" t="n"/>
      <c r="D541" s="26" t="n"/>
      <c r="E541" s="26" t="n"/>
      <c r="F541" s="26" t="n"/>
      <c r="G541" s="26" t="n"/>
      <c r="H541" s="26" t="n"/>
    </row>
    <row r="542" ht="15" customHeight="1">
      <c r="A542" s="26" t="n"/>
      <c r="B542" s="26" t="n"/>
      <c r="C542" s="26" t="n"/>
      <c r="D542" s="26" t="n"/>
      <c r="E542" s="26" t="n"/>
      <c r="F542" s="26" t="n"/>
      <c r="G542" s="26" t="n"/>
      <c r="H542" s="26" t="n"/>
    </row>
    <row r="543" ht="15" customHeight="1">
      <c r="A543" s="26" t="n"/>
      <c r="B543" s="26" t="n"/>
      <c r="C543" s="26" t="n"/>
      <c r="D543" s="26" t="n"/>
      <c r="E543" s="26" t="n"/>
      <c r="F543" s="26" t="n"/>
      <c r="G543" s="26" t="n"/>
      <c r="H543" s="26" t="n"/>
    </row>
    <row r="544" ht="15" customHeight="1">
      <c r="A544" s="26" t="n"/>
      <c r="B544" s="26" t="n"/>
      <c r="C544" s="26" t="n"/>
      <c r="D544" s="26" t="n"/>
      <c r="E544" s="26" t="n"/>
      <c r="F544" s="26" t="n"/>
      <c r="G544" s="26" t="n"/>
      <c r="H544" s="26" t="n"/>
    </row>
    <row r="545" ht="15" customHeight="1">
      <c r="A545" s="26" t="n"/>
      <c r="B545" s="26" t="n"/>
      <c r="C545" s="26" t="n"/>
      <c r="D545" s="26" t="n"/>
      <c r="E545" s="26" t="n"/>
      <c r="F545" s="26" t="n"/>
      <c r="G545" s="26" t="n"/>
      <c r="H545" s="26" t="n"/>
    </row>
    <row r="546" ht="15" customHeight="1">
      <c r="A546" s="26" t="n"/>
      <c r="B546" s="26" t="n"/>
      <c r="C546" s="26" t="n"/>
      <c r="D546" s="26" t="n"/>
      <c r="E546" s="26" t="n"/>
      <c r="F546" s="26" t="n"/>
      <c r="G546" s="26" t="n"/>
      <c r="H546" s="26" t="n"/>
    </row>
    <row r="547" ht="15" customHeight="1">
      <c r="A547" s="26" t="n"/>
      <c r="B547" s="26" t="n"/>
      <c r="C547" s="26" t="n"/>
      <c r="D547" s="26" t="n"/>
      <c r="E547" s="26" t="n"/>
      <c r="F547" s="26" t="n"/>
      <c r="G547" s="26" t="n"/>
      <c r="H547" s="26" t="n"/>
    </row>
    <row r="548" ht="15" customHeight="1">
      <c r="A548" s="26" t="n"/>
      <c r="B548" s="26" t="n"/>
      <c r="C548" s="26" t="n"/>
      <c r="D548" s="26" t="n"/>
      <c r="E548" s="26" t="n"/>
      <c r="F548" s="26" t="n"/>
      <c r="G548" s="26" t="n"/>
      <c r="H548" s="26" t="n"/>
    </row>
    <row r="549" ht="15" customHeight="1">
      <c r="A549" s="26" t="n"/>
      <c r="B549" s="26" t="n"/>
      <c r="C549" s="26" t="n"/>
      <c r="D549" s="26" t="n"/>
      <c r="E549" s="26" t="n"/>
      <c r="F549" s="26" t="n"/>
      <c r="G549" s="26" t="n"/>
      <c r="H549" s="26" t="n"/>
    </row>
    <row r="550" ht="15" customHeight="1">
      <c r="A550" s="26" t="n"/>
      <c r="B550" s="26" t="n"/>
      <c r="C550" s="26" t="n"/>
      <c r="D550" s="26" t="n"/>
      <c r="E550" s="26" t="n"/>
      <c r="F550" s="26" t="n"/>
      <c r="G550" s="26" t="n"/>
      <c r="H550" s="26" t="n"/>
    </row>
    <row r="551" ht="15" customHeight="1">
      <c r="A551" s="26" t="n"/>
      <c r="B551" s="26" t="n"/>
      <c r="C551" s="26" t="n"/>
      <c r="D551" s="26" t="n"/>
      <c r="E551" s="26" t="n"/>
      <c r="F551" s="26" t="n"/>
      <c r="G551" s="26" t="n"/>
      <c r="H551" s="26" t="n"/>
    </row>
    <row r="552" ht="15" customHeight="1">
      <c r="A552" s="26" t="n"/>
      <c r="B552" s="26" t="n"/>
      <c r="C552" s="26" t="n"/>
      <c r="D552" s="26" t="n"/>
      <c r="E552" s="26" t="n"/>
      <c r="F552" s="26" t="n"/>
      <c r="G552" s="26" t="n"/>
      <c r="H552" s="26" t="n"/>
    </row>
    <row r="553" ht="15" customHeight="1">
      <c r="A553" s="26" t="n"/>
      <c r="B553" s="26" t="n"/>
      <c r="C553" s="26" t="n"/>
      <c r="D553" s="26" t="n"/>
      <c r="E553" s="26" t="n"/>
      <c r="F553" s="26" t="n"/>
      <c r="G553" s="26" t="n"/>
      <c r="H553" s="26" t="n"/>
    </row>
    <row r="554" ht="15" customHeight="1">
      <c r="A554" s="26" t="n"/>
      <c r="B554" s="26" t="n"/>
      <c r="C554" s="26" t="n"/>
      <c r="D554" s="26" t="n"/>
      <c r="E554" s="26" t="n"/>
      <c r="F554" s="26" t="n"/>
      <c r="G554" s="26" t="n"/>
      <c r="H554" s="26" t="n"/>
    </row>
    <row r="555" ht="15" customHeight="1">
      <c r="A555" s="26" t="n"/>
      <c r="B555" s="26" t="n"/>
      <c r="C555" s="26" t="n"/>
      <c r="D555" s="26" t="n"/>
      <c r="E555" s="26" t="n"/>
      <c r="F555" s="26" t="n"/>
      <c r="G555" s="26" t="n"/>
      <c r="H555" s="26" t="n"/>
    </row>
    <row r="556" ht="15" customHeight="1">
      <c r="A556" s="26" t="n"/>
      <c r="B556" s="26" t="n"/>
      <c r="C556" s="26" t="n"/>
      <c r="D556" s="26" t="n"/>
      <c r="E556" s="26" t="n"/>
      <c r="F556" s="26" t="n"/>
      <c r="G556" s="26" t="n"/>
      <c r="H556" s="26" t="n"/>
    </row>
    <row r="557" ht="15" customHeight="1">
      <c r="A557" s="26" t="n"/>
      <c r="B557" s="26" t="n"/>
      <c r="C557" s="26" t="n"/>
      <c r="D557" s="26" t="n"/>
      <c r="E557" s="26" t="n"/>
      <c r="F557" s="26" t="n"/>
      <c r="G557" s="26" t="n"/>
      <c r="H557" s="26" t="n"/>
    </row>
    <row r="558" ht="15" customHeight="1">
      <c r="A558" s="26" t="n"/>
      <c r="B558" s="26" t="n"/>
      <c r="C558" s="26" t="n"/>
      <c r="D558" s="26" t="n"/>
      <c r="E558" s="26" t="n"/>
      <c r="F558" s="26" t="n"/>
      <c r="G558" s="26" t="n"/>
      <c r="H558" s="26" t="n"/>
    </row>
    <row r="559" ht="15" customHeight="1">
      <c r="A559" s="26" t="n"/>
      <c r="B559" s="26" t="n"/>
      <c r="C559" s="26" t="n"/>
      <c r="D559" s="26" t="n"/>
      <c r="E559" s="26" t="n"/>
      <c r="F559" s="26" t="n"/>
      <c r="G559" s="26" t="n"/>
      <c r="H559" s="26" t="n"/>
    </row>
    <row r="560" ht="15" customHeight="1">
      <c r="A560" s="26" t="n"/>
      <c r="B560" s="26" t="n"/>
      <c r="C560" s="26" t="n"/>
      <c r="D560" s="26" t="n"/>
      <c r="E560" s="26" t="n"/>
      <c r="F560" s="26" t="n"/>
      <c r="G560" s="26" t="n"/>
      <c r="H560" s="26" t="n"/>
    </row>
    <row r="561" ht="15" customHeight="1">
      <c r="A561" s="26" t="n"/>
      <c r="B561" s="26" t="n"/>
      <c r="C561" s="26" t="n"/>
      <c r="D561" s="26" t="n"/>
      <c r="E561" s="26" t="n"/>
      <c r="F561" s="26" t="n"/>
      <c r="G561" s="26" t="n"/>
      <c r="H561" s="26" t="n"/>
    </row>
    <row r="562" ht="15" customHeight="1">
      <c r="A562" s="26" t="n"/>
      <c r="B562" s="26" t="n"/>
      <c r="C562" s="26" t="n"/>
      <c r="D562" s="26" t="n"/>
      <c r="E562" s="26" t="n"/>
      <c r="F562" s="26" t="n"/>
      <c r="G562" s="26" t="n"/>
      <c r="H562" s="26" t="n"/>
    </row>
    <row r="563" ht="15" customHeight="1">
      <c r="A563" s="26" t="n"/>
      <c r="B563" s="26" t="n"/>
      <c r="C563" s="26" t="n"/>
      <c r="D563" s="26" t="n"/>
      <c r="E563" s="26" t="n"/>
      <c r="F563" s="26" t="n"/>
      <c r="G563" s="26" t="n"/>
      <c r="H563" s="26" t="n"/>
    </row>
    <row r="564" ht="15" customHeight="1">
      <c r="A564" s="26" t="n"/>
      <c r="B564" s="26" t="n"/>
      <c r="C564" s="26" t="n"/>
      <c r="D564" s="26" t="n"/>
      <c r="E564" s="26" t="n"/>
      <c r="F564" s="26" t="n"/>
      <c r="G564" s="26" t="n"/>
      <c r="H564" s="26" t="n"/>
    </row>
    <row r="565" ht="15" customHeight="1">
      <c r="A565" s="26" t="n"/>
      <c r="B565" s="26" t="n"/>
      <c r="C565" s="26" t="n"/>
      <c r="D565" s="26" t="n"/>
      <c r="E565" s="26" t="n"/>
      <c r="F565" s="26" t="n"/>
      <c r="G565" s="26" t="n"/>
      <c r="H565" s="26" t="n"/>
    </row>
    <row r="566" ht="15" customHeight="1">
      <c r="A566" s="26" t="n"/>
      <c r="B566" s="26" t="n"/>
      <c r="C566" s="26" t="n"/>
      <c r="D566" s="26" t="n"/>
      <c r="E566" s="26" t="n"/>
      <c r="F566" s="26" t="n"/>
      <c r="G566" s="26" t="n"/>
      <c r="H566" s="26" t="n"/>
    </row>
    <row r="567" ht="15" customHeight="1">
      <c r="A567" s="26" t="n"/>
      <c r="B567" s="26" t="n"/>
      <c r="C567" s="26" t="n"/>
      <c r="D567" s="26" t="n"/>
      <c r="E567" s="26" t="n"/>
      <c r="F567" s="26" t="n"/>
      <c r="G567" s="26" t="n"/>
      <c r="H567" s="26" t="n"/>
    </row>
    <row r="568" ht="15" customHeight="1">
      <c r="A568" s="26" t="n"/>
      <c r="B568" s="26" t="n"/>
      <c r="C568" s="26" t="n"/>
      <c r="D568" s="26" t="n"/>
      <c r="E568" s="26" t="n"/>
      <c r="F568" s="26" t="n"/>
      <c r="G568" s="26" t="n"/>
      <c r="H568" s="26" t="n"/>
    </row>
    <row r="569" ht="15" customHeight="1">
      <c r="A569" s="26" t="n"/>
      <c r="B569" s="26" t="n"/>
      <c r="C569" s="26" t="n"/>
      <c r="D569" s="26" t="n"/>
      <c r="E569" s="26" t="n"/>
      <c r="F569" s="26" t="n"/>
      <c r="G569" s="26" t="n"/>
      <c r="H569" s="26" t="n"/>
    </row>
    <row r="570" ht="15" customHeight="1">
      <c r="A570" s="26" t="n"/>
      <c r="B570" s="26" t="n"/>
      <c r="C570" s="26" t="n"/>
      <c r="D570" s="26" t="n"/>
      <c r="E570" s="26" t="n"/>
      <c r="F570" s="26" t="n"/>
      <c r="G570" s="26" t="n"/>
      <c r="H570" s="26" t="n"/>
    </row>
    <row r="571" ht="15" customHeight="1">
      <c r="A571" s="26" t="n"/>
      <c r="B571" s="26" t="n"/>
      <c r="C571" s="26" t="n"/>
      <c r="D571" s="26" t="n"/>
      <c r="E571" s="26" t="n"/>
      <c r="F571" s="26" t="n"/>
      <c r="G571" s="26" t="n"/>
      <c r="H571" s="26" t="n"/>
    </row>
    <row r="572" ht="15" customHeight="1">
      <c r="A572" s="26" t="n"/>
      <c r="B572" s="26" t="n"/>
      <c r="C572" s="26" t="n"/>
      <c r="D572" s="26" t="n"/>
      <c r="E572" s="26" t="n"/>
      <c r="F572" s="26" t="n"/>
      <c r="G572" s="26" t="n"/>
      <c r="H572" s="26" t="n"/>
    </row>
    <row r="573" ht="15" customHeight="1">
      <c r="A573" s="26" t="n"/>
      <c r="B573" s="26" t="n"/>
      <c r="C573" s="26" t="n"/>
      <c r="D573" s="26" t="n"/>
      <c r="E573" s="26" t="n"/>
      <c r="F573" s="26" t="n"/>
      <c r="G573" s="26" t="n"/>
      <c r="H573" s="26" t="n"/>
    </row>
    <row r="574" ht="15" customHeight="1">
      <c r="A574" s="26" t="n"/>
      <c r="B574" s="26" t="n"/>
      <c r="C574" s="26" t="n"/>
      <c r="D574" s="26" t="n"/>
      <c r="E574" s="26" t="n"/>
      <c r="F574" s="26" t="n"/>
      <c r="G574" s="26" t="n"/>
      <c r="H574" s="26" t="n"/>
    </row>
    <row r="575" ht="15" customHeight="1">
      <c r="A575" s="26" t="n"/>
      <c r="B575" s="26" t="n"/>
      <c r="C575" s="26" t="n"/>
      <c r="D575" s="26" t="n"/>
      <c r="E575" s="26" t="n"/>
      <c r="F575" s="26" t="n"/>
      <c r="G575" s="26" t="n"/>
      <c r="H575" s="26" t="n"/>
    </row>
    <row r="576" ht="15" customHeight="1">
      <c r="A576" s="26" t="n"/>
      <c r="B576" s="26" t="n"/>
      <c r="C576" s="26" t="n"/>
      <c r="D576" s="26" t="n"/>
      <c r="E576" s="26" t="n"/>
      <c r="F576" s="26" t="n"/>
      <c r="G576" s="26" t="n"/>
      <c r="H576" s="26" t="n"/>
    </row>
    <row r="577" ht="15" customHeight="1">
      <c r="A577" s="26" t="n"/>
      <c r="B577" s="26" t="n"/>
      <c r="C577" s="26" t="n"/>
      <c r="D577" s="26" t="n"/>
      <c r="E577" s="26" t="n"/>
      <c r="F577" s="26" t="n"/>
      <c r="G577" s="26" t="n"/>
      <c r="H577" s="26" t="n"/>
    </row>
    <row r="578" ht="15" customHeight="1">
      <c r="A578" s="26" t="n"/>
      <c r="B578" s="26" t="n"/>
      <c r="C578" s="26" t="n"/>
      <c r="D578" s="26" t="n"/>
      <c r="E578" s="26" t="n"/>
      <c r="F578" s="26" t="n"/>
      <c r="G578" s="26" t="n"/>
      <c r="H578" s="26" t="n"/>
    </row>
    <row r="579" ht="15" customHeight="1">
      <c r="A579" s="26" t="n"/>
      <c r="B579" s="26" t="n"/>
      <c r="C579" s="26" t="n"/>
      <c r="D579" s="26" t="n"/>
      <c r="E579" s="26" t="n"/>
      <c r="F579" s="26" t="n"/>
      <c r="G579" s="26" t="n"/>
      <c r="H579" s="26" t="n"/>
    </row>
    <row r="580" ht="15" customHeight="1">
      <c r="A580" s="26" t="n"/>
      <c r="B580" s="26" t="n"/>
      <c r="C580" s="26" t="n"/>
      <c r="D580" s="26" t="n"/>
      <c r="E580" s="26" t="n"/>
      <c r="F580" s="26" t="n"/>
      <c r="G580" s="26" t="n"/>
      <c r="H580" s="26" t="n"/>
    </row>
    <row r="581" ht="15" customHeight="1">
      <c r="A581" s="26" t="n"/>
      <c r="B581" s="26" t="n"/>
      <c r="C581" s="26" t="n"/>
      <c r="D581" s="26" t="n"/>
      <c r="E581" s="26" t="n"/>
      <c r="F581" s="26" t="n"/>
      <c r="G581" s="26" t="n"/>
      <c r="H581" s="26" t="n"/>
    </row>
    <row r="582" ht="15" customHeight="1">
      <c r="A582" s="26" t="n"/>
      <c r="B582" s="26" t="n"/>
      <c r="C582" s="26" t="n"/>
      <c r="D582" s="26" t="n"/>
      <c r="E582" s="26" t="n"/>
      <c r="F582" s="26" t="n"/>
      <c r="G582" s="26" t="n"/>
      <c r="H582" s="26" t="n"/>
    </row>
    <row r="583" ht="15" customHeight="1">
      <c r="A583" s="26" t="n"/>
      <c r="B583" s="26" t="n"/>
      <c r="C583" s="26" t="n"/>
      <c r="D583" s="26" t="n"/>
      <c r="E583" s="26" t="n"/>
      <c r="F583" s="26" t="n"/>
      <c r="G583" s="26" t="n"/>
      <c r="H583" s="26" t="n"/>
    </row>
    <row r="584" ht="15" customHeight="1">
      <c r="A584" s="26" t="n"/>
      <c r="B584" s="26" t="n"/>
      <c r="C584" s="26" t="n"/>
      <c r="D584" s="26" t="n"/>
      <c r="E584" s="26" t="n"/>
      <c r="F584" s="26" t="n"/>
      <c r="G584" s="26" t="n"/>
      <c r="H584" s="26" t="n"/>
    </row>
    <row r="585" ht="15" customHeight="1">
      <c r="A585" s="26" t="n"/>
      <c r="B585" s="26" t="n"/>
      <c r="C585" s="26" t="n"/>
      <c r="D585" s="26" t="n"/>
      <c r="E585" s="26" t="n"/>
      <c r="F585" s="26" t="n"/>
      <c r="G585" s="26" t="n"/>
      <c r="H585" s="26" t="n"/>
    </row>
    <row r="586" ht="15" customHeight="1">
      <c r="A586" s="26" t="n"/>
      <c r="B586" s="26" t="n"/>
      <c r="C586" s="26" t="n"/>
      <c r="D586" s="26" t="n"/>
      <c r="E586" s="26" t="n"/>
      <c r="F586" s="26" t="n"/>
      <c r="G586" s="26" t="n"/>
      <c r="H586" s="26" t="n"/>
    </row>
    <row r="587" ht="15" customHeight="1">
      <c r="A587" s="26" t="n"/>
      <c r="B587" s="26" t="n"/>
      <c r="C587" s="26" t="n"/>
      <c r="D587" s="26" t="n"/>
      <c r="E587" s="26" t="n"/>
      <c r="F587" s="26" t="n"/>
      <c r="G587" s="26" t="n"/>
      <c r="H587" s="26" t="n"/>
    </row>
    <row r="588" ht="15" customHeight="1">
      <c r="A588" s="26" t="n"/>
      <c r="B588" s="26" t="n"/>
      <c r="C588" s="26" t="n"/>
      <c r="D588" s="26" t="n"/>
      <c r="E588" s="26" t="n"/>
      <c r="F588" s="26" t="n"/>
      <c r="G588" s="26" t="n"/>
      <c r="H588" s="26" t="n"/>
    </row>
    <row r="589" ht="15" customHeight="1">
      <c r="A589" s="26" t="n"/>
      <c r="B589" s="26" t="n"/>
      <c r="C589" s="26" t="n"/>
      <c r="D589" s="26" t="n"/>
      <c r="E589" s="26" t="n"/>
      <c r="F589" s="26" t="n"/>
      <c r="G589" s="26" t="n"/>
      <c r="H589" s="26" t="n"/>
    </row>
    <row r="590" ht="15" customHeight="1">
      <c r="A590" s="26" t="n"/>
      <c r="B590" s="26" t="n"/>
      <c r="C590" s="26" t="n"/>
      <c r="D590" s="26" t="n"/>
      <c r="E590" s="26" t="n"/>
      <c r="F590" s="26" t="n"/>
      <c r="G590" s="26" t="n"/>
      <c r="H590" s="26" t="n"/>
    </row>
    <row r="591" ht="15" customHeight="1">
      <c r="A591" s="26" t="n"/>
      <c r="B591" s="26" t="n"/>
      <c r="C591" s="26" t="n"/>
      <c r="D591" s="26" t="n"/>
      <c r="E591" s="26" t="n"/>
      <c r="F591" s="26" t="n"/>
      <c r="G591" s="26" t="n"/>
      <c r="H591" s="26" t="n"/>
    </row>
    <row r="592" ht="15" customHeight="1">
      <c r="A592" s="26" t="n"/>
      <c r="B592" s="26" t="n"/>
      <c r="C592" s="26" t="n"/>
      <c r="D592" s="26" t="n"/>
      <c r="E592" s="26" t="n"/>
      <c r="F592" s="26" t="n"/>
      <c r="G592" s="26" t="n"/>
      <c r="H592" s="26" t="n"/>
    </row>
    <row r="593" ht="15" customHeight="1">
      <c r="A593" s="26" t="n"/>
      <c r="B593" s="26" t="n"/>
      <c r="C593" s="26" t="n"/>
      <c r="D593" s="26" t="n"/>
      <c r="E593" s="26" t="n"/>
      <c r="F593" s="26" t="n"/>
      <c r="G593" s="26" t="n"/>
      <c r="H593" s="26" t="n"/>
    </row>
    <row r="594" ht="15" customHeight="1">
      <c r="A594" s="26" t="n"/>
      <c r="B594" s="26" t="n"/>
      <c r="C594" s="26" t="n"/>
      <c r="D594" s="26" t="n"/>
      <c r="E594" s="26" t="n"/>
      <c r="F594" s="26" t="n"/>
      <c r="G594" s="26" t="n"/>
      <c r="H594" s="26" t="n"/>
    </row>
    <row r="595" ht="15" customHeight="1">
      <c r="A595" s="26" t="n"/>
      <c r="B595" s="26" t="n"/>
      <c r="C595" s="26" t="n"/>
      <c r="D595" s="26" t="n"/>
      <c r="E595" s="26" t="n"/>
      <c r="F595" s="26" t="n"/>
      <c r="G595" s="26" t="n"/>
      <c r="H595" s="26" t="n"/>
    </row>
    <row r="596" ht="15" customHeight="1">
      <c r="A596" s="26" t="n"/>
      <c r="B596" s="26" t="n"/>
      <c r="C596" s="26" t="n"/>
      <c r="D596" s="26" t="n"/>
      <c r="E596" s="26" t="n"/>
      <c r="F596" s="26" t="n"/>
      <c r="G596" s="26" t="n"/>
      <c r="H596" s="26" t="n"/>
    </row>
    <row r="597" ht="15" customHeight="1">
      <c r="A597" s="26" t="n"/>
      <c r="B597" s="26" t="n"/>
      <c r="C597" s="26" t="n"/>
      <c r="D597" s="26" t="n"/>
      <c r="E597" s="26" t="n"/>
      <c r="F597" s="26" t="n"/>
      <c r="G597" s="26" t="n"/>
      <c r="H597" s="26" t="n"/>
    </row>
    <row r="598" ht="15" customHeight="1">
      <c r="A598" s="26" t="n"/>
      <c r="B598" s="26" t="n"/>
      <c r="C598" s="26" t="n"/>
      <c r="D598" s="26" t="n"/>
      <c r="E598" s="26" t="n"/>
      <c r="F598" s="26" t="n"/>
      <c r="G598" s="26" t="n"/>
      <c r="H598" s="26" t="n"/>
    </row>
    <row r="599" ht="15" customHeight="1">
      <c r="A599" s="26" t="n"/>
      <c r="B599" s="26" t="n"/>
      <c r="C599" s="26" t="n"/>
      <c r="D599" s="26" t="n"/>
      <c r="E599" s="26" t="n"/>
      <c r="F599" s="26" t="n"/>
      <c r="G599" s="26" t="n"/>
      <c r="H599" s="26" t="n"/>
    </row>
    <row r="600" ht="15" customHeight="1">
      <c r="A600" s="26" t="n"/>
      <c r="B600" s="26" t="n"/>
      <c r="C600" s="26" t="n"/>
      <c r="D600" s="26" t="n"/>
      <c r="E600" s="26" t="n"/>
      <c r="F600" s="26" t="n"/>
      <c r="G600" s="26" t="n"/>
      <c r="H600" s="26" t="n"/>
    </row>
    <row r="601" ht="15" customHeight="1">
      <c r="A601" s="26" t="n"/>
      <c r="B601" s="26" t="n"/>
      <c r="C601" s="26" t="n"/>
      <c r="D601" s="26" t="n"/>
      <c r="E601" s="26" t="n"/>
      <c r="F601" s="26" t="n"/>
      <c r="G601" s="26" t="n"/>
      <c r="H601" s="26" t="n"/>
    </row>
    <row r="602" ht="15" customHeight="1">
      <c r="A602" s="26" t="n"/>
      <c r="B602" s="26" t="n"/>
      <c r="C602" s="26" t="n"/>
      <c r="D602" s="26" t="n"/>
      <c r="E602" s="26" t="n"/>
      <c r="F602" s="26" t="n"/>
      <c r="G602" s="26" t="n"/>
      <c r="H602" s="26" t="n"/>
    </row>
    <row r="603" ht="15" customHeight="1">
      <c r="A603" s="26" t="n"/>
      <c r="B603" s="26" t="n"/>
      <c r="C603" s="26" t="n"/>
      <c r="D603" s="26" t="n"/>
      <c r="E603" s="26" t="n"/>
      <c r="F603" s="26" t="n"/>
      <c r="G603" s="26" t="n"/>
      <c r="H603" s="26" t="n"/>
    </row>
    <row r="604" ht="15" customHeight="1">
      <c r="A604" s="26" t="n"/>
      <c r="B604" s="26" t="n"/>
      <c r="C604" s="26" t="n"/>
      <c r="D604" s="26" t="n"/>
      <c r="E604" s="26" t="n"/>
      <c r="F604" s="26" t="n"/>
      <c r="G604" s="26" t="n"/>
      <c r="H604" s="26" t="n"/>
    </row>
    <row r="605" ht="15" customHeight="1">
      <c r="A605" s="26" t="n"/>
      <c r="B605" s="26" t="n"/>
      <c r="C605" s="26" t="n"/>
      <c r="D605" s="26" t="n"/>
      <c r="E605" s="26" t="n"/>
      <c r="F605" s="26" t="n"/>
      <c r="G605" s="26" t="n"/>
      <c r="H605" s="26" t="n"/>
    </row>
    <row r="606" ht="15" customHeight="1">
      <c r="A606" s="26" t="n"/>
      <c r="B606" s="26" t="n"/>
      <c r="C606" s="26" t="n"/>
      <c r="D606" s="26" t="n"/>
      <c r="E606" s="26" t="n"/>
      <c r="F606" s="26" t="n"/>
      <c r="G606" s="26" t="n"/>
      <c r="H606" s="26" t="n"/>
    </row>
    <row r="607" ht="15" customHeight="1">
      <c r="A607" s="26" t="n"/>
      <c r="B607" s="26" t="n"/>
      <c r="C607" s="26" t="n"/>
      <c r="D607" s="26" t="n"/>
      <c r="E607" s="26" t="n"/>
      <c r="F607" s="26" t="n"/>
      <c r="G607" s="26" t="n"/>
      <c r="H607" s="26" t="n"/>
    </row>
    <row r="608" ht="15" customHeight="1">
      <c r="A608" s="26" t="n"/>
      <c r="B608" s="26" t="n"/>
      <c r="C608" s="26" t="n"/>
      <c r="D608" s="26" t="n"/>
      <c r="E608" s="26" t="n"/>
      <c r="F608" s="26" t="n"/>
      <c r="G608" s="26" t="n"/>
      <c r="H608" s="26" t="n"/>
    </row>
    <row r="609" ht="15" customHeight="1">
      <c r="A609" s="26" t="n"/>
      <c r="B609" s="26" t="n"/>
      <c r="C609" s="26" t="n"/>
      <c r="D609" s="26" t="n"/>
      <c r="E609" s="26" t="n"/>
      <c r="F609" s="26" t="n"/>
      <c r="G609" s="26" t="n"/>
      <c r="H609" s="26" t="n"/>
    </row>
    <row r="610" ht="15" customHeight="1">
      <c r="A610" s="26" t="n"/>
      <c r="B610" s="26" t="n"/>
      <c r="C610" s="26" t="n"/>
      <c r="D610" s="26" t="n"/>
      <c r="E610" s="26" t="n"/>
      <c r="F610" s="26" t="n"/>
      <c r="G610" s="26" t="n"/>
      <c r="H610" s="26" t="n"/>
    </row>
    <row r="611" ht="15" customHeight="1">
      <c r="A611" s="26" t="n"/>
      <c r="B611" s="26" t="n"/>
      <c r="C611" s="26" t="n"/>
      <c r="D611" s="26" t="n"/>
      <c r="E611" s="26" t="n"/>
      <c r="F611" s="26" t="n"/>
      <c r="G611" s="26" t="n"/>
      <c r="H611" s="26" t="n"/>
    </row>
    <row r="612" ht="15" customHeight="1">
      <c r="A612" s="26" t="n"/>
      <c r="B612" s="26" t="n"/>
      <c r="C612" s="26" t="n"/>
      <c r="D612" s="26" t="n"/>
      <c r="E612" s="26" t="n"/>
      <c r="F612" s="26" t="n"/>
      <c r="G612" s="26" t="n"/>
      <c r="H612" s="26" t="n"/>
    </row>
    <row r="613" ht="15" customHeight="1">
      <c r="A613" s="26" t="n"/>
      <c r="B613" s="26" t="n"/>
      <c r="C613" s="26" t="n"/>
      <c r="D613" s="26" t="n"/>
      <c r="E613" s="26" t="n"/>
      <c r="F613" s="26" t="n"/>
      <c r="G613" s="26" t="n"/>
      <c r="H613" s="26" t="n"/>
    </row>
    <row r="614" ht="15" customHeight="1">
      <c r="A614" s="26" t="n"/>
      <c r="B614" s="26" t="n"/>
      <c r="C614" s="26" t="n"/>
      <c r="D614" s="26" t="n"/>
      <c r="E614" s="26" t="n"/>
      <c r="F614" s="26" t="n"/>
      <c r="G614" s="26" t="n"/>
      <c r="H614" s="26" t="n"/>
    </row>
    <row r="615" ht="15" customHeight="1">
      <c r="A615" s="26" t="n"/>
      <c r="B615" s="26" t="n"/>
      <c r="C615" s="26" t="n"/>
      <c r="D615" s="26" t="n"/>
      <c r="E615" s="26" t="n"/>
      <c r="F615" s="26" t="n"/>
      <c r="G615" s="26" t="n"/>
      <c r="H615" s="26" t="n"/>
    </row>
    <row r="616" ht="15" customHeight="1">
      <c r="A616" s="26" t="n"/>
      <c r="B616" s="26" t="n"/>
      <c r="C616" s="26" t="n"/>
      <c r="D616" s="26" t="n"/>
      <c r="E616" s="26" t="n"/>
      <c r="F616" s="26" t="n"/>
      <c r="G616" s="26" t="n"/>
      <c r="H616" s="26" t="n"/>
    </row>
    <row r="617" ht="15" customHeight="1">
      <c r="A617" s="26" t="n"/>
      <c r="B617" s="26" t="n"/>
      <c r="C617" s="26" t="n"/>
      <c r="D617" s="26" t="n"/>
      <c r="E617" s="26" t="n"/>
      <c r="F617" s="26" t="n"/>
      <c r="G617" s="26" t="n"/>
      <c r="H617" s="26" t="n"/>
    </row>
    <row r="618" ht="15" customHeight="1">
      <c r="A618" s="26" t="n"/>
      <c r="B618" s="26" t="n"/>
      <c r="C618" s="26" t="n"/>
      <c r="D618" s="26" t="n"/>
      <c r="E618" s="26" t="n"/>
      <c r="F618" s="26" t="n"/>
      <c r="G618" s="26" t="n"/>
      <c r="H618" s="26" t="n"/>
    </row>
    <row r="619" ht="15" customHeight="1">
      <c r="A619" s="26" t="n"/>
      <c r="B619" s="26" t="n"/>
      <c r="C619" s="26" t="n"/>
      <c r="D619" s="26" t="n"/>
      <c r="E619" s="26" t="n"/>
      <c r="F619" s="26" t="n"/>
      <c r="G619" s="26" t="n"/>
      <c r="H619" s="26" t="n"/>
    </row>
    <row r="620" ht="15" customHeight="1">
      <c r="A620" s="26" t="n"/>
      <c r="B620" s="26" t="n"/>
      <c r="C620" s="26" t="n"/>
      <c r="D620" s="26" t="n"/>
      <c r="E620" s="26" t="n"/>
      <c r="F620" s="26" t="n"/>
      <c r="G620" s="26" t="n"/>
      <c r="H620" s="26" t="n"/>
    </row>
    <row r="621" ht="15" customHeight="1">
      <c r="A621" s="26" t="n"/>
      <c r="B621" s="26" t="n"/>
      <c r="C621" s="26" t="n"/>
      <c r="D621" s="26" t="n"/>
      <c r="E621" s="26" t="n"/>
      <c r="F621" s="26" t="n"/>
      <c r="G621" s="26" t="n"/>
      <c r="H621" s="26" t="n"/>
    </row>
    <row r="622" ht="15" customHeight="1">
      <c r="A622" s="26" t="n"/>
      <c r="B622" s="26" t="n"/>
      <c r="C622" s="26" t="n"/>
      <c r="D622" s="26" t="n"/>
      <c r="E622" s="26" t="n"/>
      <c r="F622" s="26" t="n"/>
      <c r="G622" s="26" t="n"/>
      <c r="H622" s="26" t="n"/>
    </row>
    <row r="623" ht="15" customHeight="1">
      <c r="A623" s="26" t="n"/>
      <c r="B623" s="26" t="n"/>
      <c r="C623" s="26" t="n"/>
      <c r="D623" s="26" t="n"/>
      <c r="E623" s="26" t="n"/>
      <c r="F623" s="26" t="n"/>
      <c r="G623" s="26" t="n"/>
      <c r="H623" s="26" t="n"/>
    </row>
    <row r="624" ht="15" customHeight="1">
      <c r="A624" s="26" t="n"/>
      <c r="B624" s="26" t="n"/>
      <c r="C624" s="26" t="n"/>
      <c r="D624" s="26" t="n"/>
      <c r="E624" s="26" t="n"/>
      <c r="F624" s="26" t="n"/>
      <c r="G624" s="26" t="n"/>
      <c r="H624" s="26" t="n"/>
    </row>
    <row r="625" ht="15" customHeight="1">
      <c r="A625" s="26" t="n"/>
      <c r="B625" s="26" t="n"/>
      <c r="C625" s="26" t="n"/>
      <c r="D625" s="26" t="n"/>
      <c r="E625" s="26" t="n"/>
      <c r="F625" s="26" t="n"/>
      <c r="G625" s="26" t="n"/>
      <c r="H625" s="26" t="n"/>
    </row>
    <row r="626" ht="15" customHeight="1">
      <c r="A626" s="26" t="n"/>
      <c r="B626" s="26" t="n"/>
      <c r="C626" s="26" t="n"/>
      <c r="D626" s="26" t="n"/>
      <c r="E626" s="26" t="n"/>
      <c r="F626" s="26" t="n"/>
      <c r="G626" s="26" t="n"/>
      <c r="H626" s="26" t="n"/>
    </row>
    <row r="627" ht="15" customHeight="1">
      <c r="A627" s="26" t="n"/>
      <c r="B627" s="26" t="n"/>
      <c r="C627" s="26" t="n"/>
      <c r="D627" s="26" t="n"/>
      <c r="E627" s="26" t="n"/>
      <c r="F627" s="26" t="n"/>
      <c r="G627" s="26" t="n"/>
      <c r="H627" s="26" t="n"/>
    </row>
    <row r="628" ht="15" customHeight="1">
      <c r="A628" s="26" t="n"/>
      <c r="B628" s="26" t="n"/>
      <c r="C628" s="26" t="n"/>
      <c r="D628" s="26" t="n"/>
      <c r="E628" s="26" t="n"/>
      <c r="F628" s="26" t="n"/>
      <c r="G628" s="26" t="n"/>
      <c r="H628" s="26" t="n"/>
    </row>
    <row r="629" ht="15" customHeight="1">
      <c r="A629" s="26" t="n"/>
      <c r="B629" s="26" t="n"/>
      <c r="C629" s="26" t="n"/>
      <c r="D629" s="26" t="n"/>
      <c r="E629" s="26" t="n"/>
      <c r="F629" s="26" t="n"/>
      <c r="G629" s="26" t="n"/>
      <c r="H629" s="26" t="n"/>
    </row>
    <row r="630" ht="15" customHeight="1">
      <c r="A630" s="26" t="n"/>
      <c r="B630" s="26" t="n"/>
      <c r="C630" s="26" t="n"/>
      <c r="D630" s="26" t="n"/>
      <c r="E630" s="26" t="n"/>
      <c r="F630" s="26" t="n"/>
      <c r="G630" s="26" t="n"/>
      <c r="H630" s="26" t="n"/>
    </row>
    <row r="631" ht="15" customHeight="1">
      <c r="A631" s="26" t="n"/>
      <c r="B631" s="26" t="n"/>
      <c r="C631" s="26" t="n"/>
      <c r="D631" s="26" t="n"/>
      <c r="E631" s="26" t="n"/>
      <c r="F631" s="26" t="n"/>
      <c r="G631" s="26" t="n"/>
      <c r="H631" s="26" t="n"/>
    </row>
    <row r="632" ht="15" customHeight="1">
      <c r="A632" s="26" t="n"/>
      <c r="B632" s="26" t="n"/>
      <c r="C632" s="26" t="n"/>
      <c r="D632" s="26" t="n"/>
      <c r="E632" s="26" t="n"/>
      <c r="F632" s="26" t="n"/>
      <c r="G632" s="26" t="n"/>
      <c r="H632" s="26" t="n"/>
    </row>
    <row r="633" ht="15" customHeight="1">
      <c r="A633" s="26" t="n"/>
      <c r="B633" s="26" t="n"/>
      <c r="C633" s="26" t="n"/>
      <c r="D633" s="26" t="n"/>
      <c r="E633" s="26" t="n"/>
      <c r="F633" s="26" t="n"/>
      <c r="G633" s="26" t="n"/>
      <c r="H633" s="26" t="n"/>
    </row>
    <row r="634" ht="15" customHeight="1">
      <c r="A634" s="26" t="n"/>
      <c r="B634" s="26" t="n"/>
      <c r="C634" s="26" t="n"/>
      <c r="D634" s="26" t="n"/>
      <c r="E634" s="26" t="n"/>
      <c r="F634" s="26" t="n"/>
      <c r="G634" s="26" t="n"/>
      <c r="H634" s="26" t="n"/>
    </row>
    <row r="635" ht="15" customHeight="1">
      <c r="A635" s="26" t="n"/>
      <c r="B635" s="26" t="n"/>
      <c r="C635" s="26" t="n"/>
      <c r="D635" s="26" t="n"/>
      <c r="E635" s="26" t="n"/>
      <c r="F635" s="26" t="n"/>
      <c r="G635" s="26" t="n"/>
      <c r="H635" s="26" t="n"/>
    </row>
    <row r="636" ht="15" customHeight="1">
      <c r="A636" s="26" t="n"/>
      <c r="B636" s="26" t="n"/>
      <c r="C636" s="26" t="n"/>
      <c r="D636" s="26" t="n"/>
      <c r="E636" s="26" t="n"/>
      <c r="F636" s="26" t="n"/>
      <c r="G636" s="26" t="n"/>
      <c r="H636" s="26" t="n"/>
    </row>
    <row r="637" ht="15" customHeight="1">
      <c r="A637" s="26" t="n"/>
      <c r="B637" s="26" t="n"/>
      <c r="C637" s="26" t="n"/>
      <c r="D637" s="26" t="n"/>
      <c r="E637" s="26" t="n"/>
      <c r="F637" s="26" t="n"/>
      <c r="G637" s="26" t="n"/>
      <c r="H637" s="26" t="n"/>
    </row>
    <row r="638" ht="15" customHeight="1">
      <c r="A638" s="26" t="n"/>
      <c r="B638" s="26" t="n"/>
      <c r="C638" s="26" t="n"/>
      <c r="D638" s="26" t="n"/>
      <c r="E638" s="26" t="n"/>
      <c r="F638" s="26" t="n"/>
      <c r="G638" s="26" t="n"/>
      <c r="H638" s="26" t="n"/>
    </row>
    <row r="639" ht="15" customHeight="1">
      <c r="A639" s="26" t="n"/>
      <c r="B639" s="26" t="n"/>
      <c r="C639" s="26" t="n"/>
      <c r="D639" s="26" t="n"/>
      <c r="E639" s="26" t="n"/>
      <c r="F639" s="26" t="n"/>
      <c r="G639" s="26" t="n"/>
      <c r="H639" s="26" t="n"/>
    </row>
    <row r="640" ht="15" customHeight="1">
      <c r="A640" s="26" t="n"/>
      <c r="B640" s="26" t="n"/>
      <c r="C640" s="26" t="n"/>
      <c r="D640" s="26" t="n"/>
      <c r="E640" s="26" t="n"/>
      <c r="F640" s="26" t="n"/>
      <c r="G640" s="26" t="n"/>
      <c r="H640" s="26" t="n"/>
    </row>
    <row r="641" ht="15" customHeight="1">
      <c r="A641" s="26" t="n"/>
      <c r="B641" s="26" t="n"/>
      <c r="C641" s="26" t="n"/>
      <c r="D641" s="26" t="n"/>
      <c r="E641" s="26" t="n"/>
      <c r="F641" s="26" t="n"/>
      <c r="G641" s="26" t="n"/>
      <c r="H641" s="26" t="n"/>
    </row>
    <row r="642" ht="15" customHeight="1">
      <c r="A642" s="26" t="n"/>
      <c r="B642" s="26" t="n"/>
      <c r="C642" s="26" t="n"/>
      <c r="D642" s="26" t="n"/>
      <c r="E642" s="26" t="n"/>
      <c r="F642" s="26" t="n"/>
      <c r="G642" s="26" t="n"/>
      <c r="H642" s="26" t="n"/>
    </row>
    <row r="643" ht="15" customHeight="1">
      <c r="A643" s="26" t="n"/>
      <c r="B643" s="26" t="n"/>
      <c r="C643" s="26" t="n"/>
      <c r="D643" s="26" t="n"/>
      <c r="E643" s="26" t="n"/>
      <c r="F643" s="26" t="n"/>
      <c r="G643" s="26" t="n"/>
      <c r="H643" s="26" t="n"/>
    </row>
    <row r="644" ht="15" customHeight="1">
      <c r="A644" s="26" t="n"/>
      <c r="B644" s="26" t="n"/>
      <c r="C644" s="26" t="n"/>
      <c r="D644" s="26" t="n"/>
      <c r="E644" s="26" t="n"/>
      <c r="F644" s="26" t="n"/>
      <c r="G644" s="26" t="n"/>
      <c r="H644" s="26" t="n"/>
    </row>
    <row r="645" ht="15" customHeight="1">
      <c r="A645" s="26" t="n"/>
      <c r="B645" s="26" t="n"/>
      <c r="C645" s="26" t="n"/>
      <c r="D645" s="26" t="n"/>
      <c r="E645" s="26" t="n"/>
      <c r="F645" s="26" t="n"/>
      <c r="G645" s="26" t="n"/>
      <c r="H645" s="26" t="n"/>
    </row>
    <row r="646" ht="15" customHeight="1">
      <c r="A646" s="26" t="n"/>
      <c r="B646" s="26" t="n"/>
      <c r="C646" s="26" t="n"/>
      <c r="D646" s="26" t="n"/>
      <c r="E646" s="26" t="n"/>
      <c r="F646" s="26" t="n"/>
      <c r="G646" s="26" t="n"/>
      <c r="H646" s="26" t="n"/>
    </row>
    <row r="647" ht="15" customHeight="1">
      <c r="A647" s="26" t="n"/>
      <c r="B647" s="26" t="n"/>
      <c r="C647" s="26" t="n"/>
      <c r="D647" s="26" t="n"/>
      <c r="E647" s="26" t="n"/>
      <c r="F647" s="26" t="n"/>
      <c r="G647" s="26" t="n"/>
      <c r="H647" s="26" t="n"/>
    </row>
    <row r="648" ht="15" customHeight="1">
      <c r="A648" s="26" t="n"/>
      <c r="B648" s="26" t="n"/>
      <c r="C648" s="26" t="n"/>
      <c r="D648" s="26" t="n"/>
      <c r="E648" s="26" t="n"/>
      <c r="F648" s="26" t="n"/>
      <c r="G648" s="26" t="n"/>
      <c r="H648" s="26" t="n"/>
    </row>
    <row r="649" ht="15" customHeight="1">
      <c r="A649" s="26" t="n"/>
      <c r="B649" s="26" t="n"/>
      <c r="C649" s="26" t="n"/>
      <c r="D649" s="26" t="n"/>
      <c r="E649" s="26" t="n"/>
      <c r="F649" s="26" t="n"/>
      <c r="G649" s="26" t="n"/>
      <c r="H649" s="26" t="n"/>
    </row>
    <row r="650" ht="15" customHeight="1">
      <c r="A650" s="26" t="n"/>
      <c r="B650" s="26" t="n"/>
      <c r="C650" s="26" t="n"/>
      <c r="D650" s="26" t="n"/>
      <c r="E650" s="26" t="n"/>
      <c r="F650" s="26" t="n"/>
      <c r="G650" s="26" t="n"/>
      <c r="H650" s="26" t="n"/>
    </row>
    <row r="651" ht="15" customHeight="1">
      <c r="A651" s="26" t="n"/>
      <c r="B651" s="26" t="n"/>
      <c r="C651" s="26" t="n"/>
      <c r="D651" s="26" t="n"/>
      <c r="E651" s="26" t="n"/>
      <c r="F651" s="26" t="n"/>
      <c r="G651" s="26" t="n"/>
      <c r="H651" s="26" t="n"/>
    </row>
    <row r="652" ht="15" customHeight="1">
      <c r="A652" s="26" t="n"/>
      <c r="B652" s="26" t="n"/>
      <c r="C652" s="26" t="n"/>
      <c r="D652" s="26" t="n"/>
      <c r="E652" s="26" t="n"/>
      <c r="F652" s="26" t="n"/>
      <c r="G652" s="26" t="n"/>
      <c r="H652" s="26" t="n"/>
    </row>
    <row r="653" ht="15" customHeight="1">
      <c r="A653" s="26" t="n"/>
      <c r="B653" s="26" t="n"/>
      <c r="C653" s="26" t="n"/>
      <c r="D653" s="26" t="n"/>
      <c r="E653" s="26" t="n"/>
      <c r="F653" s="26" t="n"/>
      <c r="G653" s="26" t="n"/>
      <c r="H653" s="26" t="n"/>
    </row>
    <row r="654" ht="15" customHeight="1">
      <c r="A654" s="26" t="n"/>
      <c r="B654" s="26" t="n"/>
      <c r="C654" s="26" t="n"/>
      <c r="D654" s="26" t="n"/>
      <c r="E654" s="26" t="n"/>
      <c r="F654" s="26" t="n"/>
      <c r="G654" s="26" t="n"/>
      <c r="H654" s="26" t="n"/>
    </row>
    <row r="655" ht="15" customHeight="1">
      <c r="A655" s="26" t="n"/>
      <c r="B655" s="26" t="n"/>
      <c r="C655" s="26" t="n"/>
      <c r="D655" s="26" t="n"/>
      <c r="E655" s="26" t="n"/>
      <c r="F655" s="26" t="n"/>
      <c r="G655" s="26" t="n"/>
      <c r="H655" s="26" t="n"/>
    </row>
    <row r="656" ht="15" customHeight="1">
      <c r="A656" s="26" t="n"/>
      <c r="B656" s="26" t="n"/>
      <c r="C656" s="26" t="n"/>
      <c r="D656" s="26" t="n"/>
      <c r="E656" s="26" t="n"/>
      <c r="F656" s="26" t="n"/>
      <c r="G656" s="26" t="n"/>
      <c r="H656" s="26" t="n"/>
    </row>
    <row r="657" ht="15" customHeight="1">
      <c r="A657" s="26" t="n"/>
      <c r="B657" s="26" t="n"/>
      <c r="C657" s="26" t="n"/>
      <c r="D657" s="26" t="n"/>
      <c r="E657" s="26" t="n"/>
      <c r="F657" s="26" t="n"/>
      <c r="G657" s="26" t="n"/>
      <c r="H657" s="26" t="n"/>
    </row>
    <row r="658" ht="15" customHeight="1">
      <c r="A658" s="26" t="n"/>
      <c r="B658" s="26" t="n"/>
      <c r="C658" s="26" t="n"/>
      <c r="D658" s="26" t="n"/>
      <c r="E658" s="26" t="n"/>
      <c r="F658" s="26" t="n"/>
      <c r="G658" s="26" t="n"/>
      <c r="H658" s="26" t="n"/>
    </row>
    <row r="659" ht="15" customHeight="1">
      <c r="A659" s="26" t="n"/>
      <c r="B659" s="26" t="n"/>
      <c r="C659" s="26" t="n"/>
      <c r="D659" s="26" t="n"/>
      <c r="E659" s="26" t="n"/>
      <c r="F659" s="26" t="n"/>
      <c r="G659" s="26" t="n"/>
      <c r="H659" s="26" t="n"/>
    </row>
    <row r="660" ht="15" customHeight="1">
      <c r="A660" s="26" t="n"/>
      <c r="B660" s="26" t="n"/>
      <c r="C660" s="26" t="n"/>
      <c r="D660" s="26" t="n"/>
      <c r="E660" s="26" t="n"/>
      <c r="F660" s="26" t="n"/>
      <c r="G660" s="26" t="n"/>
      <c r="H660" s="26" t="n"/>
    </row>
    <row r="661" ht="15" customHeight="1">
      <c r="A661" s="26" t="n"/>
      <c r="B661" s="26" t="n"/>
      <c r="C661" s="26" t="n"/>
      <c r="D661" s="26" t="n"/>
      <c r="E661" s="26" t="n"/>
      <c r="F661" s="26" t="n"/>
      <c r="G661" s="26" t="n"/>
      <c r="H661" s="26" t="n"/>
    </row>
    <row r="662" ht="15" customHeight="1">
      <c r="A662" s="26" t="n"/>
      <c r="B662" s="26" t="n"/>
      <c r="C662" s="26" t="n"/>
      <c r="D662" s="26" t="n"/>
      <c r="E662" s="26" t="n"/>
      <c r="F662" s="26" t="n"/>
      <c r="G662" s="26" t="n"/>
      <c r="H662" s="26" t="n"/>
    </row>
    <row r="663" ht="15" customHeight="1">
      <c r="A663" s="26" t="n"/>
      <c r="B663" s="26" t="n"/>
      <c r="C663" s="26" t="n"/>
      <c r="D663" s="26" t="n"/>
      <c r="E663" s="26" t="n"/>
      <c r="F663" s="26" t="n"/>
      <c r="G663" s="26" t="n"/>
      <c r="H663" s="26" t="n"/>
    </row>
    <row r="664" ht="15" customHeight="1">
      <c r="A664" s="26" t="n"/>
      <c r="B664" s="26" t="n"/>
      <c r="C664" s="26" t="n"/>
      <c r="D664" s="26" t="n"/>
      <c r="E664" s="26" t="n"/>
      <c r="F664" s="26" t="n"/>
      <c r="G664" s="26" t="n"/>
      <c r="H664" s="26" t="n"/>
    </row>
    <row r="665" ht="15" customHeight="1">
      <c r="A665" s="26" t="n"/>
      <c r="B665" s="26" t="n"/>
      <c r="C665" s="26" t="n"/>
      <c r="D665" s="26" t="n"/>
      <c r="E665" s="26" t="n"/>
      <c r="F665" s="26" t="n"/>
      <c r="G665" s="26" t="n"/>
      <c r="H665" s="26" t="n"/>
    </row>
    <row r="666" ht="15" customHeight="1">
      <c r="A666" s="26" t="n"/>
      <c r="B666" s="26" t="n"/>
      <c r="C666" s="26" t="n"/>
      <c r="D666" s="26" t="n"/>
      <c r="E666" s="26" t="n"/>
      <c r="F666" s="26" t="n"/>
      <c r="G666" s="26" t="n"/>
      <c r="H666" s="26" t="n"/>
    </row>
    <row r="667" ht="15" customHeight="1">
      <c r="A667" s="26" t="n"/>
      <c r="B667" s="26" t="n"/>
      <c r="C667" s="26" t="n"/>
      <c r="D667" s="26" t="n"/>
      <c r="E667" s="26" t="n"/>
      <c r="F667" s="26" t="n"/>
      <c r="G667" s="26" t="n"/>
      <c r="H667" s="26" t="n"/>
    </row>
    <row r="668" ht="15" customHeight="1">
      <c r="A668" s="26" t="n"/>
      <c r="B668" s="26" t="n"/>
      <c r="C668" s="26" t="n"/>
      <c r="D668" s="26" t="n"/>
      <c r="E668" s="26" t="n"/>
      <c r="F668" s="26" t="n"/>
      <c r="G668" s="26" t="n"/>
      <c r="H668" s="26" t="n"/>
    </row>
    <row r="669" ht="15" customHeight="1">
      <c r="A669" s="26" t="n"/>
      <c r="B669" s="26" t="n"/>
      <c r="C669" s="26" t="n"/>
      <c r="D669" s="26" t="n"/>
      <c r="E669" s="26" t="n"/>
      <c r="F669" s="26" t="n"/>
      <c r="G669" s="26" t="n"/>
      <c r="H669" s="26" t="n"/>
    </row>
    <row r="670" ht="15" customHeight="1">
      <c r="A670" s="26" t="n"/>
      <c r="B670" s="26" t="n"/>
      <c r="C670" s="26" t="n"/>
      <c r="D670" s="26" t="n"/>
      <c r="E670" s="26" t="n"/>
      <c r="F670" s="26" t="n"/>
      <c r="G670" s="26" t="n"/>
      <c r="H670" s="26" t="n"/>
    </row>
    <row r="671" ht="15" customHeight="1">
      <c r="A671" s="26" t="n"/>
      <c r="B671" s="26" t="n"/>
      <c r="C671" s="26" t="n"/>
      <c r="D671" s="26" t="n"/>
      <c r="E671" s="26" t="n"/>
      <c r="F671" s="26" t="n"/>
      <c r="G671" s="26" t="n"/>
      <c r="H671" s="26" t="n"/>
    </row>
    <row r="672" ht="15" customHeight="1">
      <c r="A672" s="26" t="n"/>
      <c r="B672" s="26" t="n"/>
      <c r="C672" s="26" t="n"/>
      <c r="D672" s="26" t="n"/>
      <c r="E672" s="26" t="n"/>
      <c r="F672" s="26" t="n"/>
      <c r="G672" s="26" t="n"/>
      <c r="H672" s="26" t="n"/>
    </row>
    <row r="673" ht="15" customHeight="1">
      <c r="A673" s="26" t="n"/>
      <c r="B673" s="26" t="n"/>
      <c r="C673" s="26" t="n"/>
      <c r="D673" s="26" t="n"/>
      <c r="E673" s="26" t="n"/>
      <c r="F673" s="26" t="n"/>
      <c r="G673" s="26" t="n"/>
      <c r="H673" s="26" t="n"/>
    </row>
    <row r="674" ht="15" customHeight="1">
      <c r="A674" s="26" t="n"/>
      <c r="B674" s="26" t="n"/>
      <c r="C674" s="26" t="n"/>
      <c r="D674" s="26" t="n"/>
      <c r="E674" s="26" t="n"/>
      <c r="F674" s="26" t="n"/>
      <c r="G674" s="26" t="n"/>
      <c r="H674" s="26" t="n"/>
    </row>
    <row r="675" ht="15" customHeight="1">
      <c r="A675" s="26" t="n"/>
      <c r="B675" s="26" t="n"/>
      <c r="C675" s="26" t="n"/>
      <c r="D675" s="26" t="n"/>
      <c r="E675" s="26" t="n"/>
      <c r="F675" s="26" t="n"/>
      <c r="G675" s="26" t="n"/>
      <c r="H675" s="26" t="n"/>
    </row>
    <row r="676" ht="15" customHeight="1">
      <c r="A676" s="26" t="n"/>
      <c r="B676" s="26" t="n"/>
      <c r="C676" s="26" t="n"/>
      <c r="D676" s="26" t="n"/>
      <c r="E676" s="26" t="n"/>
      <c r="F676" s="26" t="n"/>
      <c r="G676" s="26" t="n"/>
      <c r="H676" s="26" t="n"/>
    </row>
    <row r="677" ht="15" customHeight="1">
      <c r="A677" s="26" t="n"/>
      <c r="B677" s="26" t="n"/>
      <c r="C677" s="26" t="n"/>
      <c r="D677" s="26" t="n"/>
      <c r="E677" s="26" t="n"/>
      <c r="F677" s="26" t="n"/>
      <c r="G677" s="26" t="n"/>
      <c r="H677" s="26" t="n"/>
    </row>
    <row r="678" ht="15" customHeight="1">
      <c r="A678" s="26" t="n"/>
      <c r="B678" s="26" t="n"/>
      <c r="C678" s="26" t="n"/>
      <c r="D678" s="26" t="n"/>
      <c r="E678" s="26" t="n"/>
      <c r="F678" s="26" t="n"/>
      <c r="G678" s="26" t="n"/>
      <c r="H678" s="26" t="n"/>
    </row>
    <row r="679" ht="15" customHeight="1">
      <c r="A679" s="26" t="n"/>
      <c r="B679" s="26" t="n"/>
      <c r="C679" s="26" t="n"/>
      <c r="D679" s="26" t="n"/>
      <c r="E679" s="26" t="n"/>
      <c r="F679" s="26" t="n"/>
      <c r="G679" s="26" t="n"/>
      <c r="H679" s="26" t="n"/>
    </row>
    <row r="680" ht="15" customHeight="1">
      <c r="A680" s="26" t="n"/>
      <c r="B680" s="26" t="n"/>
      <c r="C680" s="26" t="n"/>
      <c r="D680" s="26" t="n"/>
      <c r="E680" s="26" t="n"/>
      <c r="F680" s="26" t="n"/>
      <c r="G680" s="26" t="n"/>
      <c r="H680" s="26" t="n"/>
    </row>
    <row r="681" ht="15" customHeight="1">
      <c r="A681" s="26" t="n"/>
      <c r="B681" s="26" t="n"/>
      <c r="C681" s="26" t="n"/>
      <c r="D681" s="26" t="n"/>
      <c r="E681" s="26" t="n"/>
      <c r="F681" s="26" t="n"/>
      <c r="G681" s="26" t="n"/>
      <c r="H681" s="26" t="n"/>
    </row>
    <row r="682" ht="15" customHeight="1">
      <c r="A682" s="26" t="n"/>
      <c r="B682" s="26" t="n"/>
      <c r="C682" s="26" t="n"/>
      <c r="D682" s="26" t="n"/>
      <c r="E682" s="26" t="n"/>
      <c r="F682" s="26" t="n"/>
      <c r="G682" s="26" t="n"/>
      <c r="H682" s="26" t="n"/>
    </row>
    <row r="683" ht="15" customHeight="1">
      <c r="A683" s="26" t="n"/>
      <c r="B683" s="26" t="n"/>
      <c r="C683" s="26" t="n"/>
      <c r="D683" s="26" t="n"/>
      <c r="E683" s="26" t="n"/>
      <c r="F683" s="26" t="n"/>
      <c r="G683" s="26" t="n"/>
      <c r="H683" s="26" t="n"/>
    </row>
    <row r="684" ht="15" customHeight="1">
      <c r="A684" s="26" t="n"/>
      <c r="B684" s="26" t="n"/>
      <c r="C684" s="26" t="n"/>
      <c r="D684" s="26" t="n"/>
      <c r="E684" s="26" t="n"/>
      <c r="F684" s="26" t="n"/>
      <c r="G684" s="26" t="n"/>
      <c r="H684" s="26" t="n"/>
    </row>
    <row r="685" ht="15" customHeight="1">
      <c r="A685" s="26" t="n"/>
      <c r="B685" s="26" t="n"/>
      <c r="C685" s="26" t="n"/>
      <c r="D685" s="26" t="n"/>
      <c r="E685" s="26" t="n"/>
      <c r="F685" s="26" t="n"/>
      <c r="G685" s="26" t="n"/>
      <c r="H685" s="26" t="n"/>
    </row>
    <row r="686" ht="15" customHeight="1">
      <c r="A686" s="26" t="n"/>
      <c r="B686" s="26" t="n"/>
      <c r="C686" s="26" t="n"/>
      <c r="D686" s="26" t="n"/>
      <c r="E686" s="26" t="n"/>
      <c r="F686" s="26" t="n"/>
      <c r="G686" s="26" t="n"/>
      <c r="H686" s="26" t="n"/>
    </row>
    <row r="687" ht="15" customHeight="1">
      <c r="A687" s="26" t="n"/>
      <c r="B687" s="26" t="n"/>
      <c r="C687" s="26" t="n"/>
      <c r="D687" s="26" t="n"/>
      <c r="E687" s="26" t="n"/>
      <c r="F687" s="26" t="n"/>
      <c r="G687" s="26" t="n"/>
      <c r="H687" s="26" t="n"/>
    </row>
    <row r="688" ht="15" customHeight="1">
      <c r="A688" s="26" t="n"/>
      <c r="B688" s="26" t="n"/>
      <c r="C688" s="26" t="n"/>
      <c r="D688" s="26" t="n"/>
      <c r="E688" s="26" t="n"/>
      <c r="F688" s="26" t="n"/>
      <c r="G688" s="26" t="n"/>
      <c r="H688" s="26" t="n"/>
    </row>
    <row r="689" ht="15" customHeight="1">
      <c r="A689" s="26" t="n"/>
      <c r="B689" s="26" t="n"/>
      <c r="C689" s="26" t="n"/>
      <c r="D689" s="26" t="n"/>
      <c r="E689" s="26" t="n"/>
      <c r="F689" s="26" t="n"/>
      <c r="G689" s="26" t="n"/>
      <c r="H689" s="26" t="n"/>
    </row>
    <row r="690" ht="15" customHeight="1">
      <c r="A690" s="26" t="n"/>
      <c r="B690" s="26" t="n"/>
      <c r="C690" s="26" t="n"/>
      <c r="D690" s="26" t="n"/>
      <c r="E690" s="26" t="n"/>
      <c r="F690" s="26" t="n"/>
      <c r="G690" s="26" t="n"/>
      <c r="H690" s="26" t="n"/>
    </row>
    <row r="691" ht="15" customHeight="1">
      <c r="A691" s="26" t="n"/>
      <c r="B691" s="26" t="n"/>
      <c r="C691" s="26" t="n"/>
      <c r="D691" s="26" t="n"/>
      <c r="E691" s="26" t="n"/>
      <c r="F691" s="26" t="n"/>
      <c r="G691" s="26" t="n"/>
      <c r="H691" s="26" t="n"/>
    </row>
    <row r="692" ht="15" customHeight="1">
      <c r="A692" s="26" t="n"/>
      <c r="B692" s="26" t="n"/>
      <c r="C692" s="26" t="n"/>
      <c r="D692" s="26" t="n"/>
      <c r="E692" s="26" t="n"/>
      <c r="F692" s="26" t="n"/>
      <c r="G692" s="26" t="n"/>
      <c r="H692" s="26" t="n"/>
    </row>
    <row r="693" ht="15" customHeight="1">
      <c r="A693" s="26" t="n"/>
      <c r="B693" s="26" t="n"/>
      <c r="C693" s="26" t="n"/>
      <c r="D693" s="26" t="n"/>
      <c r="E693" s="26" t="n"/>
      <c r="F693" s="26" t="n"/>
      <c r="G693" s="26" t="n"/>
      <c r="H693" s="26" t="n"/>
    </row>
    <row r="694" ht="15" customHeight="1">
      <c r="A694" s="26" t="n"/>
      <c r="B694" s="26" t="n"/>
      <c r="C694" s="26" t="n"/>
      <c r="D694" s="26" t="n"/>
      <c r="E694" s="26" t="n"/>
      <c r="F694" s="26" t="n"/>
      <c r="G694" s="26" t="n"/>
      <c r="H694" s="26" t="n"/>
    </row>
    <row r="695" ht="15" customHeight="1">
      <c r="A695" s="26" t="n"/>
      <c r="B695" s="26" t="n"/>
      <c r="C695" s="26" t="n"/>
      <c r="D695" s="26" t="n"/>
      <c r="E695" s="26" t="n"/>
      <c r="F695" s="26" t="n"/>
      <c r="G695" s="26" t="n"/>
      <c r="H695" s="26" t="n"/>
    </row>
    <row r="696" ht="15" customHeight="1">
      <c r="A696" s="26" t="n"/>
      <c r="B696" s="26" t="n"/>
      <c r="C696" s="26" t="n"/>
      <c r="D696" s="26" t="n"/>
      <c r="E696" s="26" t="n"/>
      <c r="F696" s="26" t="n"/>
      <c r="G696" s="26" t="n"/>
      <c r="H696" s="26" t="n"/>
    </row>
    <row r="697" ht="15" customHeight="1">
      <c r="A697" s="26" t="n"/>
      <c r="B697" s="26" t="n"/>
      <c r="C697" s="26" t="n"/>
      <c r="D697" s="26" t="n"/>
      <c r="E697" s="26" t="n"/>
      <c r="F697" s="26" t="n"/>
      <c r="G697" s="26" t="n"/>
      <c r="H697" s="26" t="n"/>
    </row>
    <row r="698" ht="15" customHeight="1">
      <c r="A698" s="26" t="n"/>
      <c r="B698" s="26" t="n"/>
      <c r="C698" s="26" t="n"/>
      <c r="D698" s="26" t="n"/>
      <c r="E698" s="26" t="n"/>
      <c r="F698" s="26" t="n"/>
      <c r="G698" s="26" t="n"/>
      <c r="H698" s="26" t="n"/>
    </row>
    <row r="699" ht="15" customHeight="1">
      <c r="A699" s="26" t="n"/>
      <c r="B699" s="26" t="n"/>
      <c r="C699" s="26" t="n"/>
      <c r="D699" s="26" t="n"/>
      <c r="E699" s="26" t="n"/>
      <c r="F699" s="26" t="n"/>
      <c r="G699" s="26" t="n"/>
      <c r="H699" s="26" t="n"/>
    </row>
    <row r="700" ht="15" customHeight="1">
      <c r="A700" s="26" t="n"/>
      <c r="B700" s="26" t="n"/>
      <c r="C700" s="26" t="n"/>
      <c r="D700" s="26" t="n"/>
      <c r="E700" s="26" t="n"/>
      <c r="F700" s="26" t="n"/>
      <c r="G700" s="26" t="n"/>
      <c r="H700" s="26" t="n"/>
    </row>
    <row r="701" ht="15" customHeight="1">
      <c r="A701" s="26" t="n"/>
      <c r="B701" s="26" t="n"/>
      <c r="C701" s="26" t="n"/>
      <c r="D701" s="26" t="n"/>
      <c r="E701" s="26" t="n"/>
      <c r="F701" s="26" t="n"/>
      <c r="G701" s="26" t="n"/>
      <c r="H701" s="26" t="n"/>
    </row>
    <row r="702" ht="15" customHeight="1">
      <c r="A702" s="26" t="n"/>
      <c r="B702" s="26" t="n"/>
      <c r="C702" s="26" t="n"/>
      <c r="D702" s="26" t="n"/>
      <c r="E702" s="26" t="n"/>
      <c r="F702" s="26" t="n"/>
      <c r="G702" s="26" t="n"/>
      <c r="H702" s="26" t="n"/>
    </row>
    <row r="703" ht="15" customHeight="1">
      <c r="A703" s="26" t="n"/>
      <c r="B703" s="26" t="n"/>
      <c r="C703" s="26" t="n"/>
      <c r="D703" s="26" t="n"/>
      <c r="E703" s="26" t="n"/>
      <c r="F703" s="26" t="n"/>
      <c r="G703" s="26" t="n"/>
      <c r="H703" s="26" t="n"/>
    </row>
    <row r="704" ht="15" customHeight="1">
      <c r="A704" s="26" t="n"/>
      <c r="B704" s="26" t="n"/>
      <c r="C704" s="26" t="n"/>
      <c r="D704" s="26" t="n"/>
      <c r="E704" s="26" t="n"/>
      <c r="F704" s="26" t="n"/>
      <c r="G704" s="26" t="n"/>
      <c r="H704" s="26" t="n"/>
    </row>
    <row r="705" ht="15" customHeight="1">
      <c r="A705" s="26" t="n"/>
      <c r="B705" s="26" t="n"/>
      <c r="C705" s="26" t="n"/>
      <c r="D705" s="26" t="n"/>
      <c r="E705" s="26" t="n"/>
      <c r="F705" s="26" t="n"/>
      <c r="G705" s="26" t="n"/>
      <c r="H705" s="26" t="n"/>
    </row>
    <row r="706" ht="15" customHeight="1">
      <c r="A706" s="26" t="n"/>
      <c r="B706" s="26" t="n"/>
      <c r="C706" s="26" t="n"/>
      <c r="D706" s="26" t="n"/>
      <c r="E706" s="26" t="n"/>
      <c r="F706" s="26" t="n"/>
      <c r="G706" s="26" t="n"/>
      <c r="H706" s="26" t="n"/>
    </row>
    <row r="707" ht="15" customHeight="1">
      <c r="A707" s="26" t="n"/>
      <c r="B707" s="26" t="n"/>
      <c r="C707" s="26" t="n"/>
      <c r="D707" s="26" t="n"/>
      <c r="E707" s="26" t="n"/>
      <c r="F707" s="26" t="n"/>
      <c r="G707" s="26" t="n"/>
      <c r="H707" s="26" t="n"/>
    </row>
    <row r="708" ht="15" customHeight="1">
      <c r="A708" s="26" t="n"/>
      <c r="B708" s="26" t="n"/>
      <c r="C708" s="26" t="n"/>
      <c r="D708" s="26" t="n"/>
      <c r="E708" s="26" t="n"/>
      <c r="F708" s="26" t="n"/>
      <c r="G708" s="26" t="n"/>
      <c r="H708" s="26" t="n"/>
    </row>
    <row r="709" ht="15" customHeight="1">
      <c r="A709" s="26" t="n"/>
      <c r="B709" s="26" t="n"/>
      <c r="C709" s="26" t="n"/>
      <c r="D709" s="26" t="n"/>
      <c r="E709" s="26" t="n"/>
      <c r="F709" s="26" t="n"/>
      <c r="G709" s="26" t="n"/>
      <c r="H709" s="26" t="n"/>
    </row>
    <row r="710" ht="15" customHeight="1">
      <c r="A710" s="26" t="n"/>
      <c r="B710" s="26" t="n"/>
      <c r="C710" s="26" t="n"/>
      <c r="D710" s="26" t="n"/>
      <c r="E710" s="26" t="n"/>
      <c r="F710" s="26" t="n"/>
      <c r="G710" s="26" t="n"/>
      <c r="H710" s="26" t="n"/>
    </row>
    <row r="711" ht="15" customHeight="1">
      <c r="A711" s="26" t="n"/>
      <c r="B711" s="26" t="n"/>
      <c r="C711" s="26" t="n"/>
      <c r="D711" s="26" t="n"/>
      <c r="E711" s="26" t="n"/>
      <c r="F711" s="26" t="n"/>
      <c r="G711" s="26" t="n"/>
      <c r="H711" s="26" t="n"/>
    </row>
    <row r="712" ht="15" customHeight="1">
      <c r="A712" s="26" t="n"/>
      <c r="B712" s="26" t="n"/>
      <c r="C712" s="26" t="n"/>
      <c r="D712" s="26" t="n"/>
      <c r="E712" s="26" t="n"/>
      <c r="F712" s="26" t="n"/>
      <c r="G712" s="26" t="n"/>
      <c r="H712" s="26" t="n"/>
    </row>
    <row r="713" ht="15" customHeight="1">
      <c r="A713" s="26" t="n"/>
      <c r="B713" s="26" t="n"/>
      <c r="C713" s="26" t="n"/>
      <c r="D713" s="26" t="n"/>
      <c r="E713" s="26" t="n"/>
      <c r="F713" s="26" t="n"/>
      <c r="G713" s="26" t="n"/>
      <c r="H713" s="26" t="n"/>
    </row>
    <row r="714" ht="15" customHeight="1">
      <c r="A714" s="26" t="n"/>
      <c r="B714" s="26" t="n"/>
      <c r="C714" s="26" t="n"/>
      <c r="D714" s="26" t="n"/>
      <c r="E714" s="26" t="n"/>
      <c r="F714" s="26" t="n"/>
      <c r="G714" s="26" t="n"/>
      <c r="H714" s="26" t="n"/>
    </row>
    <row r="715" ht="15" customHeight="1">
      <c r="A715" s="26" t="n"/>
      <c r="B715" s="26" t="n"/>
      <c r="C715" s="26" t="n"/>
      <c r="D715" s="26" t="n"/>
      <c r="E715" s="26" t="n"/>
      <c r="F715" s="26" t="n"/>
      <c r="G715" s="26" t="n"/>
      <c r="H715" s="26" t="n"/>
    </row>
    <row r="716" ht="15" customHeight="1">
      <c r="A716" s="26" t="n"/>
      <c r="B716" s="26" t="n"/>
      <c r="C716" s="26" t="n"/>
      <c r="D716" s="26" t="n"/>
      <c r="E716" s="26" t="n"/>
      <c r="F716" s="26" t="n"/>
      <c r="G716" s="26" t="n"/>
      <c r="H716" s="26" t="n"/>
    </row>
    <row r="717" ht="15" customHeight="1">
      <c r="A717" s="26" t="n"/>
      <c r="B717" s="26" t="n"/>
      <c r="C717" s="26" t="n"/>
      <c r="D717" s="26" t="n"/>
      <c r="E717" s="26" t="n"/>
      <c r="F717" s="26" t="n"/>
      <c r="G717" s="26" t="n"/>
      <c r="H717" s="26" t="n"/>
    </row>
    <row r="718" ht="15" customHeight="1">
      <c r="A718" s="26" t="n"/>
      <c r="B718" s="26" t="n"/>
      <c r="C718" s="26" t="n"/>
      <c r="D718" s="26" t="n"/>
      <c r="E718" s="26" t="n"/>
      <c r="F718" s="26" t="n"/>
      <c r="G718" s="26" t="n"/>
      <c r="H718" s="26" t="n"/>
    </row>
    <row r="719" ht="15" customHeight="1">
      <c r="A719" s="26" t="n"/>
      <c r="B719" s="26" t="n"/>
      <c r="C719" s="26" t="n"/>
      <c r="D719" s="26" t="n"/>
      <c r="E719" s="26" t="n"/>
      <c r="F719" s="26" t="n"/>
      <c r="G719" s="26" t="n"/>
      <c r="H719" s="26" t="n"/>
    </row>
    <row r="720" ht="15" customHeight="1">
      <c r="A720" s="26" t="n"/>
      <c r="B720" s="26" t="n"/>
      <c r="C720" s="26" t="n"/>
      <c r="D720" s="26" t="n"/>
      <c r="E720" s="26" t="n"/>
      <c r="F720" s="26" t="n"/>
      <c r="G720" s="26" t="n"/>
      <c r="H720" s="26" t="n"/>
    </row>
    <row r="721" ht="15" customHeight="1">
      <c r="A721" s="26" t="n"/>
      <c r="B721" s="26" t="n"/>
      <c r="C721" s="26" t="n"/>
      <c r="D721" s="26" t="n"/>
      <c r="E721" s="26" t="n"/>
      <c r="F721" s="26" t="n"/>
      <c r="G721" s="26" t="n"/>
      <c r="H721" s="26" t="n"/>
    </row>
    <row r="722" ht="15" customHeight="1">
      <c r="A722" s="26" t="n"/>
      <c r="B722" s="26" t="n"/>
      <c r="C722" s="26" t="n"/>
      <c r="D722" s="26" t="n"/>
      <c r="E722" s="26" t="n"/>
      <c r="F722" s="26" t="n"/>
      <c r="G722" s="26" t="n"/>
      <c r="H722" s="26" t="n"/>
    </row>
    <row r="723" ht="15" customHeight="1">
      <c r="A723" s="26" t="n"/>
      <c r="B723" s="26" t="n"/>
      <c r="C723" s="26" t="n"/>
      <c r="D723" s="26" t="n"/>
      <c r="E723" s="26" t="n"/>
      <c r="F723" s="26" t="n"/>
      <c r="G723" s="26" t="n"/>
      <c r="H723" s="26" t="n"/>
    </row>
    <row r="724" ht="15" customHeight="1">
      <c r="A724" s="26" t="n"/>
      <c r="B724" s="26" t="n"/>
      <c r="C724" s="26" t="n"/>
      <c r="D724" s="26" t="n"/>
      <c r="E724" s="26" t="n"/>
      <c r="F724" s="26" t="n"/>
      <c r="G724" s="26" t="n"/>
      <c r="H724" s="26" t="n"/>
    </row>
    <row r="725" ht="15" customHeight="1">
      <c r="A725" s="26" t="n"/>
      <c r="B725" s="26" t="n"/>
      <c r="C725" s="26" t="n"/>
      <c r="D725" s="26" t="n"/>
      <c r="E725" s="26" t="n"/>
      <c r="F725" s="26" t="n"/>
      <c r="G725" s="26" t="n"/>
      <c r="H725" s="26" t="n"/>
    </row>
    <row r="726" ht="15" customHeight="1">
      <c r="A726" s="26" t="n"/>
      <c r="B726" s="26" t="n"/>
      <c r="C726" s="26" t="n"/>
      <c r="D726" s="26" t="n"/>
      <c r="E726" s="26" t="n"/>
      <c r="F726" s="26" t="n"/>
      <c r="G726" s="26" t="n"/>
      <c r="H726" s="26" t="n"/>
    </row>
    <row r="727" ht="15" customHeight="1">
      <c r="A727" s="26" t="n"/>
      <c r="B727" s="26" t="n"/>
      <c r="C727" s="26" t="n"/>
      <c r="D727" s="26" t="n"/>
      <c r="E727" s="26" t="n"/>
      <c r="F727" s="26" t="n"/>
      <c r="G727" s="26" t="n"/>
      <c r="H727" s="26" t="n"/>
    </row>
    <row r="728" ht="15" customHeight="1">
      <c r="A728" s="26" t="n"/>
      <c r="B728" s="26" t="n"/>
      <c r="C728" s="26" t="n"/>
      <c r="D728" s="26" t="n"/>
      <c r="E728" s="26" t="n"/>
      <c r="F728" s="26" t="n"/>
      <c r="G728" s="26" t="n"/>
      <c r="H728" s="26" t="n"/>
    </row>
    <row r="729" ht="15" customHeight="1">
      <c r="A729" s="26" t="n"/>
      <c r="B729" s="26" t="n"/>
      <c r="C729" s="26" t="n"/>
      <c r="D729" s="26" t="n"/>
      <c r="E729" s="26" t="n"/>
      <c r="F729" s="26" t="n"/>
      <c r="G729" s="26" t="n"/>
      <c r="H729" s="26" t="n"/>
    </row>
    <row r="730" ht="15" customHeight="1">
      <c r="A730" s="26" t="n"/>
      <c r="B730" s="26" t="n"/>
      <c r="C730" s="26" t="n"/>
      <c r="D730" s="26" t="n"/>
      <c r="E730" s="26" t="n"/>
      <c r="F730" s="26" t="n"/>
      <c r="G730" s="26" t="n"/>
      <c r="H730" s="26" t="n"/>
    </row>
    <row r="731" ht="15" customHeight="1">
      <c r="A731" s="26" t="n"/>
      <c r="B731" s="26" t="n"/>
      <c r="C731" s="26" t="n"/>
      <c r="D731" s="26" t="n"/>
      <c r="E731" s="26" t="n"/>
      <c r="F731" s="26" t="n"/>
      <c r="G731" s="26" t="n"/>
      <c r="H731" s="26" t="n"/>
    </row>
    <row r="732" ht="15" customHeight="1">
      <c r="A732" s="26" t="n"/>
      <c r="B732" s="26" t="n"/>
      <c r="C732" s="26" t="n"/>
      <c r="D732" s="26" t="n"/>
      <c r="E732" s="26" t="n"/>
      <c r="F732" s="26" t="n"/>
      <c r="G732" s="26" t="n"/>
      <c r="H732" s="26" t="n"/>
    </row>
    <row r="733" ht="15" customHeight="1">
      <c r="A733" s="26" t="n"/>
      <c r="B733" s="26" t="n"/>
      <c r="C733" s="26" t="n"/>
      <c r="D733" s="26" t="n"/>
      <c r="E733" s="26" t="n"/>
      <c r="F733" s="26" t="n"/>
      <c r="G733" s="26" t="n"/>
      <c r="H733" s="26" t="n"/>
    </row>
    <row r="734" ht="15" customHeight="1">
      <c r="A734" s="26" t="n"/>
      <c r="B734" s="26" t="n"/>
      <c r="C734" s="26" t="n"/>
      <c r="D734" s="26" t="n"/>
      <c r="E734" s="26" t="n"/>
      <c r="F734" s="26" t="n"/>
      <c r="G734" s="26" t="n"/>
      <c r="H734" s="26" t="n"/>
    </row>
    <row r="735" ht="15" customHeight="1">
      <c r="A735" s="26" t="n"/>
      <c r="B735" s="26" t="n"/>
      <c r="C735" s="26" t="n"/>
      <c r="D735" s="26" t="n"/>
      <c r="E735" s="26" t="n"/>
      <c r="F735" s="26" t="n"/>
      <c r="G735" s="26" t="n"/>
      <c r="H735" s="26" t="n"/>
    </row>
    <row r="736" ht="15" customHeight="1">
      <c r="A736" s="26" t="n"/>
      <c r="B736" s="26" t="n"/>
      <c r="C736" s="26" t="n"/>
      <c r="D736" s="26" t="n"/>
      <c r="E736" s="26" t="n"/>
      <c r="F736" s="26" t="n"/>
      <c r="G736" s="26" t="n"/>
      <c r="H736" s="26" t="n"/>
    </row>
    <row r="737" ht="15" customHeight="1">
      <c r="A737" s="26" t="n"/>
      <c r="B737" s="26" t="n"/>
      <c r="C737" s="26" t="n"/>
      <c r="D737" s="26" t="n"/>
      <c r="E737" s="26" t="n"/>
      <c r="F737" s="26" t="n"/>
      <c r="G737" s="26" t="n"/>
      <c r="H737" s="26" t="n"/>
    </row>
    <row r="738" ht="15" customHeight="1">
      <c r="A738" s="26" t="n"/>
      <c r="B738" s="26" t="n"/>
      <c r="C738" s="26" t="n"/>
      <c r="D738" s="26" t="n"/>
      <c r="E738" s="26" t="n"/>
      <c r="F738" s="26" t="n"/>
      <c r="G738" s="26" t="n"/>
      <c r="H738" s="26" t="n"/>
    </row>
    <row r="739" ht="15" customHeight="1">
      <c r="A739" s="26" t="n"/>
      <c r="B739" s="26" t="n"/>
      <c r="C739" s="26" t="n"/>
      <c r="D739" s="26" t="n"/>
      <c r="E739" s="26" t="n"/>
      <c r="F739" s="26" t="n"/>
      <c r="G739" s="26" t="n"/>
      <c r="H739" s="26" t="n"/>
    </row>
    <row r="740" ht="15" customHeight="1">
      <c r="A740" s="26" t="n"/>
      <c r="B740" s="26" t="n"/>
      <c r="C740" s="26" t="n"/>
      <c r="D740" s="26" t="n"/>
      <c r="E740" s="26" t="n"/>
      <c r="F740" s="26" t="n"/>
      <c r="G740" s="26" t="n"/>
      <c r="H740" s="26" t="n"/>
    </row>
    <row r="741" ht="15" customHeight="1">
      <c r="A741" s="26" t="n"/>
      <c r="B741" s="26" t="n"/>
      <c r="C741" s="26" t="n"/>
      <c r="D741" s="26" t="n"/>
      <c r="E741" s="26" t="n"/>
      <c r="F741" s="26" t="n"/>
      <c r="G741" s="26" t="n"/>
      <c r="H741" s="26" t="n"/>
    </row>
    <row r="742" ht="15" customHeight="1">
      <c r="A742" s="26" t="n"/>
      <c r="B742" s="26" t="n"/>
      <c r="C742" s="26" t="n"/>
      <c r="D742" s="26" t="n"/>
      <c r="E742" s="26" t="n"/>
      <c r="F742" s="26" t="n"/>
      <c r="G742" s="26" t="n"/>
      <c r="H742" s="26" t="n"/>
    </row>
    <row r="743" ht="15" customHeight="1">
      <c r="A743" s="26" t="n"/>
      <c r="B743" s="26" t="n"/>
      <c r="C743" s="26" t="n"/>
      <c r="D743" s="26" t="n"/>
      <c r="E743" s="26" t="n"/>
      <c r="F743" s="26" t="n"/>
      <c r="G743" s="26" t="n"/>
      <c r="H743" s="26" t="n"/>
    </row>
    <row r="744" ht="15" customHeight="1">
      <c r="A744" s="26" t="n"/>
      <c r="B744" s="26" t="n"/>
      <c r="C744" s="26" t="n"/>
      <c r="D744" s="26" t="n"/>
      <c r="E744" s="26" t="n"/>
      <c r="F744" s="26" t="n"/>
      <c r="G744" s="26" t="n"/>
      <c r="H744" s="26" t="n"/>
    </row>
    <row r="745" ht="15" customHeight="1">
      <c r="A745" s="26" t="n"/>
      <c r="B745" s="26" t="n"/>
      <c r="C745" s="26" t="n"/>
      <c r="D745" s="26" t="n"/>
      <c r="E745" s="26" t="n"/>
      <c r="F745" s="26" t="n"/>
      <c r="G745" s="26" t="n"/>
      <c r="H745" s="26" t="n"/>
    </row>
    <row r="746" ht="15" customHeight="1">
      <c r="A746" s="26" t="n"/>
      <c r="B746" s="26" t="n"/>
      <c r="C746" s="26" t="n"/>
      <c r="D746" s="26" t="n"/>
      <c r="E746" s="26" t="n"/>
      <c r="F746" s="26" t="n"/>
      <c r="G746" s="26" t="n"/>
      <c r="H746" s="26" t="n"/>
    </row>
    <row r="747" ht="15" customHeight="1">
      <c r="A747" s="26" t="n"/>
      <c r="B747" s="26" t="n"/>
      <c r="C747" s="26" t="n"/>
      <c r="D747" s="26" t="n"/>
      <c r="E747" s="26" t="n"/>
      <c r="F747" s="26" t="n"/>
      <c r="G747" s="26" t="n"/>
      <c r="H747" s="26" t="n"/>
    </row>
    <row r="748" ht="15" customHeight="1">
      <c r="A748" s="26" t="n"/>
      <c r="B748" s="26" t="n"/>
      <c r="C748" s="26" t="n"/>
      <c r="D748" s="26" t="n"/>
      <c r="E748" s="26" t="n"/>
      <c r="F748" s="26" t="n"/>
      <c r="G748" s="26" t="n"/>
      <c r="H748" s="26" t="n"/>
    </row>
    <row r="749" ht="15" customHeight="1">
      <c r="A749" s="26" t="n"/>
      <c r="B749" s="26" t="n"/>
      <c r="C749" s="26" t="n"/>
      <c r="D749" s="26" t="n"/>
      <c r="E749" s="26" t="n"/>
      <c r="F749" s="26" t="n"/>
      <c r="G749" s="26" t="n"/>
      <c r="H749" s="26" t="n"/>
    </row>
    <row r="750" ht="15" customHeight="1">
      <c r="A750" s="26" t="n"/>
      <c r="B750" s="26" t="n"/>
      <c r="C750" s="26" t="n"/>
      <c r="D750" s="26" t="n"/>
      <c r="E750" s="26" t="n"/>
      <c r="F750" s="26" t="n"/>
      <c r="G750" s="26" t="n"/>
      <c r="H750" s="26" t="n"/>
    </row>
    <row r="751" ht="15" customHeight="1">
      <c r="A751" s="26" t="n"/>
      <c r="B751" s="26" t="n"/>
      <c r="C751" s="26" t="n"/>
      <c r="D751" s="26" t="n"/>
      <c r="E751" s="26" t="n"/>
      <c r="F751" s="26" t="n"/>
      <c r="G751" s="26" t="n"/>
      <c r="H751" s="26" t="n"/>
    </row>
    <row r="752" ht="15" customHeight="1">
      <c r="A752" s="26" t="n"/>
      <c r="B752" s="26" t="n"/>
      <c r="C752" s="26" t="n"/>
      <c r="D752" s="26" t="n"/>
      <c r="E752" s="26" t="n"/>
      <c r="F752" s="26" t="n"/>
      <c r="G752" s="26" t="n"/>
      <c r="H752" s="26" t="n"/>
    </row>
    <row r="753" ht="15" customHeight="1">
      <c r="A753" s="26" t="n"/>
      <c r="B753" s="26" t="n"/>
      <c r="C753" s="26" t="n"/>
      <c r="D753" s="26" t="n"/>
      <c r="E753" s="26" t="n"/>
      <c r="F753" s="26" t="n"/>
      <c r="G753" s="26" t="n"/>
      <c r="H753" s="26" t="n"/>
    </row>
    <row r="754" ht="15" customHeight="1">
      <c r="A754" s="26" t="n"/>
      <c r="B754" s="26" t="n"/>
      <c r="C754" s="26" t="n"/>
      <c r="D754" s="26" t="n"/>
      <c r="E754" s="26" t="n"/>
      <c r="F754" s="26" t="n"/>
      <c r="G754" s="26" t="n"/>
      <c r="H754" s="26" t="n"/>
    </row>
    <row r="755" ht="15" customHeight="1">
      <c r="A755" s="26" t="n"/>
      <c r="B755" s="26" t="n"/>
      <c r="C755" s="26" t="n"/>
      <c r="D755" s="26" t="n"/>
      <c r="E755" s="26" t="n"/>
      <c r="F755" s="26" t="n"/>
      <c r="G755" s="26" t="n"/>
      <c r="H755" s="26" t="n"/>
    </row>
    <row r="756" ht="15" customHeight="1">
      <c r="A756" s="26" t="n"/>
      <c r="B756" s="26" t="n"/>
      <c r="C756" s="26" t="n"/>
      <c r="D756" s="26" t="n"/>
      <c r="E756" s="26" t="n"/>
      <c r="F756" s="26" t="n"/>
      <c r="G756" s="26" t="n"/>
      <c r="H756" s="26" t="n"/>
    </row>
    <row r="757" ht="15" customHeight="1">
      <c r="A757" s="26" t="n"/>
      <c r="B757" s="26" t="n"/>
      <c r="C757" s="26" t="n"/>
      <c r="D757" s="26" t="n"/>
      <c r="E757" s="26" t="n"/>
      <c r="F757" s="26" t="n"/>
      <c r="G757" s="26" t="n"/>
      <c r="H757" s="26" t="n"/>
    </row>
    <row r="758" ht="15" customHeight="1">
      <c r="A758" s="26" t="n"/>
      <c r="B758" s="26" t="n"/>
      <c r="C758" s="26" t="n"/>
      <c r="D758" s="26" t="n"/>
      <c r="E758" s="26" t="n"/>
      <c r="F758" s="26" t="n"/>
      <c r="G758" s="26" t="n"/>
      <c r="H758" s="26" t="n"/>
    </row>
    <row r="759" ht="15" customHeight="1">
      <c r="A759" s="26" t="n"/>
      <c r="B759" s="26" t="n"/>
      <c r="C759" s="26" t="n"/>
      <c r="D759" s="26" t="n"/>
      <c r="E759" s="26" t="n"/>
      <c r="F759" s="26" t="n"/>
      <c r="G759" s="26" t="n"/>
      <c r="H759" s="26" t="n"/>
    </row>
    <row r="760" ht="15" customHeight="1">
      <c r="A760" s="26" t="n"/>
      <c r="B760" s="26" t="n"/>
      <c r="C760" s="26" t="n"/>
      <c r="D760" s="26" t="n"/>
      <c r="E760" s="26" t="n"/>
      <c r="F760" s="26" t="n"/>
      <c r="G760" s="26" t="n"/>
      <c r="H760" s="26" t="n"/>
    </row>
    <row r="761" ht="15" customHeight="1">
      <c r="A761" s="26" t="n"/>
      <c r="B761" s="26" t="n"/>
      <c r="C761" s="26" t="n"/>
      <c r="D761" s="26" t="n"/>
      <c r="E761" s="26" t="n"/>
      <c r="F761" s="26" t="n"/>
      <c r="G761" s="26" t="n"/>
      <c r="H761" s="26" t="n"/>
    </row>
    <row r="762" ht="15" customHeight="1">
      <c r="A762" s="26" t="n"/>
      <c r="B762" s="26" t="n"/>
      <c r="C762" s="26" t="n"/>
      <c r="D762" s="26" t="n"/>
      <c r="E762" s="26" t="n"/>
      <c r="F762" s="26" t="n"/>
      <c r="G762" s="26" t="n"/>
      <c r="H762" s="26" t="n"/>
    </row>
    <row r="763" ht="15" customHeight="1">
      <c r="A763" s="26" t="n"/>
      <c r="B763" s="26" t="n"/>
      <c r="C763" s="26" t="n"/>
      <c r="D763" s="26" t="n"/>
      <c r="E763" s="26" t="n"/>
      <c r="F763" s="26" t="n"/>
      <c r="G763" s="26" t="n"/>
      <c r="H763" s="26" t="n"/>
    </row>
    <row r="764" ht="15" customHeight="1">
      <c r="A764" s="26" t="n"/>
      <c r="B764" s="26" t="n"/>
      <c r="C764" s="26" t="n"/>
      <c r="D764" s="26" t="n"/>
      <c r="E764" s="26" t="n"/>
      <c r="F764" s="26" t="n"/>
      <c r="G764" s="26" t="n"/>
      <c r="H764" s="26" t="n"/>
    </row>
    <row r="765" ht="15" customHeight="1">
      <c r="A765" s="26" t="n"/>
      <c r="B765" s="26" t="n"/>
      <c r="C765" s="26" t="n"/>
      <c r="D765" s="26" t="n"/>
      <c r="E765" s="26" t="n"/>
      <c r="F765" s="26" t="n"/>
      <c r="G765" s="26" t="n"/>
      <c r="H765" s="26" t="n"/>
    </row>
    <row r="766" ht="15" customHeight="1">
      <c r="A766" s="26" t="n"/>
      <c r="B766" s="26" t="n"/>
      <c r="C766" s="26" t="n"/>
      <c r="D766" s="26" t="n"/>
      <c r="E766" s="26" t="n"/>
      <c r="F766" s="26" t="n"/>
      <c r="G766" s="26" t="n"/>
      <c r="H766" s="26" t="n"/>
    </row>
    <row r="767" ht="15" customHeight="1">
      <c r="A767" s="26" t="n"/>
      <c r="B767" s="26" t="n"/>
      <c r="C767" s="26" t="n"/>
      <c r="D767" s="26" t="n"/>
      <c r="E767" s="26" t="n"/>
      <c r="F767" s="26" t="n"/>
      <c r="G767" s="26" t="n"/>
      <c r="H767" s="26" t="n"/>
    </row>
    <row r="768" ht="15" customHeight="1">
      <c r="A768" s="26" t="n"/>
      <c r="B768" s="26" t="n"/>
      <c r="C768" s="26" t="n"/>
      <c r="D768" s="26" t="n"/>
      <c r="E768" s="26" t="n"/>
      <c r="F768" s="26" t="n"/>
      <c r="G768" s="26" t="n"/>
      <c r="H768" s="26" t="n"/>
    </row>
    <row r="769" ht="15" customHeight="1">
      <c r="A769" s="26" t="n"/>
      <c r="B769" s="26" t="n"/>
      <c r="C769" s="26" t="n"/>
      <c r="D769" s="26" t="n"/>
      <c r="E769" s="26" t="n"/>
      <c r="F769" s="26" t="n"/>
      <c r="G769" s="26" t="n"/>
      <c r="H769" s="26" t="n"/>
    </row>
    <row r="770" ht="15" customHeight="1">
      <c r="A770" s="26" t="n"/>
      <c r="B770" s="26" t="n"/>
      <c r="C770" s="26" t="n"/>
      <c r="D770" s="26" t="n"/>
      <c r="E770" s="26" t="n"/>
      <c r="F770" s="26" t="n"/>
      <c r="G770" s="26" t="n"/>
      <c r="H770" s="26" t="n"/>
    </row>
    <row r="771" ht="15" customHeight="1">
      <c r="A771" s="26" t="n"/>
      <c r="B771" s="26" t="n"/>
      <c r="C771" s="26" t="n"/>
      <c r="D771" s="26" t="n"/>
      <c r="E771" s="26" t="n"/>
      <c r="F771" s="26" t="n"/>
      <c r="G771" s="26" t="n"/>
      <c r="H771" s="26" t="n"/>
    </row>
    <row r="772" ht="15" customHeight="1">
      <c r="A772" s="26" t="n"/>
      <c r="B772" s="26" t="n"/>
      <c r="C772" s="26" t="n"/>
      <c r="D772" s="26" t="n"/>
      <c r="E772" s="26" t="n"/>
      <c r="F772" s="26" t="n"/>
      <c r="G772" s="26" t="n"/>
      <c r="H772" s="26" t="n"/>
    </row>
    <row r="773" ht="15" customHeight="1">
      <c r="A773" s="26" t="n"/>
      <c r="B773" s="26" t="n"/>
      <c r="C773" s="26" t="n"/>
      <c r="D773" s="26" t="n"/>
      <c r="E773" s="26" t="n"/>
      <c r="F773" s="26" t="n"/>
      <c r="G773" s="26" t="n"/>
      <c r="H773" s="26" t="n"/>
    </row>
    <row r="774" ht="15" customHeight="1">
      <c r="A774" s="26" t="n"/>
      <c r="B774" s="26" t="n"/>
      <c r="C774" s="26" t="n"/>
      <c r="D774" s="26" t="n"/>
      <c r="E774" s="26" t="n"/>
      <c r="F774" s="26" t="n"/>
      <c r="G774" s="26" t="n"/>
      <c r="H774" s="26" t="n"/>
    </row>
    <row r="775" ht="15" customHeight="1">
      <c r="A775" s="26" t="n"/>
      <c r="B775" s="26" t="n"/>
      <c r="C775" s="26" t="n"/>
      <c r="D775" s="26" t="n"/>
      <c r="E775" s="26" t="n"/>
      <c r="F775" s="26" t="n"/>
      <c r="G775" s="26" t="n"/>
      <c r="H775" s="26" t="n"/>
    </row>
    <row r="776" ht="15" customHeight="1">
      <c r="A776" s="26" t="n"/>
      <c r="B776" s="26" t="n"/>
      <c r="C776" s="26" t="n"/>
      <c r="D776" s="26" t="n"/>
      <c r="E776" s="26" t="n"/>
      <c r="F776" s="26" t="n"/>
      <c r="G776" s="26" t="n"/>
      <c r="H776" s="26" t="n"/>
    </row>
    <row r="777" ht="15" customHeight="1">
      <c r="A777" s="26" t="n"/>
      <c r="B777" s="26" t="n"/>
      <c r="C777" s="26" t="n"/>
      <c r="D777" s="26" t="n"/>
      <c r="E777" s="26" t="n"/>
      <c r="F777" s="26" t="n"/>
      <c r="G777" s="26" t="n"/>
      <c r="H777" s="26" t="n"/>
    </row>
    <row r="778" ht="15" customHeight="1">
      <c r="A778" s="26" t="n"/>
      <c r="B778" s="26" t="n"/>
      <c r="C778" s="26" t="n"/>
      <c r="D778" s="26" t="n"/>
      <c r="E778" s="26" t="n"/>
      <c r="F778" s="26" t="n"/>
      <c r="G778" s="26" t="n"/>
      <c r="H778" s="26" t="n"/>
    </row>
    <row r="779" ht="15" customHeight="1">
      <c r="A779" s="26" t="n"/>
      <c r="B779" s="26" t="n"/>
      <c r="C779" s="26" t="n"/>
      <c r="D779" s="26" t="n"/>
      <c r="E779" s="26" t="n"/>
      <c r="F779" s="26" t="n"/>
      <c r="G779" s="26" t="n"/>
      <c r="H779" s="26" t="n"/>
    </row>
    <row r="780" ht="15" customHeight="1">
      <c r="A780" s="26" t="n"/>
      <c r="B780" s="26" t="n"/>
      <c r="C780" s="26" t="n"/>
      <c r="D780" s="26" t="n"/>
      <c r="E780" s="26" t="n"/>
      <c r="F780" s="26" t="n"/>
      <c r="G780" s="26" t="n"/>
      <c r="H780" s="26" t="n"/>
    </row>
    <row r="781" ht="15" customHeight="1">
      <c r="A781" s="26" t="n"/>
      <c r="B781" s="26" t="n"/>
      <c r="C781" s="26" t="n"/>
      <c r="D781" s="26" t="n"/>
      <c r="E781" s="26" t="n"/>
      <c r="F781" s="26" t="n"/>
      <c r="G781" s="26" t="n"/>
      <c r="H781" s="26" t="n"/>
    </row>
    <row r="782" ht="15" customHeight="1">
      <c r="A782" s="26" t="n"/>
      <c r="B782" s="26" t="n"/>
      <c r="C782" s="26" t="n"/>
      <c r="D782" s="26" t="n"/>
      <c r="E782" s="26" t="n"/>
      <c r="F782" s="26" t="n"/>
      <c r="G782" s="26" t="n"/>
      <c r="H782" s="26" t="n"/>
    </row>
    <row r="783" ht="15" customHeight="1">
      <c r="A783" s="26" t="n"/>
      <c r="B783" s="26" t="n"/>
      <c r="C783" s="26" t="n"/>
      <c r="D783" s="26" t="n"/>
      <c r="E783" s="26" t="n"/>
      <c r="F783" s="26" t="n"/>
      <c r="G783" s="26" t="n"/>
      <c r="H783" s="26" t="n"/>
    </row>
    <row r="784" ht="15" customHeight="1">
      <c r="A784" s="26" t="n"/>
      <c r="B784" s="26" t="n"/>
      <c r="C784" s="26" t="n"/>
      <c r="D784" s="26" t="n"/>
      <c r="E784" s="26" t="n"/>
      <c r="F784" s="26" t="n"/>
      <c r="G784" s="26" t="n"/>
      <c r="H784" s="26" t="n"/>
    </row>
    <row r="785" ht="15" customHeight="1">
      <c r="A785" s="26" t="n"/>
      <c r="B785" s="26" t="n"/>
      <c r="C785" s="26" t="n"/>
      <c r="D785" s="26" t="n"/>
      <c r="E785" s="26" t="n"/>
      <c r="F785" s="26" t="n"/>
      <c r="G785" s="26" t="n"/>
      <c r="H785" s="26" t="n"/>
    </row>
    <row r="786" ht="15" customHeight="1">
      <c r="A786" s="26" t="n"/>
      <c r="B786" s="26" t="n"/>
      <c r="C786" s="26" t="n"/>
      <c r="D786" s="26" t="n"/>
      <c r="E786" s="26" t="n"/>
      <c r="F786" s="26" t="n"/>
      <c r="G786" s="26" t="n"/>
      <c r="H786" s="26" t="n"/>
    </row>
    <row r="787" ht="15" customHeight="1">
      <c r="A787" s="26" t="n"/>
      <c r="B787" s="26" t="n"/>
      <c r="C787" s="26" t="n"/>
      <c r="D787" s="26" t="n"/>
      <c r="E787" s="26" t="n"/>
      <c r="F787" s="26" t="n"/>
      <c r="G787" s="26" t="n"/>
      <c r="H787" s="26" t="n"/>
    </row>
    <row r="788" ht="15" customHeight="1">
      <c r="A788" s="26" t="n"/>
      <c r="B788" s="26" t="n"/>
      <c r="C788" s="26" t="n"/>
      <c r="D788" s="26" t="n"/>
      <c r="E788" s="26" t="n"/>
      <c r="F788" s="26" t="n"/>
      <c r="G788" s="26" t="n"/>
      <c r="H788" s="26" t="n"/>
    </row>
    <row r="789" ht="15" customHeight="1">
      <c r="A789" s="26" t="n"/>
      <c r="B789" s="26" t="n"/>
      <c r="C789" s="26" t="n"/>
      <c r="D789" s="26" t="n"/>
      <c r="E789" s="26" t="n"/>
      <c r="F789" s="26" t="n"/>
      <c r="G789" s="26" t="n"/>
      <c r="H789" s="26" t="n"/>
    </row>
    <row r="790" ht="15" customHeight="1">
      <c r="A790" s="26" t="n"/>
      <c r="B790" s="26" t="n"/>
      <c r="C790" s="26" t="n"/>
      <c r="D790" s="26" t="n"/>
      <c r="E790" s="26" t="n"/>
      <c r="F790" s="26" t="n"/>
      <c r="G790" s="26" t="n"/>
      <c r="H790" s="26" t="n"/>
    </row>
    <row r="791" ht="15" customHeight="1">
      <c r="A791" s="26" t="n"/>
      <c r="B791" s="26" t="n"/>
      <c r="C791" s="26" t="n"/>
      <c r="D791" s="26" t="n"/>
      <c r="E791" s="26" t="n"/>
      <c r="F791" s="26" t="n"/>
      <c r="G791" s="26" t="n"/>
      <c r="H791" s="26" t="n"/>
    </row>
    <row r="792" ht="15" customHeight="1">
      <c r="A792" s="26" t="n"/>
      <c r="B792" s="26" t="n"/>
      <c r="C792" s="26" t="n"/>
      <c r="D792" s="26" t="n"/>
      <c r="E792" s="26" t="n"/>
      <c r="F792" s="26" t="n"/>
      <c r="G792" s="26" t="n"/>
      <c r="H792" s="26" t="n"/>
    </row>
    <row r="793" ht="15" customHeight="1">
      <c r="A793" s="26" t="n"/>
      <c r="B793" s="26" t="n"/>
      <c r="C793" s="26" t="n"/>
      <c r="D793" s="26" t="n"/>
      <c r="E793" s="26" t="n"/>
      <c r="F793" s="26" t="n"/>
      <c r="G793" s="26" t="n"/>
      <c r="H793" s="26" t="n"/>
    </row>
    <row r="794" ht="15" customHeight="1">
      <c r="A794" s="26" t="n"/>
      <c r="B794" s="26" t="n"/>
      <c r="C794" s="26" t="n"/>
      <c r="D794" s="26" t="n"/>
      <c r="E794" s="26" t="n"/>
      <c r="F794" s="26" t="n"/>
      <c r="G794" s="26" t="n"/>
      <c r="H794" s="26" t="n"/>
    </row>
    <row r="795" ht="15" customHeight="1">
      <c r="A795" s="26" t="n"/>
      <c r="B795" s="26" t="n"/>
      <c r="C795" s="26" t="n"/>
      <c r="D795" s="26" t="n"/>
      <c r="E795" s="26" t="n"/>
      <c r="F795" s="26" t="n"/>
      <c r="G795" s="26" t="n"/>
      <c r="H795" s="26" t="n"/>
    </row>
    <row r="796" ht="15" customHeight="1">
      <c r="A796" s="26" t="n"/>
      <c r="B796" s="26" t="n"/>
      <c r="C796" s="26" t="n"/>
      <c r="D796" s="26" t="n"/>
      <c r="E796" s="26" t="n"/>
      <c r="F796" s="26" t="n"/>
      <c r="G796" s="26" t="n"/>
      <c r="H796" s="26" t="n"/>
    </row>
    <row r="797" ht="15" customHeight="1">
      <c r="A797" s="26" t="n"/>
      <c r="B797" s="26" t="n"/>
      <c r="C797" s="26" t="n"/>
      <c r="D797" s="26" t="n"/>
      <c r="E797" s="26" t="n"/>
      <c r="F797" s="26" t="n"/>
      <c r="G797" s="26" t="n"/>
      <c r="H797" s="26" t="n"/>
    </row>
    <row r="798" ht="15" customHeight="1">
      <c r="A798" s="26" t="n"/>
      <c r="B798" s="26" t="n"/>
      <c r="C798" s="26" t="n"/>
      <c r="D798" s="26" t="n"/>
      <c r="E798" s="26" t="n"/>
      <c r="F798" s="26" t="n"/>
      <c r="G798" s="26" t="n"/>
      <c r="H798" s="26" t="n"/>
    </row>
    <row r="799" ht="15" customHeight="1">
      <c r="A799" s="26" t="n"/>
      <c r="B799" s="26" t="n"/>
      <c r="C799" s="26" t="n"/>
      <c r="D799" s="26" t="n"/>
      <c r="E799" s="26" t="n"/>
      <c r="F799" s="26" t="n"/>
      <c r="G799" s="26" t="n"/>
      <c r="H799" s="26" t="n"/>
    </row>
    <row r="800" ht="15" customHeight="1">
      <c r="A800" s="26" t="n"/>
      <c r="B800" s="26" t="n"/>
      <c r="C800" s="26" t="n"/>
      <c r="D800" s="26" t="n"/>
      <c r="E800" s="26" t="n"/>
      <c r="F800" s="26" t="n"/>
      <c r="G800" s="26" t="n"/>
      <c r="H800" s="26" t="n"/>
    </row>
    <row r="801" ht="15" customHeight="1">
      <c r="A801" s="26" t="n"/>
      <c r="B801" s="26" t="n"/>
      <c r="C801" s="26" t="n"/>
      <c r="D801" s="26" t="n"/>
      <c r="E801" s="26" t="n"/>
      <c r="F801" s="26" t="n"/>
      <c r="G801" s="26" t="n"/>
      <c r="H801" s="26" t="n"/>
    </row>
    <row r="802" ht="15" customHeight="1">
      <c r="A802" s="26" t="n"/>
      <c r="B802" s="26" t="n"/>
      <c r="C802" s="26" t="n"/>
      <c r="D802" s="26" t="n"/>
      <c r="E802" s="26" t="n"/>
      <c r="F802" s="26" t="n"/>
      <c r="G802" s="26" t="n"/>
      <c r="H802" s="26" t="n"/>
    </row>
    <row r="803" ht="15" customHeight="1">
      <c r="A803" s="26" t="n"/>
      <c r="B803" s="26" t="n"/>
      <c r="C803" s="26" t="n"/>
      <c r="D803" s="26" t="n"/>
      <c r="E803" s="26" t="n"/>
      <c r="F803" s="26" t="n"/>
      <c r="G803" s="26" t="n"/>
      <c r="H803" s="26" t="n"/>
    </row>
    <row r="804" ht="15" customHeight="1">
      <c r="A804" s="26" t="n"/>
      <c r="B804" s="26" t="n"/>
      <c r="C804" s="26" t="n"/>
      <c r="D804" s="26" t="n"/>
      <c r="E804" s="26" t="n"/>
      <c r="F804" s="26" t="n"/>
      <c r="G804" s="26" t="n"/>
      <c r="H804" s="26" t="n"/>
    </row>
    <row r="805" ht="15" customHeight="1">
      <c r="A805" s="26" t="n"/>
      <c r="B805" s="26" t="n"/>
      <c r="C805" s="26" t="n"/>
      <c r="D805" s="26" t="n"/>
      <c r="E805" s="26" t="n"/>
      <c r="F805" s="26" t="n"/>
      <c r="G805" s="26" t="n"/>
      <c r="H805" s="26" t="n"/>
    </row>
    <row r="806" ht="15" customHeight="1">
      <c r="A806" s="26" t="n"/>
      <c r="B806" s="26" t="n"/>
      <c r="C806" s="26" t="n"/>
      <c r="D806" s="26" t="n"/>
      <c r="E806" s="26" t="n"/>
      <c r="F806" s="26" t="n"/>
      <c r="G806" s="26" t="n"/>
      <c r="H806" s="26" t="n"/>
    </row>
    <row r="807" ht="15" customHeight="1">
      <c r="A807" s="26" t="n"/>
      <c r="B807" s="26" t="n"/>
      <c r="C807" s="26" t="n"/>
      <c r="D807" s="26" t="n"/>
      <c r="E807" s="26" t="n"/>
      <c r="F807" s="26" t="n"/>
      <c r="G807" s="26" t="n"/>
      <c r="H807" s="26" t="n"/>
    </row>
    <row r="808" ht="15" customHeight="1">
      <c r="A808" s="26" t="n"/>
      <c r="B808" s="26" t="n"/>
      <c r="C808" s="26" t="n"/>
      <c r="D808" s="26" t="n"/>
      <c r="E808" s="26" t="n"/>
      <c r="F808" s="26" t="n"/>
      <c r="G808" s="26" t="n"/>
      <c r="H808" s="26" t="n"/>
    </row>
    <row r="809" ht="15" customHeight="1">
      <c r="A809" s="26" t="n"/>
      <c r="B809" s="26" t="n"/>
      <c r="C809" s="26" t="n"/>
      <c r="D809" s="26" t="n"/>
      <c r="E809" s="26" t="n"/>
      <c r="F809" s="26" t="n"/>
      <c r="G809" s="26" t="n"/>
      <c r="H809" s="26" t="n"/>
    </row>
    <row r="810" ht="15" customHeight="1">
      <c r="A810" s="26" t="n"/>
      <c r="B810" s="26" t="n"/>
      <c r="C810" s="26" t="n"/>
      <c r="D810" s="26" t="n"/>
      <c r="E810" s="26" t="n"/>
      <c r="F810" s="26" t="n"/>
      <c r="G810" s="26" t="n"/>
      <c r="H810" s="26" t="n"/>
    </row>
    <row r="811" ht="15" customHeight="1">
      <c r="A811" s="26" t="n"/>
      <c r="B811" s="26" t="n"/>
      <c r="C811" s="26" t="n"/>
      <c r="D811" s="26" t="n"/>
      <c r="E811" s="26" t="n"/>
      <c r="F811" s="26" t="n"/>
      <c r="G811" s="26" t="n"/>
      <c r="H811" s="26" t="n"/>
    </row>
    <row r="812" ht="15" customHeight="1">
      <c r="A812" s="26" t="n"/>
      <c r="B812" s="26" t="n"/>
      <c r="C812" s="26" t="n"/>
      <c r="D812" s="26" t="n"/>
      <c r="E812" s="26" t="n"/>
      <c r="F812" s="26" t="n"/>
      <c r="G812" s="26" t="n"/>
      <c r="H812" s="26" t="n"/>
    </row>
    <row r="813" ht="15" customHeight="1">
      <c r="A813" s="26" t="n"/>
      <c r="B813" s="26" t="n"/>
      <c r="C813" s="26" t="n"/>
      <c r="D813" s="26" t="n"/>
      <c r="E813" s="26" t="n"/>
      <c r="F813" s="26" t="n"/>
      <c r="G813" s="26" t="n"/>
      <c r="H813" s="26" t="n"/>
    </row>
    <row r="814" ht="15" customHeight="1">
      <c r="A814" s="26" t="n"/>
      <c r="B814" s="26" t="n"/>
      <c r="C814" s="26" t="n"/>
      <c r="D814" s="26" t="n"/>
      <c r="E814" s="26" t="n"/>
      <c r="F814" s="26" t="n"/>
      <c r="G814" s="26" t="n"/>
      <c r="H814" s="26" t="n"/>
    </row>
    <row r="815" ht="15" customHeight="1">
      <c r="A815" s="26" t="n"/>
      <c r="B815" s="26" t="n"/>
      <c r="C815" s="26" t="n"/>
      <c r="D815" s="26" t="n"/>
      <c r="E815" s="26" t="n"/>
      <c r="F815" s="26" t="n"/>
      <c r="G815" s="26" t="n"/>
      <c r="H815" s="26" t="n"/>
    </row>
    <row r="816" ht="15" customHeight="1">
      <c r="A816" s="26" t="n"/>
      <c r="B816" s="26" t="n"/>
      <c r="C816" s="26" t="n"/>
      <c r="D816" s="26" t="n"/>
      <c r="E816" s="26" t="n"/>
      <c r="F816" s="26" t="n"/>
      <c r="G816" s="26" t="n"/>
      <c r="H816" s="26" t="n"/>
    </row>
    <row r="817" ht="15" customHeight="1">
      <c r="A817" s="26" t="n"/>
      <c r="B817" s="26" t="n"/>
      <c r="C817" s="26" t="n"/>
      <c r="D817" s="26" t="n"/>
      <c r="E817" s="26" t="n"/>
      <c r="F817" s="26" t="n"/>
      <c r="G817" s="26" t="n"/>
      <c r="H817" s="26" t="n"/>
    </row>
    <row r="818" ht="15" customHeight="1">
      <c r="A818" s="26" t="n"/>
      <c r="B818" s="26" t="n"/>
      <c r="C818" s="26" t="n"/>
      <c r="D818" s="26" t="n"/>
      <c r="E818" s="26" t="n"/>
      <c r="F818" s="26" t="n"/>
      <c r="G818" s="26" t="n"/>
      <c r="H818" s="26" t="n"/>
    </row>
    <row r="819" ht="15" customHeight="1">
      <c r="A819" s="26" t="n"/>
      <c r="B819" s="26" t="n"/>
      <c r="C819" s="26" t="n"/>
      <c r="D819" s="26" t="n"/>
      <c r="E819" s="26" t="n"/>
      <c r="F819" s="26" t="n"/>
      <c r="G819" s="26" t="n"/>
      <c r="H819" s="26" t="n"/>
    </row>
    <row r="820" ht="15" customHeight="1">
      <c r="A820" s="26" t="n"/>
      <c r="B820" s="26" t="n"/>
      <c r="C820" s="26" t="n"/>
      <c r="D820" s="26" t="n"/>
      <c r="E820" s="26" t="n"/>
      <c r="F820" s="26" t="n"/>
      <c r="G820" s="26" t="n"/>
      <c r="H820" s="26" t="n"/>
    </row>
    <row r="821" ht="15" customHeight="1">
      <c r="A821" s="26" t="n"/>
      <c r="B821" s="26" t="n"/>
      <c r="C821" s="26" t="n"/>
      <c r="D821" s="26" t="n"/>
      <c r="E821" s="26" t="n"/>
      <c r="F821" s="26" t="n"/>
      <c r="G821" s="26" t="n"/>
      <c r="H821" s="26" t="n"/>
    </row>
    <row r="822" ht="15" customHeight="1">
      <c r="A822" s="26" t="n"/>
      <c r="B822" s="26" t="n"/>
      <c r="C822" s="26" t="n"/>
      <c r="D822" s="26" t="n"/>
      <c r="E822" s="26" t="n"/>
      <c r="F822" s="26" t="n"/>
      <c r="G822" s="26" t="n"/>
      <c r="H822" s="26" t="n"/>
    </row>
    <row r="823" ht="15" customHeight="1">
      <c r="A823" s="26" t="n"/>
      <c r="B823" s="26" t="n"/>
      <c r="C823" s="26" t="n"/>
      <c r="D823" s="26" t="n"/>
      <c r="E823" s="26" t="n"/>
      <c r="F823" s="26" t="n"/>
      <c r="G823" s="26" t="n"/>
      <c r="H823" s="26" t="n"/>
    </row>
    <row r="824" ht="15" customHeight="1">
      <c r="A824" s="26" t="n"/>
      <c r="B824" s="26" t="n"/>
      <c r="C824" s="26" t="n"/>
      <c r="D824" s="26" t="n"/>
      <c r="E824" s="26" t="n"/>
      <c r="F824" s="26" t="n"/>
      <c r="G824" s="26" t="n"/>
      <c r="H824" s="26" t="n"/>
    </row>
    <row r="825" ht="15" customHeight="1">
      <c r="A825" s="26" t="n"/>
      <c r="B825" s="26" t="n"/>
      <c r="C825" s="26" t="n"/>
      <c r="D825" s="26" t="n"/>
      <c r="E825" s="26" t="n"/>
      <c r="F825" s="26" t="n"/>
      <c r="G825" s="26" t="n"/>
      <c r="H825" s="26" t="n"/>
    </row>
    <row r="826" ht="15" customHeight="1">
      <c r="A826" s="26" t="n"/>
      <c r="B826" s="26" t="n"/>
      <c r="C826" s="26" t="n"/>
      <c r="D826" s="26" t="n"/>
      <c r="E826" s="26" t="n"/>
      <c r="F826" s="26" t="n"/>
      <c r="G826" s="26" t="n"/>
      <c r="H826" s="26" t="n"/>
    </row>
    <row r="827" ht="15" customHeight="1">
      <c r="A827" s="26" t="n"/>
      <c r="B827" s="26" t="n"/>
      <c r="C827" s="26" t="n"/>
      <c r="D827" s="26" t="n"/>
      <c r="E827" s="26" t="n"/>
      <c r="F827" s="26" t="n"/>
      <c r="G827" s="26" t="n"/>
      <c r="H827" s="26" t="n"/>
    </row>
    <row r="828" ht="15" customHeight="1">
      <c r="A828" s="26" t="n"/>
      <c r="B828" s="26" t="n"/>
      <c r="C828" s="26" t="n"/>
      <c r="D828" s="26" t="n"/>
      <c r="E828" s="26" t="n"/>
      <c r="F828" s="26" t="n"/>
      <c r="G828" s="26" t="n"/>
      <c r="H828" s="26" t="n"/>
    </row>
    <row r="829" ht="15" customHeight="1">
      <c r="A829" s="26" t="n"/>
      <c r="B829" s="26" t="n"/>
      <c r="C829" s="26" t="n"/>
      <c r="D829" s="26" t="n"/>
      <c r="E829" s="26" t="n"/>
      <c r="F829" s="26" t="n"/>
      <c r="G829" s="26" t="n"/>
      <c r="H829" s="26" t="n"/>
    </row>
    <row r="830" ht="15" customHeight="1">
      <c r="A830" s="26" t="n"/>
      <c r="B830" s="26" t="n"/>
      <c r="C830" s="26" t="n"/>
      <c r="D830" s="26" t="n"/>
      <c r="E830" s="26" t="n"/>
      <c r="F830" s="26" t="n"/>
      <c r="G830" s="26" t="n"/>
      <c r="H830" s="26" t="n"/>
    </row>
    <row r="831" ht="15" customHeight="1">
      <c r="A831" s="26" t="n"/>
      <c r="B831" s="26" t="n"/>
      <c r="C831" s="26" t="n"/>
      <c r="D831" s="26" t="n"/>
      <c r="E831" s="26" t="n"/>
      <c r="F831" s="26" t="n"/>
      <c r="G831" s="26" t="n"/>
      <c r="H831" s="26" t="n"/>
    </row>
    <row r="832" ht="15" customHeight="1">
      <c r="A832" s="26" t="n"/>
      <c r="B832" s="26" t="n"/>
      <c r="C832" s="26" t="n"/>
      <c r="D832" s="26" t="n"/>
      <c r="E832" s="26" t="n"/>
      <c r="F832" s="26" t="n"/>
      <c r="G832" s="26" t="n"/>
      <c r="H832" s="26" t="n"/>
    </row>
    <row r="833" ht="15" customHeight="1">
      <c r="A833" s="26" t="n"/>
      <c r="B833" s="26" t="n"/>
      <c r="C833" s="26" t="n"/>
      <c r="D833" s="26" t="n"/>
      <c r="E833" s="26" t="n"/>
      <c r="F833" s="26" t="n"/>
      <c r="G833" s="26" t="n"/>
      <c r="H833" s="26" t="n"/>
    </row>
    <row r="834" ht="15" customHeight="1">
      <c r="A834" s="26" t="n"/>
      <c r="B834" s="26" t="n"/>
      <c r="C834" s="26" t="n"/>
      <c r="D834" s="26" t="n"/>
      <c r="E834" s="26" t="n"/>
      <c r="F834" s="26" t="n"/>
      <c r="G834" s="26" t="n"/>
      <c r="H834" s="26" t="n"/>
    </row>
    <row r="835" ht="15" customHeight="1">
      <c r="A835" s="26" t="n"/>
      <c r="B835" s="26" t="n"/>
      <c r="C835" s="26" t="n"/>
      <c r="D835" s="26" t="n"/>
      <c r="E835" s="26" t="n"/>
      <c r="F835" s="26" t="n"/>
      <c r="G835" s="26" t="n"/>
      <c r="H835" s="26" t="n"/>
    </row>
    <row r="836" ht="15" customHeight="1">
      <c r="A836" s="26" t="n"/>
      <c r="B836" s="26" t="n"/>
      <c r="C836" s="26" t="n"/>
      <c r="D836" s="26" t="n"/>
      <c r="E836" s="26" t="n"/>
      <c r="F836" s="26" t="n"/>
      <c r="G836" s="26" t="n"/>
      <c r="H836" s="26" t="n"/>
    </row>
    <row r="837" ht="15" customHeight="1">
      <c r="A837" s="26" t="n"/>
      <c r="B837" s="26" t="n"/>
      <c r="C837" s="26" t="n"/>
      <c r="D837" s="26" t="n"/>
      <c r="E837" s="26" t="n"/>
      <c r="F837" s="26" t="n"/>
      <c r="G837" s="26" t="n"/>
      <c r="H837" s="26" t="n"/>
    </row>
    <row r="838" ht="15" customHeight="1">
      <c r="A838" s="26" t="n"/>
      <c r="B838" s="26" t="n"/>
      <c r="C838" s="26" t="n"/>
      <c r="D838" s="26" t="n"/>
      <c r="E838" s="26" t="n"/>
      <c r="F838" s="26" t="n"/>
      <c r="G838" s="26" t="n"/>
      <c r="H838" s="26" t="n"/>
    </row>
    <row r="839" ht="15" customHeight="1">
      <c r="A839" s="26" t="n"/>
      <c r="B839" s="26" t="n"/>
      <c r="C839" s="26" t="n"/>
      <c r="D839" s="26" t="n"/>
      <c r="E839" s="26" t="n"/>
      <c r="F839" s="26" t="n"/>
      <c r="G839" s="26" t="n"/>
      <c r="H839" s="26" t="n"/>
    </row>
    <row r="840" ht="15" customHeight="1">
      <c r="A840" s="26" t="n"/>
      <c r="B840" s="26" t="n"/>
      <c r="C840" s="26" t="n"/>
      <c r="D840" s="26" t="n"/>
      <c r="E840" s="26" t="n"/>
      <c r="F840" s="26" t="n"/>
      <c r="G840" s="26" t="n"/>
      <c r="H840" s="26" t="n"/>
    </row>
    <row r="841" ht="15" customHeight="1">
      <c r="A841" s="26" t="n"/>
      <c r="B841" s="26" t="n"/>
      <c r="C841" s="26" t="n"/>
      <c r="D841" s="26" t="n"/>
      <c r="E841" s="26" t="n"/>
      <c r="F841" s="26" t="n"/>
      <c r="G841" s="26" t="n"/>
      <c r="H841" s="26" t="n"/>
    </row>
    <row r="842" ht="15" customHeight="1">
      <c r="A842" s="26" t="n"/>
      <c r="B842" s="26" t="n"/>
      <c r="C842" s="26" t="n"/>
      <c r="D842" s="26" t="n"/>
      <c r="E842" s="26" t="n"/>
      <c r="F842" s="26" t="n"/>
      <c r="G842" s="26" t="n"/>
      <c r="H842" s="26" t="n"/>
    </row>
    <row r="843" ht="15" customHeight="1">
      <c r="A843" s="26" t="n"/>
      <c r="B843" s="26" t="n"/>
      <c r="C843" s="26" t="n"/>
      <c r="D843" s="26" t="n"/>
      <c r="E843" s="26" t="n"/>
      <c r="F843" s="26" t="n"/>
      <c r="G843" s="26" t="n"/>
      <c r="H843" s="26" t="n"/>
    </row>
    <row r="844" ht="15" customHeight="1">
      <c r="A844" s="26" t="n"/>
      <c r="B844" s="26" t="n"/>
      <c r="C844" s="26" t="n"/>
      <c r="D844" s="26" t="n"/>
      <c r="E844" s="26" t="n"/>
      <c r="F844" s="26" t="n"/>
      <c r="G844" s="26" t="n"/>
      <c r="H844" s="26" t="n"/>
    </row>
    <row r="845" ht="15" customHeight="1">
      <c r="A845" s="26" t="n"/>
      <c r="B845" s="26" t="n"/>
      <c r="C845" s="26" t="n"/>
      <c r="D845" s="26" t="n"/>
      <c r="E845" s="26" t="n"/>
      <c r="F845" s="26" t="n"/>
      <c r="G845" s="26" t="n"/>
      <c r="H845" s="26" t="n"/>
    </row>
    <row r="846" ht="15" customHeight="1">
      <c r="A846" s="26" t="n"/>
      <c r="B846" s="26" t="n"/>
      <c r="C846" s="26" t="n"/>
      <c r="D846" s="26" t="n"/>
      <c r="E846" s="26" t="n"/>
      <c r="F846" s="26" t="n"/>
      <c r="G846" s="26" t="n"/>
      <c r="H846" s="26" t="n"/>
    </row>
    <row r="847" ht="15" customHeight="1">
      <c r="A847" s="26" t="n"/>
      <c r="B847" s="26" t="n"/>
      <c r="C847" s="26" t="n"/>
      <c r="D847" s="26" t="n"/>
      <c r="E847" s="26" t="n"/>
      <c r="F847" s="26" t="n"/>
      <c r="G847" s="26" t="n"/>
      <c r="H847" s="26" t="n"/>
    </row>
    <row r="848" ht="15" customHeight="1">
      <c r="A848" s="26" t="n"/>
      <c r="B848" s="26" t="n"/>
      <c r="C848" s="26" t="n"/>
      <c r="D848" s="26" t="n"/>
      <c r="E848" s="26" t="n"/>
      <c r="F848" s="26" t="n"/>
      <c r="G848" s="26" t="n"/>
      <c r="H848" s="26" t="n"/>
    </row>
    <row r="849" ht="15" customHeight="1">
      <c r="A849" s="26" t="n"/>
      <c r="B849" s="26" t="n"/>
      <c r="C849" s="26" t="n"/>
      <c r="D849" s="26" t="n"/>
      <c r="E849" s="26" t="n"/>
      <c r="F849" s="26" t="n"/>
      <c r="G849" s="26" t="n"/>
      <c r="H849" s="26" t="n"/>
    </row>
    <row r="850" ht="15" customHeight="1">
      <c r="A850" s="26" t="n"/>
      <c r="B850" s="26" t="n"/>
      <c r="C850" s="26" t="n"/>
      <c r="D850" s="26" t="n"/>
      <c r="E850" s="26" t="n"/>
      <c r="F850" s="26" t="n"/>
      <c r="G850" s="26" t="n"/>
      <c r="H850" s="26" t="n"/>
    </row>
    <row r="851" ht="15" customHeight="1">
      <c r="A851" s="26" t="n"/>
      <c r="B851" s="26" t="n"/>
      <c r="C851" s="26" t="n"/>
      <c r="D851" s="26" t="n"/>
      <c r="E851" s="26" t="n"/>
      <c r="F851" s="26" t="n"/>
      <c r="G851" s="26" t="n"/>
      <c r="H851" s="26" t="n"/>
    </row>
    <row r="852" ht="15" customHeight="1">
      <c r="A852" s="26" t="n"/>
      <c r="B852" s="26" t="n"/>
      <c r="C852" s="26" t="n"/>
      <c r="D852" s="26" t="n"/>
      <c r="E852" s="26" t="n"/>
      <c r="F852" s="26" t="n"/>
      <c r="G852" s="26" t="n"/>
      <c r="H852" s="26" t="n"/>
    </row>
    <row r="853" ht="15" customHeight="1">
      <c r="A853" s="26" t="n"/>
      <c r="B853" s="26" t="n"/>
      <c r="C853" s="26" t="n"/>
      <c r="D853" s="26" t="n"/>
      <c r="E853" s="26" t="n"/>
      <c r="F853" s="26" t="n"/>
      <c r="G853" s="26" t="n"/>
      <c r="H853" s="26" t="n"/>
    </row>
    <row r="854" ht="15" customHeight="1">
      <c r="A854" s="26" t="n"/>
      <c r="B854" s="26" t="n"/>
      <c r="C854" s="26" t="n"/>
      <c r="D854" s="26" t="n"/>
      <c r="E854" s="26" t="n"/>
      <c r="F854" s="26" t="n"/>
      <c r="G854" s="26" t="n"/>
      <c r="H854" s="26" t="n"/>
    </row>
    <row r="855" ht="15" customHeight="1">
      <c r="A855" s="26" t="n"/>
      <c r="B855" s="26" t="n"/>
      <c r="C855" s="26" t="n"/>
      <c r="D855" s="26" t="n"/>
      <c r="E855" s="26" t="n"/>
      <c r="F855" s="26" t="n"/>
      <c r="G855" s="26" t="n"/>
      <c r="H855" s="26" t="n"/>
    </row>
    <row r="856" ht="15" customHeight="1">
      <c r="A856" s="26" t="n"/>
      <c r="B856" s="26" t="n"/>
      <c r="C856" s="26" t="n"/>
      <c r="D856" s="26" t="n"/>
      <c r="E856" s="26" t="n"/>
      <c r="F856" s="26" t="n"/>
      <c r="G856" s="26" t="n"/>
      <c r="H856" s="26" t="n"/>
    </row>
    <row r="857" ht="15" customHeight="1">
      <c r="A857" s="26" t="n"/>
      <c r="B857" s="26" t="n"/>
      <c r="C857" s="26" t="n"/>
      <c r="D857" s="26" t="n"/>
      <c r="E857" s="26" t="n"/>
      <c r="F857" s="26" t="n"/>
      <c r="G857" s="26" t="n"/>
      <c r="H857" s="26" t="n"/>
    </row>
    <row r="858" ht="15" customHeight="1">
      <c r="A858" s="26" t="n"/>
      <c r="B858" s="26" t="n"/>
      <c r="C858" s="26" t="n"/>
      <c r="D858" s="26" t="n"/>
      <c r="E858" s="26" t="n"/>
      <c r="F858" s="26" t="n"/>
      <c r="G858" s="26" t="n"/>
      <c r="H858" s="26" t="n"/>
    </row>
    <row r="859" ht="15" customHeight="1">
      <c r="A859" s="26" t="n"/>
      <c r="B859" s="26" t="n"/>
      <c r="C859" s="26" t="n"/>
      <c r="D859" s="26" t="n"/>
      <c r="E859" s="26" t="n"/>
      <c r="F859" s="26" t="n"/>
      <c r="G859" s="26" t="n"/>
      <c r="H859" s="26" t="n"/>
    </row>
    <row r="860" ht="15" customHeight="1">
      <c r="A860" s="26" t="n"/>
      <c r="B860" s="26" t="n"/>
      <c r="C860" s="26" t="n"/>
      <c r="D860" s="26" t="n"/>
      <c r="E860" s="26" t="n"/>
      <c r="F860" s="26" t="n"/>
      <c r="G860" s="26" t="n"/>
      <c r="H860" s="26" t="n"/>
    </row>
    <row r="861" ht="15" customHeight="1">
      <c r="A861" s="26" t="n"/>
      <c r="B861" s="26" t="n"/>
      <c r="C861" s="26" t="n"/>
      <c r="D861" s="26" t="n"/>
      <c r="E861" s="26" t="n"/>
      <c r="F861" s="26" t="n"/>
      <c r="G861" s="26" t="n"/>
      <c r="H861" s="26" t="n"/>
    </row>
    <row r="862" ht="15" customHeight="1">
      <c r="A862" s="26" t="n"/>
      <c r="B862" s="26" t="n"/>
      <c r="C862" s="26" t="n"/>
      <c r="D862" s="26" t="n"/>
      <c r="E862" s="26" t="n"/>
      <c r="F862" s="26" t="n"/>
      <c r="G862" s="26" t="n"/>
      <c r="H862" s="26" t="n"/>
    </row>
    <row r="863" ht="15" customHeight="1">
      <c r="A863" s="26" t="n"/>
      <c r="B863" s="26" t="n"/>
      <c r="C863" s="26" t="n"/>
      <c r="D863" s="26" t="n"/>
      <c r="E863" s="26" t="n"/>
      <c r="F863" s="26" t="n"/>
      <c r="G863" s="26" t="n"/>
      <c r="H863" s="26" t="n"/>
    </row>
    <row r="864" ht="15" customHeight="1">
      <c r="A864" s="26" t="n"/>
      <c r="B864" s="26" t="n"/>
      <c r="C864" s="26" t="n"/>
      <c r="D864" s="26" t="n"/>
      <c r="E864" s="26" t="n"/>
      <c r="F864" s="26" t="n"/>
      <c r="G864" s="26" t="n"/>
      <c r="H864" s="26" t="n"/>
    </row>
    <row r="865" ht="15" customHeight="1">
      <c r="A865" s="26" t="n"/>
      <c r="B865" s="26" t="n"/>
      <c r="C865" s="26" t="n"/>
      <c r="D865" s="26" t="n"/>
      <c r="E865" s="26" t="n"/>
      <c r="F865" s="26" t="n"/>
      <c r="G865" s="26" t="n"/>
      <c r="H865" s="26" t="n"/>
    </row>
    <row r="866" ht="15" customHeight="1">
      <c r="A866" s="26" t="n"/>
      <c r="B866" s="26" t="n"/>
      <c r="C866" s="26" t="n"/>
      <c r="D866" s="26" t="n"/>
      <c r="E866" s="26" t="n"/>
      <c r="F866" s="26" t="n"/>
      <c r="G866" s="26" t="n"/>
      <c r="H866" s="26" t="n"/>
    </row>
    <row r="867" ht="15" customHeight="1">
      <c r="A867" s="26" t="n"/>
      <c r="B867" s="26" t="n"/>
      <c r="C867" s="26" t="n"/>
      <c r="D867" s="26" t="n"/>
      <c r="E867" s="26" t="n"/>
      <c r="F867" s="26" t="n"/>
      <c r="G867" s="26" t="n"/>
      <c r="H867" s="26" t="n"/>
    </row>
    <row r="868" ht="15" customHeight="1">
      <c r="A868" s="26" t="n"/>
      <c r="B868" s="26" t="n"/>
      <c r="C868" s="26" t="n"/>
      <c r="D868" s="26" t="n"/>
      <c r="E868" s="26" t="n"/>
      <c r="F868" s="26" t="n"/>
      <c r="G868" s="26" t="n"/>
      <c r="H868" s="26" t="n"/>
    </row>
    <row r="869" ht="15" customHeight="1">
      <c r="A869" s="26" t="n"/>
      <c r="B869" s="26" t="n"/>
      <c r="C869" s="26" t="n"/>
      <c r="D869" s="26" t="n"/>
      <c r="E869" s="26" t="n"/>
      <c r="F869" s="26" t="n"/>
      <c r="G869" s="26" t="n"/>
      <c r="H869" s="26" t="n"/>
    </row>
    <row r="870" ht="15" customHeight="1">
      <c r="A870" s="26" t="n"/>
      <c r="B870" s="26" t="n"/>
      <c r="C870" s="26" t="n"/>
      <c r="D870" s="26" t="n"/>
      <c r="E870" s="26" t="n"/>
      <c r="F870" s="26" t="n"/>
      <c r="G870" s="26" t="n"/>
      <c r="H870" s="26" t="n"/>
    </row>
    <row r="871" ht="15" customHeight="1">
      <c r="A871" s="26" t="n"/>
      <c r="B871" s="26" t="n"/>
      <c r="C871" s="26" t="n"/>
      <c r="D871" s="26" t="n"/>
      <c r="E871" s="26" t="n"/>
      <c r="F871" s="26" t="n"/>
      <c r="G871" s="26" t="n"/>
      <c r="H871" s="26" t="n"/>
    </row>
    <row r="872" ht="15" customHeight="1">
      <c r="A872" s="26" t="n"/>
      <c r="B872" s="26" t="n"/>
      <c r="C872" s="26" t="n"/>
      <c r="D872" s="26" t="n"/>
      <c r="E872" s="26" t="n"/>
      <c r="F872" s="26" t="n"/>
      <c r="G872" s="26" t="n"/>
      <c r="H872" s="26" t="n"/>
    </row>
    <row r="873" ht="15" customHeight="1">
      <c r="A873" s="26" t="n"/>
      <c r="B873" s="26" t="n"/>
      <c r="C873" s="26" t="n"/>
      <c r="D873" s="26" t="n"/>
      <c r="E873" s="26" t="n"/>
      <c r="F873" s="26" t="n"/>
      <c r="G873" s="26" t="n"/>
      <c r="H873" s="26" t="n"/>
    </row>
    <row r="874" ht="15" customHeight="1">
      <c r="A874" s="26" t="n"/>
      <c r="B874" s="26" t="n"/>
      <c r="C874" s="26" t="n"/>
      <c r="D874" s="26" t="n"/>
      <c r="E874" s="26" t="n"/>
      <c r="F874" s="26" t="n"/>
      <c r="G874" s="26" t="n"/>
      <c r="H874" s="26" t="n"/>
    </row>
    <row r="875" ht="15" customHeight="1">
      <c r="A875" s="26" t="n"/>
      <c r="B875" s="26" t="n"/>
      <c r="C875" s="26" t="n"/>
      <c r="D875" s="26" t="n"/>
      <c r="E875" s="26" t="n"/>
      <c r="F875" s="26" t="n"/>
      <c r="G875" s="26" t="n"/>
      <c r="H875" s="26" t="n"/>
    </row>
    <row r="876" ht="15" customHeight="1">
      <c r="A876" s="26" t="n"/>
      <c r="B876" s="26" t="n"/>
      <c r="C876" s="26" t="n"/>
      <c r="D876" s="26" t="n"/>
      <c r="E876" s="26" t="n"/>
      <c r="F876" s="26" t="n"/>
      <c r="G876" s="26" t="n"/>
      <c r="H876" s="26" t="n"/>
    </row>
    <row r="877" ht="15" customHeight="1">
      <c r="A877" s="26" t="n"/>
      <c r="B877" s="26" t="n"/>
      <c r="C877" s="26" t="n"/>
      <c r="D877" s="26" t="n"/>
      <c r="E877" s="26" t="n"/>
      <c r="F877" s="26" t="n"/>
      <c r="G877" s="26" t="n"/>
      <c r="H877" s="26" t="n"/>
    </row>
    <row r="878" ht="15" customHeight="1">
      <c r="A878" s="26" t="n"/>
      <c r="B878" s="26" t="n"/>
      <c r="C878" s="26" t="n"/>
      <c r="D878" s="26" t="n"/>
      <c r="E878" s="26" t="n"/>
      <c r="F878" s="26" t="n"/>
      <c r="G878" s="26" t="n"/>
      <c r="H878" s="26" t="n"/>
    </row>
    <row r="879" ht="15" customHeight="1">
      <c r="A879" s="26" t="n"/>
      <c r="B879" s="26" t="n"/>
      <c r="C879" s="26" t="n"/>
      <c r="D879" s="26" t="n"/>
      <c r="E879" s="26" t="n"/>
      <c r="F879" s="26" t="n"/>
      <c r="G879" s="26" t="n"/>
      <c r="H879" s="26" t="n"/>
    </row>
    <row r="880" ht="15" customHeight="1">
      <c r="A880" s="26" t="n"/>
      <c r="B880" s="26" t="n"/>
      <c r="C880" s="26" t="n"/>
      <c r="D880" s="26" t="n"/>
      <c r="E880" s="26" t="n"/>
      <c r="F880" s="26" t="n"/>
      <c r="G880" s="26" t="n"/>
      <c r="H880" s="26" t="n"/>
    </row>
    <row r="881" ht="15" customHeight="1">
      <c r="A881" s="26" t="n"/>
      <c r="B881" s="26" t="n"/>
      <c r="C881" s="26" t="n"/>
      <c r="D881" s="26" t="n"/>
      <c r="E881" s="26" t="n"/>
      <c r="F881" s="26" t="n"/>
      <c r="G881" s="26" t="n"/>
      <c r="H881" s="26" t="n"/>
    </row>
    <row r="882" ht="15" customHeight="1">
      <c r="A882" s="26" t="n"/>
      <c r="B882" s="26" t="n"/>
      <c r="C882" s="26" t="n"/>
      <c r="D882" s="26" t="n"/>
      <c r="E882" s="26" t="n"/>
      <c r="F882" s="26" t="n"/>
      <c r="G882" s="26" t="n"/>
      <c r="H882" s="26" t="n"/>
    </row>
    <row r="883" ht="15" customHeight="1">
      <c r="A883" s="26" t="n"/>
      <c r="B883" s="26" t="n"/>
      <c r="C883" s="26" t="n"/>
      <c r="D883" s="26" t="n"/>
      <c r="E883" s="26" t="n"/>
      <c r="F883" s="26" t="n"/>
      <c r="G883" s="26" t="n"/>
      <c r="H883" s="26" t="n"/>
    </row>
    <row r="884" ht="15" customHeight="1">
      <c r="A884" s="26" t="n"/>
      <c r="B884" s="26" t="n"/>
      <c r="C884" s="26" t="n"/>
      <c r="D884" s="26" t="n"/>
      <c r="E884" s="26" t="n"/>
      <c r="F884" s="26" t="n"/>
      <c r="G884" s="26" t="n"/>
      <c r="H884" s="26" t="n"/>
    </row>
    <row r="885" ht="15" customHeight="1">
      <c r="A885" s="26" t="n"/>
      <c r="B885" s="26" t="n"/>
      <c r="C885" s="26" t="n"/>
      <c r="D885" s="26" t="n"/>
      <c r="E885" s="26" t="n"/>
      <c r="F885" s="26" t="n"/>
      <c r="G885" s="26" t="n"/>
      <c r="H885" s="26" t="n"/>
    </row>
    <row r="886" ht="15" customHeight="1">
      <c r="A886" s="26" t="n"/>
      <c r="B886" s="26" t="n"/>
      <c r="C886" s="26" t="n"/>
      <c r="D886" s="26" t="n"/>
      <c r="E886" s="26" t="n"/>
      <c r="F886" s="26" t="n"/>
      <c r="G886" s="26" t="n"/>
      <c r="H886" s="26" t="n"/>
    </row>
    <row r="887" ht="15" customHeight="1">
      <c r="A887" s="26" t="n"/>
      <c r="B887" s="26" t="n"/>
      <c r="C887" s="26" t="n"/>
      <c r="D887" s="26" t="n"/>
      <c r="E887" s="26" t="n"/>
      <c r="F887" s="26" t="n"/>
      <c r="G887" s="26" t="n"/>
      <c r="H887" s="26" t="n"/>
    </row>
    <row r="888" ht="15" customHeight="1">
      <c r="A888" s="26" t="n"/>
      <c r="B888" s="26" t="n"/>
      <c r="C888" s="26" t="n"/>
      <c r="D888" s="26" t="n"/>
      <c r="E888" s="26" t="n"/>
      <c r="F888" s="26" t="n"/>
      <c r="G888" s="26" t="n"/>
      <c r="H888" s="26" t="n"/>
    </row>
    <row r="889" ht="15" customHeight="1">
      <c r="A889" s="26" t="n"/>
      <c r="B889" s="26" t="n"/>
      <c r="C889" s="26" t="n"/>
      <c r="D889" s="26" t="n"/>
      <c r="E889" s="26" t="n"/>
      <c r="F889" s="26" t="n"/>
      <c r="G889" s="26" t="n"/>
      <c r="H889" s="26" t="n"/>
    </row>
    <row r="890" ht="15" customHeight="1">
      <c r="A890" s="26" t="n"/>
      <c r="B890" s="26" t="n"/>
      <c r="C890" s="26" t="n"/>
      <c r="D890" s="26" t="n"/>
      <c r="E890" s="26" t="n"/>
      <c r="F890" s="26" t="n"/>
      <c r="G890" s="26" t="n"/>
      <c r="H890" s="26" t="n"/>
    </row>
    <row r="891" ht="15" customHeight="1">
      <c r="A891" s="26" t="n"/>
      <c r="B891" s="26" t="n"/>
      <c r="C891" s="26" t="n"/>
      <c r="D891" s="26" t="n"/>
      <c r="E891" s="26" t="n"/>
      <c r="F891" s="26" t="n"/>
      <c r="G891" s="26" t="n"/>
      <c r="H891" s="26" t="n"/>
    </row>
    <row r="892" ht="15" customHeight="1">
      <c r="A892" s="26" t="n"/>
      <c r="B892" s="26" t="n"/>
      <c r="C892" s="26" t="n"/>
      <c r="D892" s="26" t="n"/>
      <c r="E892" s="26" t="n"/>
      <c r="F892" s="26" t="n"/>
      <c r="G892" s="26" t="n"/>
      <c r="H892" s="26" t="n"/>
    </row>
    <row r="893" ht="15" customHeight="1">
      <c r="A893" s="26" t="n"/>
      <c r="B893" s="26" t="n"/>
      <c r="C893" s="26" t="n"/>
      <c r="D893" s="26" t="n"/>
      <c r="E893" s="26" t="n"/>
      <c r="F893" s="26" t="n"/>
      <c r="G893" s="26" t="n"/>
      <c r="H893" s="26" t="n"/>
    </row>
    <row r="894" ht="15" customHeight="1">
      <c r="A894" s="26" t="n"/>
      <c r="B894" s="26" t="n"/>
      <c r="C894" s="26" t="n"/>
      <c r="D894" s="26" t="n"/>
      <c r="E894" s="26" t="n"/>
      <c r="F894" s="26" t="n"/>
      <c r="G894" s="26" t="n"/>
      <c r="H894" s="26" t="n"/>
    </row>
    <row r="895" ht="15" customHeight="1">
      <c r="A895" s="26" t="n"/>
      <c r="B895" s="26" t="n"/>
      <c r="C895" s="26" t="n"/>
      <c r="D895" s="26" t="n"/>
      <c r="E895" s="26" t="n"/>
      <c r="F895" s="26" t="n"/>
      <c r="G895" s="26" t="n"/>
      <c r="H895" s="26" t="n"/>
    </row>
    <row r="896" ht="15" customHeight="1">
      <c r="A896" s="26" t="n"/>
      <c r="B896" s="26" t="n"/>
      <c r="C896" s="26" t="n"/>
      <c r="D896" s="26" t="n"/>
      <c r="E896" s="26" t="n"/>
      <c r="F896" s="26" t="n"/>
      <c r="G896" s="26" t="n"/>
      <c r="H896" s="26" t="n"/>
    </row>
    <row r="897" ht="15" customHeight="1">
      <c r="A897" s="26" t="n"/>
      <c r="B897" s="26" t="n"/>
      <c r="C897" s="26" t="n"/>
      <c r="D897" s="26" t="n"/>
      <c r="E897" s="26" t="n"/>
      <c r="F897" s="26" t="n"/>
      <c r="G897" s="26" t="n"/>
      <c r="H897" s="26" t="n"/>
    </row>
    <row r="898" ht="15" customHeight="1">
      <c r="A898" s="26" t="n"/>
      <c r="B898" s="26" t="n"/>
      <c r="C898" s="26" t="n"/>
      <c r="D898" s="26" t="n"/>
      <c r="E898" s="26" t="n"/>
      <c r="F898" s="26" t="n"/>
      <c r="G898" s="26" t="n"/>
      <c r="H898" s="26" t="n"/>
    </row>
    <row r="899" ht="15" customHeight="1">
      <c r="A899" s="26" t="n"/>
      <c r="B899" s="26" t="n"/>
      <c r="C899" s="26" t="n"/>
      <c r="D899" s="26" t="n"/>
      <c r="E899" s="26" t="n"/>
      <c r="F899" s="26" t="n"/>
      <c r="G899" s="26" t="n"/>
      <c r="H899" s="26" t="n"/>
    </row>
    <row r="900" ht="15" customHeight="1">
      <c r="A900" s="26" t="n"/>
      <c r="B900" s="26" t="n"/>
      <c r="C900" s="26" t="n"/>
      <c r="D900" s="26" t="n"/>
      <c r="E900" s="26" t="n"/>
      <c r="F900" s="26" t="n"/>
      <c r="G900" s="26" t="n"/>
      <c r="H900" s="26" t="n"/>
    </row>
    <row r="901" ht="15" customHeight="1">
      <c r="A901" s="26" t="n"/>
      <c r="B901" s="26" t="n"/>
      <c r="C901" s="26" t="n"/>
      <c r="D901" s="26" t="n"/>
      <c r="E901" s="26" t="n"/>
      <c r="F901" s="26" t="n"/>
      <c r="G901" s="26" t="n"/>
      <c r="H901" s="26" t="n"/>
    </row>
    <row r="902" ht="15" customHeight="1">
      <c r="A902" s="26" t="n"/>
      <c r="B902" s="26" t="n"/>
      <c r="C902" s="26" t="n"/>
      <c r="D902" s="26" t="n"/>
      <c r="E902" s="26" t="n"/>
      <c r="F902" s="26" t="n"/>
      <c r="G902" s="26" t="n"/>
      <c r="H902" s="26" t="n"/>
    </row>
    <row r="903" ht="15" customHeight="1">
      <c r="A903" s="26" t="n"/>
      <c r="B903" s="26" t="n"/>
      <c r="C903" s="26" t="n"/>
      <c r="D903" s="26" t="n"/>
      <c r="E903" s="26" t="n"/>
      <c r="F903" s="26" t="n"/>
      <c r="G903" s="26" t="n"/>
      <c r="H903" s="26" t="n"/>
    </row>
    <row r="904" ht="15" customHeight="1">
      <c r="A904" s="26" t="n"/>
      <c r="B904" s="26" t="n"/>
      <c r="C904" s="26" t="n"/>
      <c r="D904" s="26" t="n"/>
      <c r="E904" s="26" t="n"/>
      <c r="F904" s="26" t="n"/>
      <c r="G904" s="26" t="n"/>
      <c r="H904" s="26" t="n"/>
    </row>
    <row r="905" ht="15" customHeight="1">
      <c r="A905" s="26" t="n"/>
      <c r="B905" s="26" t="n"/>
      <c r="C905" s="26" t="n"/>
      <c r="D905" s="26" t="n"/>
      <c r="E905" s="26" t="n"/>
      <c r="F905" s="26" t="n"/>
      <c r="G905" s="26" t="n"/>
      <c r="H905" s="26" t="n"/>
    </row>
    <row r="906" ht="15" customHeight="1">
      <c r="A906" s="26" t="n"/>
      <c r="B906" s="26" t="n"/>
      <c r="C906" s="26" t="n"/>
      <c r="D906" s="26" t="n"/>
      <c r="E906" s="26" t="n"/>
      <c r="F906" s="26" t="n"/>
      <c r="G906" s="26" t="n"/>
      <c r="H906" s="26" t="n"/>
    </row>
    <row r="907" ht="15" customHeight="1">
      <c r="A907" s="26" t="n"/>
      <c r="B907" s="26" t="n"/>
      <c r="C907" s="26" t="n"/>
      <c r="D907" s="26" t="n"/>
      <c r="E907" s="26" t="n"/>
      <c r="F907" s="26" t="n"/>
      <c r="G907" s="26" t="n"/>
      <c r="H907" s="26" t="n"/>
    </row>
    <row r="908" ht="15" customHeight="1">
      <c r="A908" s="26" t="n"/>
      <c r="B908" s="26" t="n"/>
      <c r="C908" s="26" t="n"/>
      <c r="D908" s="26" t="n"/>
      <c r="E908" s="26" t="n"/>
      <c r="F908" s="26" t="n"/>
      <c r="G908" s="26" t="n"/>
      <c r="H908" s="26" t="n"/>
    </row>
    <row r="909" ht="15" customHeight="1">
      <c r="A909" s="26" t="n"/>
      <c r="B909" s="26" t="n"/>
      <c r="C909" s="26" t="n"/>
      <c r="D909" s="26" t="n"/>
      <c r="E909" s="26" t="n"/>
      <c r="F909" s="26" t="n"/>
      <c r="G909" s="26" t="n"/>
      <c r="H909" s="26" t="n"/>
    </row>
    <row r="910" ht="15" customHeight="1">
      <c r="A910" s="26" t="n"/>
      <c r="B910" s="26" t="n"/>
      <c r="C910" s="26" t="n"/>
      <c r="D910" s="26" t="n"/>
      <c r="E910" s="26" t="n"/>
      <c r="F910" s="26" t="n"/>
      <c r="G910" s="26" t="n"/>
      <c r="H910" s="26" t="n"/>
    </row>
    <row r="911" ht="15" customHeight="1">
      <c r="A911" s="26" t="n"/>
      <c r="B911" s="26" t="n"/>
      <c r="C911" s="26" t="n"/>
      <c r="D911" s="26" t="n"/>
      <c r="E911" s="26" t="n"/>
      <c r="F911" s="26" t="n"/>
      <c r="G911" s="26" t="n"/>
      <c r="H911" s="26" t="n"/>
    </row>
    <row r="912" ht="15" customHeight="1">
      <c r="A912" s="26" t="n"/>
      <c r="B912" s="26" t="n"/>
      <c r="C912" s="26" t="n"/>
      <c r="D912" s="26" t="n"/>
      <c r="E912" s="26" t="n"/>
      <c r="F912" s="26" t="n"/>
      <c r="G912" s="26" t="n"/>
      <c r="H912" s="26" t="n"/>
    </row>
    <row r="913" ht="15" customHeight="1">
      <c r="A913" s="26" t="n"/>
      <c r="B913" s="26" t="n"/>
      <c r="C913" s="26" t="n"/>
      <c r="D913" s="26" t="n"/>
      <c r="E913" s="26" t="n"/>
      <c r="F913" s="26" t="n"/>
      <c r="G913" s="26" t="n"/>
      <c r="H913" s="26" t="n"/>
    </row>
    <row r="914" ht="15" customHeight="1">
      <c r="A914" s="26" t="n"/>
      <c r="B914" s="26" t="n"/>
      <c r="C914" s="26" t="n"/>
      <c r="D914" s="26" t="n"/>
      <c r="E914" s="26" t="n"/>
      <c r="F914" s="26" t="n"/>
      <c r="G914" s="26" t="n"/>
      <c r="H914" s="26" t="n"/>
    </row>
    <row r="915" ht="15" customHeight="1">
      <c r="A915" s="26" t="n"/>
      <c r="B915" s="26" t="n"/>
      <c r="C915" s="26" t="n"/>
      <c r="D915" s="26" t="n"/>
      <c r="E915" s="26" t="n"/>
      <c r="F915" s="26" t="n"/>
      <c r="G915" s="26" t="n"/>
      <c r="H915" s="26" t="n"/>
    </row>
    <row r="916" ht="15" customHeight="1">
      <c r="A916" s="26" t="n"/>
      <c r="B916" s="26" t="n"/>
      <c r="C916" s="26" t="n"/>
      <c r="D916" s="26" t="n"/>
      <c r="E916" s="26" t="n"/>
      <c r="F916" s="26" t="n"/>
      <c r="G916" s="26" t="n"/>
      <c r="H916" s="26" t="n"/>
    </row>
    <row r="917" ht="15" customHeight="1">
      <c r="A917" s="26" t="n"/>
      <c r="B917" s="26" t="n"/>
      <c r="C917" s="26" t="n"/>
      <c r="D917" s="26" t="n"/>
      <c r="E917" s="26" t="n"/>
      <c r="F917" s="26" t="n"/>
      <c r="G917" s="26" t="n"/>
      <c r="H917" s="26" t="n"/>
    </row>
    <row r="918" ht="15" customHeight="1">
      <c r="A918" s="26" t="n"/>
      <c r="B918" s="26" t="n"/>
      <c r="C918" s="26" t="n"/>
      <c r="D918" s="26" t="n"/>
      <c r="E918" s="26" t="n"/>
      <c r="F918" s="26" t="n"/>
      <c r="G918" s="26" t="n"/>
      <c r="H918" s="26" t="n"/>
    </row>
    <row r="919" ht="15" customHeight="1">
      <c r="A919" s="26" t="n"/>
      <c r="B919" s="26" t="n"/>
      <c r="C919" s="26" t="n"/>
      <c r="D919" s="26" t="n"/>
      <c r="E919" s="26" t="n"/>
      <c r="F919" s="26" t="n"/>
      <c r="G919" s="26" t="n"/>
      <c r="H919" s="26" t="n"/>
    </row>
    <row r="920" ht="15" customHeight="1">
      <c r="A920" s="26" t="n"/>
      <c r="B920" s="26" t="n"/>
      <c r="C920" s="26" t="n"/>
      <c r="D920" s="26" t="n"/>
      <c r="E920" s="26" t="n"/>
      <c r="F920" s="26" t="n"/>
      <c r="G920" s="26" t="n"/>
      <c r="H920" s="26" t="n"/>
    </row>
    <row r="921" ht="15" customHeight="1">
      <c r="A921" s="26" t="n"/>
      <c r="B921" s="26" t="n"/>
      <c r="C921" s="26" t="n"/>
      <c r="D921" s="26" t="n"/>
      <c r="E921" s="26" t="n"/>
      <c r="F921" s="26" t="n"/>
      <c r="G921" s="26" t="n"/>
      <c r="H921" s="26" t="n"/>
    </row>
    <row r="922" ht="15" customHeight="1">
      <c r="A922" s="26" t="n"/>
      <c r="B922" s="26" t="n"/>
      <c r="C922" s="26" t="n"/>
      <c r="D922" s="26" t="n"/>
      <c r="E922" s="26" t="n"/>
      <c r="F922" s="26" t="n"/>
      <c r="G922" s="26" t="n"/>
      <c r="H922" s="26" t="n"/>
    </row>
    <row r="923" ht="15" customHeight="1">
      <c r="A923" s="26" t="n"/>
      <c r="B923" s="26" t="n"/>
      <c r="C923" s="26" t="n"/>
      <c r="D923" s="26" t="n"/>
      <c r="E923" s="26" t="n"/>
      <c r="F923" s="26" t="n"/>
      <c r="G923" s="26" t="n"/>
      <c r="H923" s="26" t="n"/>
    </row>
    <row r="924" ht="15" customHeight="1">
      <c r="A924" s="26" t="n"/>
      <c r="B924" s="26" t="n"/>
      <c r="C924" s="26" t="n"/>
      <c r="D924" s="26" t="n"/>
      <c r="E924" s="26" t="n"/>
      <c r="F924" s="26" t="n"/>
      <c r="G924" s="26" t="n"/>
      <c r="H924" s="26" t="n"/>
    </row>
    <row r="925" ht="15" customHeight="1">
      <c r="A925" s="26" t="n"/>
      <c r="B925" s="26" t="n"/>
      <c r="C925" s="26" t="n"/>
      <c r="D925" s="26" t="n"/>
      <c r="E925" s="26" t="n"/>
      <c r="F925" s="26" t="n"/>
      <c r="G925" s="26" t="n"/>
      <c r="H925" s="26" t="n"/>
    </row>
    <row r="926" ht="15" customHeight="1">
      <c r="A926" s="26" t="n"/>
      <c r="B926" s="26" t="n"/>
      <c r="C926" s="26" t="n"/>
      <c r="D926" s="26" t="n"/>
      <c r="E926" s="26" t="n"/>
      <c r="F926" s="26" t="n"/>
      <c r="G926" s="26" t="n"/>
      <c r="H926" s="26" t="n"/>
    </row>
    <row r="927" ht="15" customHeight="1">
      <c r="A927" s="26" t="n"/>
      <c r="B927" s="26" t="n"/>
      <c r="C927" s="26" t="n"/>
      <c r="D927" s="26" t="n"/>
      <c r="E927" s="26" t="n"/>
      <c r="F927" s="26" t="n"/>
      <c r="G927" s="26" t="n"/>
      <c r="H927" s="26" t="n"/>
    </row>
    <row r="928" ht="15" customHeight="1">
      <c r="A928" s="26" t="n"/>
      <c r="B928" s="26" t="n"/>
      <c r="C928" s="26" t="n"/>
      <c r="D928" s="26" t="n"/>
      <c r="E928" s="26" t="n"/>
      <c r="F928" s="26" t="n"/>
      <c r="G928" s="26" t="n"/>
      <c r="H928" s="26" t="n"/>
    </row>
    <row r="929" ht="15" customHeight="1">
      <c r="A929" s="26" t="n"/>
      <c r="B929" s="26" t="n"/>
      <c r="C929" s="26" t="n"/>
      <c r="D929" s="26" t="n"/>
      <c r="E929" s="26" t="n"/>
      <c r="F929" s="26" t="n"/>
      <c r="G929" s="26" t="n"/>
      <c r="H929" s="26" t="n"/>
    </row>
    <row r="930" ht="15" customHeight="1">
      <c r="A930" s="26" t="n"/>
      <c r="B930" s="26" t="n"/>
      <c r="C930" s="26" t="n"/>
      <c r="D930" s="26" t="n"/>
      <c r="E930" s="26" t="n"/>
      <c r="F930" s="26" t="n"/>
      <c r="G930" s="26" t="n"/>
      <c r="H930" s="26" t="n"/>
    </row>
    <row r="931" ht="15" customHeight="1">
      <c r="A931" s="26" t="n"/>
      <c r="B931" s="26" t="n"/>
      <c r="C931" s="26" t="n"/>
      <c r="D931" s="26" t="n"/>
      <c r="E931" s="26" t="n"/>
      <c r="F931" s="26" t="n"/>
      <c r="G931" s="26" t="n"/>
      <c r="H931" s="26" t="n"/>
    </row>
    <row r="932" ht="15" customHeight="1">
      <c r="A932" s="26" t="n"/>
      <c r="B932" s="26" t="n"/>
      <c r="C932" s="26" t="n"/>
      <c r="D932" s="26" t="n"/>
      <c r="E932" s="26" t="n"/>
      <c r="F932" s="26" t="n"/>
      <c r="G932" s="26" t="n"/>
      <c r="H932" s="26" t="n"/>
    </row>
    <row r="933" ht="15" customHeight="1">
      <c r="A933" s="26" t="n"/>
      <c r="B933" s="26" t="n"/>
      <c r="C933" s="26" t="n"/>
      <c r="D933" s="26" t="n"/>
      <c r="E933" s="26" t="n"/>
      <c r="F933" s="26" t="n"/>
      <c r="G933" s="26" t="n"/>
      <c r="H933" s="26" t="n"/>
    </row>
    <row r="934" ht="15" customHeight="1">
      <c r="A934" s="26" t="n"/>
      <c r="B934" s="26" t="n"/>
      <c r="C934" s="26" t="n"/>
      <c r="D934" s="26" t="n"/>
      <c r="E934" s="26" t="n"/>
      <c r="F934" s="26" t="n"/>
      <c r="G934" s="26" t="n"/>
      <c r="H934" s="26" t="n"/>
    </row>
    <row r="935" ht="15" customHeight="1">
      <c r="A935" s="26" t="n"/>
      <c r="B935" s="26" t="n"/>
      <c r="C935" s="26" t="n"/>
      <c r="D935" s="26" t="n"/>
      <c r="E935" s="26" t="n"/>
      <c r="F935" s="26" t="n"/>
      <c r="G935" s="26" t="n"/>
      <c r="H935" s="26" t="n"/>
    </row>
    <row r="936" ht="15" customHeight="1">
      <c r="A936" s="26" t="n"/>
      <c r="B936" s="26" t="n"/>
      <c r="C936" s="26" t="n"/>
      <c r="D936" s="26" t="n"/>
      <c r="E936" s="26" t="n"/>
      <c r="F936" s="26" t="n"/>
      <c r="G936" s="26" t="n"/>
      <c r="H936" s="26" t="n"/>
    </row>
    <row r="937" ht="15" customHeight="1">
      <c r="A937" s="26" t="n"/>
      <c r="B937" s="26" t="n"/>
      <c r="C937" s="26" t="n"/>
      <c r="D937" s="26" t="n"/>
      <c r="E937" s="26" t="n"/>
      <c r="F937" s="26" t="n"/>
      <c r="G937" s="26" t="n"/>
      <c r="H937" s="26" t="n"/>
    </row>
    <row r="938" ht="15" customHeight="1">
      <c r="A938" s="26" t="n"/>
      <c r="B938" s="26" t="n"/>
      <c r="C938" s="26" t="n"/>
      <c r="D938" s="26" t="n"/>
      <c r="E938" s="26" t="n"/>
      <c r="F938" s="26" t="n"/>
      <c r="G938" s="26" t="n"/>
      <c r="H938" s="26" t="n"/>
    </row>
    <row r="939" ht="15" customHeight="1">
      <c r="A939" s="26" t="n"/>
      <c r="B939" s="26" t="n"/>
      <c r="C939" s="26" t="n"/>
      <c r="D939" s="26" t="n"/>
      <c r="E939" s="26" t="n"/>
      <c r="F939" s="26" t="n"/>
      <c r="G939" s="26" t="n"/>
      <c r="H939" s="26" t="n"/>
    </row>
    <row r="940" ht="15" customHeight="1">
      <c r="A940" s="26" t="n"/>
      <c r="B940" s="26" t="n"/>
      <c r="C940" s="26" t="n"/>
      <c r="D940" s="26" t="n"/>
      <c r="E940" s="26" t="n"/>
      <c r="F940" s="26" t="n"/>
      <c r="G940" s="26" t="n"/>
      <c r="H940" s="26" t="n"/>
    </row>
    <row r="941" ht="15" customHeight="1">
      <c r="A941" s="26" t="n"/>
      <c r="B941" s="26" t="n"/>
      <c r="C941" s="26" t="n"/>
      <c r="D941" s="26" t="n"/>
      <c r="E941" s="26" t="n"/>
      <c r="F941" s="26" t="n"/>
      <c r="G941" s="26" t="n"/>
      <c r="H941" s="26" t="n"/>
    </row>
    <row r="942" ht="15" customHeight="1">
      <c r="A942" s="26" t="n"/>
      <c r="B942" s="26" t="n"/>
      <c r="C942" s="26" t="n"/>
      <c r="D942" s="26" t="n"/>
      <c r="E942" s="26" t="n"/>
      <c r="F942" s="26" t="n"/>
      <c r="G942" s="26" t="n"/>
      <c r="H942" s="26" t="n"/>
    </row>
    <row r="943" ht="15" customHeight="1">
      <c r="A943" s="26" t="n"/>
      <c r="B943" s="26" t="n"/>
      <c r="C943" s="26" t="n"/>
      <c r="D943" s="26" t="n"/>
      <c r="E943" s="26" t="n"/>
      <c r="F943" s="26" t="n"/>
      <c r="G943" s="26" t="n"/>
      <c r="H943" s="26" t="n"/>
    </row>
    <row r="944" ht="15" customHeight="1">
      <c r="A944" s="26" t="n"/>
      <c r="B944" s="26" t="n"/>
      <c r="C944" s="26" t="n"/>
      <c r="D944" s="26" t="n"/>
      <c r="E944" s="26" t="n"/>
      <c r="F944" s="26" t="n"/>
      <c r="G944" s="26" t="n"/>
      <c r="H944" s="26" t="n"/>
    </row>
    <row r="945" ht="15" customHeight="1">
      <c r="A945" s="26" t="n"/>
      <c r="B945" s="26" t="n"/>
      <c r="C945" s="26" t="n"/>
      <c r="D945" s="26" t="n"/>
      <c r="E945" s="26" t="n"/>
      <c r="F945" s="26" t="n"/>
      <c r="G945" s="26" t="n"/>
      <c r="H945" s="26" t="n"/>
    </row>
    <row r="946" ht="15" customHeight="1">
      <c r="A946" s="26" t="n"/>
      <c r="B946" s="26" t="n"/>
      <c r="C946" s="26" t="n"/>
      <c r="D946" s="26" t="n"/>
      <c r="E946" s="26" t="n"/>
      <c r="F946" s="26" t="n"/>
      <c r="G946" s="26" t="n"/>
      <c r="H946" s="26" t="n"/>
    </row>
    <row r="947" ht="15" customHeight="1">
      <c r="A947" s="26" t="n"/>
      <c r="B947" s="26" t="n"/>
      <c r="C947" s="26" t="n"/>
      <c r="D947" s="26" t="n"/>
      <c r="E947" s="26" t="n"/>
      <c r="F947" s="26" t="n"/>
      <c r="G947" s="26" t="n"/>
      <c r="H947" s="26" t="n"/>
    </row>
    <row r="948" ht="15" customHeight="1">
      <c r="A948" s="26" t="n"/>
      <c r="B948" s="26" t="n"/>
      <c r="C948" s="26" t="n"/>
      <c r="D948" s="26" t="n"/>
      <c r="E948" s="26" t="n"/>
      <c r="F948" s="26" t="n"/>
      <c r="G948" s="26" t="n"/>
      <c r="H948" s="26" t="n"/>
    </row>
    <row r="949" ht="15" customHeight="1">
      <c r="A949" s="26" t="n"/>
      <c r="B949" s="26" t="n"/>
      <c r="C949" s="26" t="n"/>
      <c r="D949" s="26" t="n"/>
      <c r="E949" s="26" t="n"/>
      <c r="F949" s="26" t="n"/>
      <c r="G949" s="26" t="n"/>
      <c r="H949" s="26" t="n"/>
    </row>
    <row r="950" ht="15" customHeight="1">
      <c r="A950" s="26" t="n"/>
      <c r="B950" s="26" t="n"/>
      <c r="C950" s="26" t="n"/>
      <c r="D950" s="26" t="n"/>
      <c r="E950" s="26" t="n"/>
      <c r="F950" s="26" t="n"/>
      <c r="G950" s="26" t="n"/>
      <c r="H950" s="26" t="n"/>
    </row>
    <row r="951" ht="15" customHeight="1">
      <c r="A951" s="26" t="n"/>
      <c r="B951" s="26" t="n"/>
      <c r="C951" s="26" t="n"/>
      <c r="D951" s="26" t="n"/>
      <c r="E951" s="26" t="n"/>
      <c r="F951" s="26" t="n"/>
      <c r="G951" s="26" t="n"/>
      <c r="H951" s="26" t="n"/>
    </row>
    <row r="952" ht="15" customHeight="1">
      <c r="A952" s="26" t="n"/>
      <c r="B952" s="26" t="n"/>
      <c r="C952" s="26" t="n"/>
      <c r="D952" s="26" t="n"/>
      <c r="E952" s="26" t="n"/>
      <c r="F952" s="26" t="n"/>
      <c r="G952" s="26" t="n"/>
      <c r="H952" s="26" t="n"/>
    </row>
    <row r="953" ht="15" customHeight="1">
      <c r="A953" s="26" t="n"/>
      <c r="B953" s="26" t="n"/>
      <c r="C953" s="26" t="n"/>
      <c r="D953" s="26" t="n"/>
      <c r="E953" s="26" t="n"/>
      <c r="F953" s="26" t="n"/>
      <c r="G953" s="26" t="n"/>
      <c r="H953" s="26" t="n"/>
    </row>
    <row r="954" ht="15" customHeight="1">
      <c r="A954" s="26" t="n"/>
      <c r="B954" s="26" t="n"/>
      <c r="C954" s="26" t="n"/>
      <c r="D954" s="26" t="n"/>
      <c r="E954" s="26" t="n"/>
      <c r="F954" s="26" t="n"/>
      <c r="G954" s="26" t="n"/>
      <c r="H954" s="26" t="n"/>
    </row>
    <row r="955" ht="15" customHeight="1">
      <c r="A955" s="26" t="n"/>
      <c r="B955" s="26" t="n"/>
      <c r="C955" s="26" t="n"/>
      <c r="D955" s="26" t="n"/>
      <c r="E955" s="26" t="n"/>
      <c r="F955" s="26" t="n"/>
      <c r="G955" s="26" t="n"/>
      <c r="H955" s="26" t="n"/>
    </row>
    <row r="956" ht="15" customHeight="1">
      <c r="A956" s="26" t="n"/>
      <c r="B956" s="26" t="n"/>
      <c r="C956" s="26" t="n"/>
      <c r="D956" s="26" t="n"/>
      <c r="E956" s="26" t="n"/>
      <c r="F956" s="26" t="n"/>
      <c r="G956" s="26" t="n"/>
      <c r="H956" s="26" t="n"/>
    </row>
    <row r="957" ht="15" customHeight="1">
      <c r="A957" s="26" t="n"/>
      <c r="B957" s="26" t="n"/>
      <c r="C957" s="26" t="n"/>
      <c r="D957" s="26" t="n"/>
      <c r="E957" s="26" t="n"/>
      <c r="F957" s="26" t="n"/>
      <c r="G957" s="26" t="n"/>
      <c r="H957" s="26" t="n"/>
    </row>
    <row r="958" ht="15" customHeight="1">
      <c r="A958" s="26" t="n"/>
      <c r="B958" s="26" t="n"/>
      <c r="C958" s="26" t="n"/>
      <c r="D958" s="26" t="n"/>
      <c r="E958" s="26" t="n"/>
      <c r="F958" s="26" t="n"/>
      <c r="G958" s="26" t="n"/>
      <c r="H958" s="26" t="n"/>
    </row>
    <row r="959" ht="15" customHeight="1">
      <c r="A959" s="26" t="n"/>
      <c r="B959" s="26" t="n"/>
      <c r="C959" s="26" t="n"/>
      <c r="D959" s="26" t="n"/>
      <c r="E959" s="26" t="n"/>
      <c r="F959" s="26" t="n"/>
      <c r="G959" s="26" t="n"/>
      <c r="H959" s="26" t="n"/>
    </row>
    <row r="960" ht="15" customHeight="1">
      <c r="A960" s="26" t="n"/>
      <c r="B960" s="26" t="n"/>
      <c r="C960" s="26" t="n"/>
      <c r="D960" s="26" t="n"/>
      <c r="E960" s="26" t="n"/>
      <c r="F960" s="26" t="n"/>
      <c r="G960" s="26" t="n"/>
      <c r="H960" s="26" t="n"/>
    </row>
    <row r="961" ht="15" customHeight="1">
      <c r="A961" s="26" t="n"/>
      <c r="B961" s="26" t="n"/>
      <c r="C961" s="26" t="n"/>
      <c r="D961" s="26" t="n"/>
      <c r="E961" s="26" t="n"/>
      <c r="F961" s="26" t="n"/>
      <c r="G961" s="26" t="n"/>
      <c r="H961" s="26" t="n"/>
    </row>
    <row r="962" ht="15" customHeight="1">
      <c r="A962" s="26" t="n"/>
      <c r="B962" s="26" t="n"/>
      <c r="C962" s="26" t="n"/>
      <c r="D962" s="26" t="n"/>
      <c r="E962" s="26" t="n"/>
      <c r="F962" s="26" t="n"/>
      <c r="G962" s="26" t="n"/>
      <c r="H962" s="26" t="n"/>
    </row>
    <row r="963" ht="15" customHeight="1">
      <c r="A963" s="26" t="n"/>
      <c r="B963" s="26" t="n"/>
      <c r="C963" s="26" t="n"/>
      <c r="D963" s="26" t="n"/>
      <c r="E963" s="26" t="n"/>
      <c r="F963" s="26" t="n"/>
      <c r="G963" s="26" t="n"/>
      <c r="H963" s="26" t="n"/>
    </row>
    <row r="964" ht="15" customHeight="1">
      <c r="A964" s="26" t="n"/>
      <c r="B964" s="26" t="n"/>
      <c r="C964" s="26" t="n"/>
      <c r="D964" s="26" t="n"/>
      <c r="E964" s="26" t="n"/>
      <c r="F964" s="26" t="n"/>
      <c r="G964" s="26" t="n"/>
      <c r="H964" s="26" t="n"/>
    </row>
    <row r="965" ht="15" customHeight="1">
      <c r="A965" s="26" t="n"/>
      <c r="B965" s="26" t="n"/>
      <c r="C965" s="26" t="n"/>
      <c r="D965" s="26" t="n"/>
      <c r="E965" s="26" t="n"/>
      <c r="F965" s="26" t="n"/>
      <c r="G965" s="26" t="n"/>
      <c r="H965" s="26" t="n"/>
    </row>
    <row r="966" ht="15" customHeight="1">
      <c r="A966" s="26" t="n"/>
      <c r="B966" s="26" t="n"/>
      <c r="C966" s="26" t="n"/>
      <c r="D966" s="26" t="n"/>
      <c r="E966" s="26" t="n"/>
      <c r="F966" s="26" t="n"/>
      <c r="G966" s="26" t="n"/>
      <c r="H966" s="26" t="n"/>
    </row>
    <row r="967" ht="15" customHeight="1">
      <c r="A967" s="26" t="n"/>
      <c r="B967" s="26" t="n"/>
      <c r="C967" s="26" t="n"/>
      <c r="D967" s="26" t="n"/>
      <c r="E967" s="26" t="n"/>
      <c r="F967" s="26" t="n"/>
      <c r="G967" s="26" t="n"/>
      <c r="H967" s="26" t="n"/>
    </row>
    <row r="968" ht="15" customHeight="1">
      <c r="A968" s="26" t="n"/>
      <c r="B968" s="26" t="n"/>
      <c r="C968" s="26" t="n"/>
      <c r="D968" s="26" t="n"/>
      <c r="E968" s="26" t="n"/>
      <c r="F968" s="26" t="n"/>
      <c r="G968" s="26" t="n"/>
      <c r="H968" s="26" t="n"/>
    </row>
    <row r="969" ht="15" customHeight="1">
      <c r="A969" s="26" t="n"/>
      <c r="B969" s="26" t="n"/>
      <c r="C969" s="26" t="n"/>
      <c r="D969" s="26" t="n"/>
      <c r="E969" s="26" t="n"/>
      <c r="F969" s="26" t="n"/>
      <c r="G969" s="26" t="n"/>
      <c r="H969" s="26" t="n"/>
    </row>
    <row r="970" ht="15" customHeight="1">
      <c r="A970" s="26" t="n"/>
      <c r="B970" s="26" t="n"/>
      <c r="C970" s="26" t="n"/>
      <c r="D970" s="26" t="n"/>
      <c r="E970" s="26" t="n"/>
      <c r="F970" s="26" t="n"/>
      <c r="G970" s="26" t="n"/>
      <c r="H970" s="26" t="n"/>
    </row>
    <row r="971" ht="15" customHeight="1">
      <c r="A971" s="26" t="n"/>
      <c r="B971" s="26" t="n"/>
      <c r="C971" s="26" t="n"/>
      <c r="D971" s="26" t="n"/>
      <c r="E971" s="26" t="n"/>
      <c r="F971" s="26" t="n"/>
      <c r="G971" s="26" t="n"/>
      <c r="H971" s="26" t="n"/>
    </row>
    <row r="972" ht="15" customHeight="1">
      <c r="A972" s="26" t="n"/>
      <c r="B972" s="26" t="n"/>
      <c r="C972" s="26" t="n"/>
      <c r="D972" s="26" t="n"/>
      <c r="E972" s="26" t="n"/>
      <c r="F972" s="26" t="n"/>
      <c r="G972" s="26" t="n"/>
      <c r="H972" s="26" t="n"/>
    </row>
    <row r="973" ht="15" customHeight="1">
      <c r="A973" s="26" t="n"/>
      <c r="B973" s="26" t="n"/>
      <c r="C973" s="26" t="n"/>
      <c r="D973" s="26" t="n"/>
      <c r="E973" s="26" t="n"/>
      <c r="F973" s="26" t="n"/>
      <c r="G973" s="26" t="n"/>
      <c r="H973" s="26" t="n"/>
    </row>
    <row r="974" ht="15" customHeight="1">
      <c r="A974" s="26" t="n"/>
      <c r="B974" s="26" t="n"/>
      <c r="C974" s="26" t="n"/>
      <c r="D974" s="26" t="n"/>
      <c r="E974" s="26" t="n"/>
      <c r="F974" s="26" t="n"/>
      <c r="G974" s="26" t="n"/>
      <c r="H974" s="26" t="n"/>
    </row>
    <row r="975" ht="15" customHeight="1">
      <c r="A975" s="26" t="n"/>
      <c r="B975" s="26" t="n"/>
      <c r="C975" s="26" t="n"/>
      <c r="D975" s="26" t="n"/>
      <c r="E975" s="26" t="n"/>
      <c r="F975" s="26" t="n"/>
      <c r="G975" s="26" t="n"/>
      <c r="H975" s="26" t="n"/>
    </row>
    <row r="976" ht="15" customHeight="1">
      <c r="A976" s="26" t="n"/>
      <c r="B976" s="26" t="n"/>
      <c r="C976" s="26" t="n"/>
      <c r="D976" s="26" t="n"/>
      <c r="E976" s="26" t="n"/>
      <c r="F976" s="26" t="n"/>
      <c r="G976" s="26" t="n"/>
      <c r="H976" s="26" t="n"/>
    </row>
    <row r="977" ht="15" customHeight="1">
      <c r="A977" s="26" t="n"/>
      <c r="B977" s="26" t="n"/>
      <c r="C977" s="26" t="n"/>
      <c r="D977" s="26" t="n"/>
      <c r="E977" s="26" t="n"/>
      <c r="F977" s="26" t="n"/>
      <c r="G977" s="26" t="n"/>
      <c r="H977" s="26" t="n"/>
    </row>
    <row r="978" ht="15" customHeight="1">
      <c r="A978" s="26" t="n"/>
      <c r="B978" s="26" t="n"/>
      <c r="C978" s="26" t="n"/>
      <c r="D978" s="26" t="n"/>
      <c r="E978" s="26" t="n"/>
      <c r="F978" s="26" t="n"/>
      <c r="G978" s="26" t="n"/>
      <c r="H978" s="26" t="n"/>
    </row>
    <row r="979" ht="15" customHeight="1">
      <c r="A979" s="26" t="n"/>
      <c r="B979" s="26" t="n"/>
      <c r="C979" s="26" t="n"/>
      <c r="D979" s="26" t="n"/>
      <c r="E979" s="26" t="n"/>
      <c r="F979" s="26" t="n"/>
      <c r="G979" s="26" t="n"/>
      <c r="H979" s="26" t="n"/>
    </row>
    <row r="980" ht="15" customHeight="1">
      <c r="A980" s="26" t="n"/>
      <c r="B980" s="26" t="n"/>
      <c r="C980" s="26" t="n"/>
      <c r="D980" s="26" t="n"/>
      <c r="E980" s="26" t="n"/>
      <c r="F980" s="26" t="n"/>
      <c r="G980" s="26" t="n"/>
      <c r="H980" s="26" t="n"/>
    </row>
    <row r="981" ht="15" customHeight="1">
      <c r="A981" s="26" t="n"/>
      <c r="B981" s="26" t="n"/>
      <c r="C981" s="26" t="n"/>
      <c r="D981" s="26" t="n"/>
      <c r="E981" s="26" t="n"/>
      <c r="F981" s="26" t="n"/>
      <c r="G981" s="26" t="n"/>
      <c r="H981" s="26" t="n"/>
    </row>
    <row r="982" ht="15" customHeight="1">
      <c r="A982" s="26" t="n"/>
      <c r="B982" s="26" t="n"/>
      <c r="C982" s="26" t="n"/>
      <c r="D982" s="26" t="n"/>
      <c r="E982" s="26" t="n"/>
      <c r="F982" s="26" t="n"/>
      <c r="G982" s="26" t="n"/>
      <c r="H982" s="26" t="n"/>
    </row>
    <row r="983" ht="15" customHeight="1">
      <c r="A983" s="26" t="n"/>
      <c r="B983" s="26" t="n"/>
      <c r="C983" s="26" t="n"/>
      <c r="D983" s="26" t="n"/>
      <c r="E983" s="26" t="n"/>
      <c r="F983" s="26" t="n"/>
      <c r="G983" s="26" t="n"/>
      <c r="H983" s="26" t="n"/>
    </row>
    <row r="984" ht="15" customHeight="1">
      <c r="A984" s="26" t="n"/>
      <c r="B984" s="26" t="n"/>
      <c r="C984" s="26" t="n"/>
      <c r="D984" s="26" t="n"/>
      <c r="E984" s="26" t="n"/>
      <c r="F984" s="26" t="n"/>
      <c r="G984" s="26" t="n"/>
      <c r="H984" s="26" t="n"/>
    </row>
    <row r="985" ht="15" customHeight="1">
      <c r="A985" s="26" t="n"/>
      <c r="B985" s="26" t="n"/>
      <c r="C985" s="26" t="n"/>
      <c r="D985" s="26" t="n"/>
      <c r="E985" s="26" t="n"/>
      <c r="F985" s="26" t="n"/>
      <c r="G985" s="26" t="n"/>
      <c r="H985" s="26" t="n"/>
    </row>
    <row r="986" ht="15" customHeight="1">
      <c r="A986" s="26" t="n"/>
      <c r="B986" s="26" t="n"/>
      <c r="C986" s="26" t="n"/>
      <c r="D986" s="26" t="n"/>
      <c r="E986" s="26" t="n"/>
      <c r="F986" s="26" t="n"/>
      <c r="G986" s="26" t="n"/>
      <c r="H986" s="26" t="n"/>
    </row>
    <row r="987" ht="15" customHeight="1">
      <c r="A987" s="26" t="n"/>
      <c r="B987" s="26" t="n"/>
      <c r="C987" s="26" t="n"/>
      <c r="D987" s="26" t="n"/>
      <c r="E987" s="26" t="n"/>
      <c r="F987" s="26" t="n"/>
      <c r="G987" s="26" t="n"/>
      <c r="H987" s="26" t="n"/>
    </row>
    <row r="988" ht="15" customHeight="1">
      <c r="A988" s="26" t="n"/>
      <c r="B988" s="26" t="n"/>
      <c r="C988" s="26" t="n"/>
      <c r="D988" s="26" t="n"/>
      <c r="E988" s="26" t="n"/>
      <c r="F988" s="26" t="n"/>
      <c r="G988" s="26" t="n"/>
      <c r="H988" s="26" t="n"/>
    </row>
    <row r="989" ht="15" customHeight="1">
      <c r="A989" s="26" t="n"/>
      <c r="B989" s="26" t="n"/>
      <c r="C989" s="26" t="n"/>
      <c r="D989" s="26" t="n"/>
      <c r="E989" s="26" t="n"/>
      <c r="F989" s="26" t="n"/>
      <c r="G989" s="26" t="n"/>
      <c r="H989" s="26" t="n"/>
    </row>
    <row r="990" ht="15" customHeight="1">
      <c r="A990" s="26" t="n"/>
      <c r="B990" s="26" t="n"/>
      <c r="C990" s="26" t="n"/>
      <c r="D990" s="26" t="n"/>
      <c r="E990" s="26" t="n"/>
      <c r="F990" s="26" t="n"/>
      <c r="G990" s="26" t="n"/>
      <c r="H990" s="26" t="n"/>
    </row>
    <row r="991" ht="15" customHeight="1">
      <c r="A991" s="26" t="n"/>
      <c r="B991" s="26" t="n"/>
      <c r="C991" s="26" t="n"/>
      <c r="D991" s="26" t="n"/>
      <c r="E991" s="26" t="n"/>
      <c r="F991" s="26" t="n"/>
      <c r="G991" s="26" t="n"/>
      <c r="H991" s="26" t="n"/>
    </row>
    <row r="992" ht="15" customHeight="1">
      <c r="A992" s="26" t="n"/>
      <c r="B992" s="26" t="n"/>
      <c r="C992" s="26" t="n"/>
      <c r="D992" s="26" t="n"/>
      <c r="E992" s="26" t="n"/>
      <c r="F992" s="26" t="n"/>
      <c r="G992" s="26" t="n"/>
      <c r="H992" s="26" t="n"/>
    </row>
    <row r="993" ht="15" customHeight="1">
      <c r="A993" s="26" t="n"/>
      <c r="B993" s="26" t="n"/>
      <c r="C993" s="26" t="n"/>
      <c r="D993" s="26" t="n"/>
      <c r="E993" s="26" t="n"/>
      <c r="F993" s="26" t="n"/>
      <c r="G993" s="26" t="n"/>
      <c r="H993" s="26" t="n"/>
    </row>
    <row r="994" ht="15" customHeight="1">
      <c r="A994" s="26" t="n"/>
      <c r="B994" s="26" t="n"/>
      <c r="C994" s="26" t="n"/>
      <c r="D994" s="26" t="n"/>
      <c r="E994" s="26" t="n"/>
      <c r="F994" s="26" t="n"/>
      <c r="G994" s="26" t="n"/>
      <c r="H994" s="26" t="n"/>
    </row>
    <row r="995" ht="15" customHeight="1">
      <c r="A995" s="26" t="n"/>
      <c r="B995" s="26" t="n"/>
      <c r="C995" s="26" t="n"/>
      <c r="D995" s="26" t="n"/>
      <c r="E995" s="26" t="n"/>
      <c r="F995" s="26" t="n"/>
      <c r="G995" s="26" t="n"/>
      <c r="H995" s="26" t="n"/>
    </row>
    <row r="996" ht="15" customHeight="1">
      <c r="A996" s="26" t="n"/>
      <c r="B996" s="26" t="n"/>
      <c r="C996" s="26" t="n"/>
      <c r="D996" s="26" t="n"/>
      <c r="E996" s="26" t="n"/>
      <c r="F996" s="26" t="n"/>
      <c r="G996" s="26" t="n"/>
      <c r="H996" s="26" t="n"/>
    </row>
    <row r="997" ht="15" customHeight="1">
      <c r="A997" s="26" t="n"/>
      <c r="B997" s="26" t="n"/>
      <c r="C997" s="26" t="n"/>
      <c r="D997" s="26" t="n"/>
      <c r="E997" s="26" t="n"/>
      <c r="F997" s="26" t="n"/>
      <c r="G997" s="26" t="n"/>
      <c r="H997" s="26" t="n"/>
    </row>
    <row r="998" ht="15" customHeight="1">
      <c r="A998" s="26" t="n"/>
      <c r="B998" s="26" t="n"/>
      <c r="C998" s="26" t="n"/>
      <c r="D998" s="26" t="n"/>
      <c r="E998" s="26" t="n"/>
      <c r="F998" s="26" t="n"/>
      <c r="G998" s="26" t="n"/>
      <c r="H998" s="26" t="n"/>
    </row>
    <row r="999" ht="15" customHeight="1">
      <c r="A999" s="26" t="n"/>
      <c r="B999" s="26" t="n"/>
      <c r="C999" s="26" t="n"/>
      <c r="D999" s="26" t="n"/>
      <c r="E999" s="26" t="n"/>
      <c r="F999" s="26" t="n"/>
      <c r="G999" s="26" t="n"/>
      <c r="H999" s="26" t="n"/>
    </row>
    <row r="1000" ht="15" customHeight="1">
      <c r="A1000" s="26" t="n"/>
      <c r="B1000" s="26" t="n"/>
      <c r="C1000" s="26" t="n"/>
      <c r="D1000" s="26" t="n"/>
      <c r="E1000" s="26" t="n"/>
      <c r="F1000" s="26" t="n"/>
      <c r="G1000" s="26" t="n"/>
      <c r="H1000" s="26" t="n"/>
    </row>
    <row r="1001" ht="15" customHeight="1">
      <c r="A1001" s="26" t="n"/>
      <c r="B1001" s="26" t="n"/>
      <c r="C1001" s="26" t="n"/>
      <c r="D1001" s="26" t="n"/>
      <c r="E1001" s="26" t="n"/>
      <c r="F1001" s="26" t="n"/>
      <c r="G1001" s="26" t="n"/>
      <c r="H1001" s="26" t="n"/>
    </row>
    <row r="1002" ht="15" customHeight="1">
      <c r="A1002" s="26" t="n"/>
      <c r="B1002" s="26" t="n"/>
      <c r="C1002" s="26" t="n"/>
      <c r="D1002" s="26" t="n"/>
      <c r="E1002" s="26" t="n"/>
      <c r="F1002" s="26" t="n"/>
      <c r="G1002" s="26" t="n"/>
      <c r="H1002" s="26" t="n"/>
    </row>
    <row r="1003" ht="15" customHeight="1">
      <c r="A1003" s="26" t="n"/>
      <c r="B1003" s="26" t="n"/>
      <c r="C1003" s="26" t="n"/>
      <c r="D1003" s="26" t="n"/>
      <c r="E1003" s="26" t="n"/>
      <c r="F1003" s="26" t="n"/>
      <c r="G1003" s="26" t="n"/>
      <c r="H1003" s="26" t="n"/>
    </row>
    <row r="1004" ht="15" customHeight="1">
      <c r="A1004" s="26" t="n"/>
      <c r="B1004" s="26" t="n"/>
      <c r="C1004" s="26" t="n"/>
      <c r="D1004" s="26" t="n"/>
      <c r="E1004" s="26" t="n"/>
      <c r="F1004" s="26" t="n"/>
      <c r="G1004" s="26" t="n"/>
      <c r="H1004" s="26" t="n"/>
    </row>
    <row r="1005" ht="15" customHeight="1">
      <c r="A1005" s="26" t="n"/>
      <c r="B1005" s="26" t="n"/>
      <c r="C1005" s="26" t="n"/>
      <c r="D1005" s="26" t="n"/>
      <c r="E1005" s="26" t="n"/>
      <c r="F1005" s="26" t="n"/>
      <c r="G1005" s="26" t="n"/>
      <c r="H1005" s="26" t="n"/>
    </row>
    <row r="1006" ht="15" customHeight="1">
      <c r="A1006" s="26" t="n"/>
      <c r="B1006" s="26" t="n"/>
      <c r="C1006" s="26" t="n"/>
      <c r="D1006" s="26" t="n"/>
      <c r="E1006" s="26" t="n"/>
      <c r="F1006" s="26" t="n"/>
      <c r="G1006" s="26" t="n"/>
      <c r="H1006" s="26" t="n"/>
    </row>
    <row r="1007" ht="15" customHeight="1">
      <c r="A1007" s="26" t="n"/>
      <c r="B1007" s="26" t="n"/>
      <c r="C1007" s="26" t="n"/>
      <c r="D1007" s="26" t="n"/>
      <c r="E1007" s="26" t="n"/>
      <c r="F1007" s="26" t="n"/>
      <c r="G1007" s="26" t="n"/>
      <c r="H1007" s="26" t="n"/>
    </row>
    <row r="1008" ht="15" customHeight="1">
      <c r="A1008" s="26" t="n"/>
      <c r="B1008" s="26" t="n"/>
      <c r="C1008" s="26" t="n"/>
      <c r="D1008" s="26" t="n"/>
      <c r="E1008" s="26" t="n"/>
      <c r="F1008" s="26" t="n"/>
      <c r="G1008" s="26" t="n"/>
      <c r="H1008" s="26" t="n"/>
    </row>
    <row r="1009" ht="15" customHeight="1">
      <c r="A1009" s="26" t="n"/>
      <c r="B1009" s="26" t="n"/>
      <c r="C1009" s="26" t="n"/>
      <c r="D1009" s="26" t="n"/>
      <c r="E1009" s="26" t="n"/>
      <c r="F1009" s="26" t="n"/>
      <c r="G1009" s="26" t="n"/>
      <c r="H1009" s="26" t="n"/>
    </row>
    <row r="1010" ht="15" customHeight="1">
      <c r="A1010" s="26" t="n"/>
      <c r="B1010" s="26" t="n"/>
      <c r="C1010" s="26" t="n"/>
      <c r="D1010" s="26" t="n"/>
      <c r="E1010" s="26" t="n"/>
      <c r="F1010" s="26" t="n"/>
      <c r="G1010" s="26" t="n"/>
      <c r="H1010" s="26" t="n"/>
    </row>
    <row r="1011" ht="15" customHeight="1">
      <c r="A1011" s="26" t="n"/>
      <c r="B1011" s="26" t="n"/>
      <c r="C1011" s="26" t="n"/>
      <c r="D1011" s="26" t="n"/>
      <c r="E1011" s="26" t="n"/>
      <c r="F1011" s="26" t="n"/>
      <c r="G1011" s="26" t="n"/>
      <c r="H1011" s="26" t="n"/>
    </row>
    <row r="1012" ht="15" customHeight="1">
      <c r="A1012" s="26" t="n"/>
      <c r="B1012" s="26" t="n"/>
      <c r="C1012" s="26" t="n"/>
      <c r="D1012" s="26" t="n"/>
      <c r="E1012" s="26" t="n"/>
      <c r="F1012" s="26" t="n"/>
      <c r="G1012" s="26" t="n"/>
      <c r="H1012" s="26" t="n"/>
    </row>
    <row r="1013" ht="15" customHeight="1">
      <c r="A1013" s="26" t="n"/>
      <c r="B1013" s="26" t="n"/>
      <c r="C1013" s="26" t="n"/>
      <c r="D1013" s="26" t="n"/>
      <c r="E1013" s="26" t="n"/>
      <c r="F1013" s="26" t="n"/>
      <c r="G1013" s="26" t="n"/>
      <c r="H1013" s="26" t="n"/>
    </row>
    <row r="1014" ht="15" customHeight="1">
      <c r="A1014" s="26" t="n"/>
      <c r="B1014" s="26" t="n"/>
      <c r="C1014" s="26" t="n"/>
      <c r="D1014" s="26" t="n"/>
      <c r="E1014" s="26" t="n"/>
      <c r="F1014" s="26" t="n"/>
      <c r="G1014" s="26" t="n"/>
      <c r="H1014" s="26" t="n"/>
    </row>
    <row r="1015" ht="15" customHeight="1">
      <c r="A1015" s="26" t="n"/>
      <c r="B1015" s="26" t="n"/>
      <c r="C1015" s="26" t="n"/>
      <c r="D1015" s="26" t="n"/>
      <c r="E1015" s="26" t="n"/>
      <c r="F1015" s="26" t="n"/>
      <c r="G1015" s="26" t="n"/>
      <c r="H1015" s="26" t="n"/>
    </row>
    <row r="1016" ht="15" customHeight="1">
      <c r="A1016" s="26" t="n"/>
      <c r="B1016" s="26" t="n"/>
      <c r="C1016" s="26" t="n"/>
      <c r="D1016" s="26" t="n"/>
      <c r="E1016" s="26" t="n"/>
      <c r="F1016" s="26" t="n"/>
      <c r="G1016" s="26" t="n"/>
      <c r="H1016" s="26" t="n"/>
    </row>
    <row r="1017" ht="15" customHeight="1">
      <c r="A1017" s="26" t="n"/>
      <c r="B1017" s="26" t="n"/>
      <c r="C1017" s="26" t="n"/>
      <c r="D1017" s="26" t="n"/>
      <c r="E1017" s="26" t="n"/>
      <c r="F1017" s="26" t="n"/>
      <c r="G1017" s="26" t="n"/>
      <c r="H1017" s="26" t="n"/>
    </row>
    <row r="1018" ht="15" customHeight="1">
      <c r="A1018" s="26" t="n"/>
      <c r="B1018" s="26" t="n"/>
      <c r="C1018" s="26" t="n"/>
      <c r="D1018" s="26" t="n"/>
      <c r="E1018" s="26" t="n"/>
      <c r="F1018" s="26" t="n"/>
      <c r="G1018" s="26" t="n"/>
      <c r="H1018" s="26" t="n"/>
    </row>
    <row r="1019" ht="15" customHeight="1">
      <c r="A1019" s="26" t="n"/>
      <c r="B1019" s="26" t="n"/>
      <c r="C1019" s="26" t="n"/>
      <c r="D1019" s="26" t="n"/>
      <c r="E1019" s="26" t="n"/>
      <c r="F1019" s="26" t="n"/>
      <c r="G1019" s="26" t="n"/>
      <c r="H1019" s="26" t="n"/>
    </row>
    <row r="1020" ht="15" customHeight="1">
      <c r="A1020" s="26" t="n"/>
      <c r="B1020" s="26" t="n"/>
      <c r="C1020" s="26" t="n"/>
      <c r="D1020" s="26" t="n"/>
      <c r="E1020" s="26" t="n"/>
      <c r="F1020" s="26" t="n"/>
      <c r="G1020" s="26" t="n"/>
      <c r="H1020" s="26" t="n"/>
    </row>
    <row r="1021" ht="15" customHeight="1">
      <c r="A1021" s="26" t="n"/>
      <c r="B1021" s="26" t="n"/>
      <c r="C1021" s="26" t="n"/>
      <c r="D1021" s="26" t="n"/>
      <c r="E1021" s="26" t="n"/>
      <c r="F1021" s="26" t="n"/>
      <c r="G1021" s="26" t="n"/>
      <c r="H1021" s="26" t="n"/>
    </row>
    <row r="1022" ht="15" customHeight="1">
      <c r="A1022" s="26" t="n"/>
      <c r="B1022" s="26" t="n"/>
      <c r="C1022" s="26" t="n"/>
      <c r="D1022" s="26" t="n"/>
      <c r="E1022" s="26" t="n"/>
      <c r="F1022" s="26" t="n"/>
      <c r="G1022" s="26" t="n"/>
      <c r="H1022" s="26" t="n"/>
    </row>
    <row r="1023" ht="15" customHeight="1">
      <c r="A1023" s="26" t="n"/>
      <c r="B1023" s="26" t="n"/>
      <c r="C1023" s="26" t="n"/>
      <c r="D1023" s="26" t="n"/>
      <c r="E1023" s="26" t="n"/>
      <c r="F1023" s="26" t="n"/>
      <c r="G1023" s="26" t="n"/>
      <c r="H1023" s="26" t="n"/>
    </row>
    <row r="1024" ht="15" customHeight="1">
      <c r="A1024" s="26" t="n"/>
      <c r="B1024" s="26" t="n"/>
      <c r="C1024" s="26" t="n"/>
      <c r="D1024" s="26" t="n"/>
      <c r="E1024" s="26" t="n"/>
      <c r="F1024" s="26" t="n"/>
      <c r="G1024" s="26" t="n"/>
      <c r="H1024" s="26" t="n"/>
    </row>
    <row r="1025" ht="15" customHeight="1">
      <c r="A1025" s="26" t="n"/>
      <c r="B1025" s="26" t="n"/>
      <c r="C1025" s="26" t="n"/>
      <c r="D1025" s="26" t="n"/>
      <c r="E1025" s="26" t="n"/>
      <c r="F1025" s="26" t="n"/>
      <c r="G1025" s="26" t="n"/>
      <c r="H1025" s="26" t="n"/>
    </row>
    <row r="1026" ht="15" customHeight="1">
      <c r="A1026" s="26" t="n"/>
      <c r="B1026" s="26" t="n"/>
      <c r="C1026" s="26" t="n"/>
      <c r="D1026" s="26" t="n"/>
      <c r="E1026" s="26" t="n"/>
      <c r="F1026" s="26" t="n"/>
      <c r="G1026" s="26" t="n"/>
      <c r="H1026" s="26" t="n"/>
    </row>
    <row r="1027" ht="15" customHeight="1">
      <c r="A1027" s="26" t="n"/>
      <c r="B1027" s="26" t="n"/>
      <c r="C1027" s="26" t="n"/>
      <c r="D1027" s="26" t="n"/>
      <c r="E1027" s="26" t="n"/>
      <c r="F1027" s="26" t="n"/>
      <c r="G1027" s="26" t="n"/>
      <c r="H1027" s="26" t="n"/>
    </row>
    <row r="1028" ht="15" customHeight="1">
      <c r="A1028" s="26" t="n"/>
      <c r="B1028" s="26" t="n"/>
      <c r="C1028" s="26" t="n"/>
      <c r="D1028" s="26" t="n"/>
      <c r="E1028" s="26" t="n"/>
      <c r="F1028" s="26" t="n"/>
      <c r="G1028" s="26" t="n"/>
      <c r="H1028" s="26" t="n"/>
    </row>
    <row r="1029" ht="15" customHeight="1">
      <c r="A1029" s="26" t="n"/>
      <c r="B1029" s="26" t="n"/>
      <c r="C1029" s="26" t="n"/>
      <c r="D1029" s="26" t="n"/>
      <c r="E1029" s="26" t="n"/>
      <c r="F1029" s="26" t="n"/>
      <c r="G1029" s="26" t="n"/>
      <c r="H1029" s="26" t="n"/>
    </row>
    <row r="1030" ht="15" customHeight="1">
      <c r="A1030" s="26" t="n"/>
      <c r="B1030" s="26" t="n"/>
      <c r="C1030" s="26" t="n"/>
      <c r="D1030" s="26" t="n"/>
      <c r="E1030" s="26" t="n"/>
      <c r="F1030" s="26" t="n"/>
      <c r="G1030" s="26" t="n"/>
      <c r="H1030" s="26" t="n"/>
    </row>
    <row r="1031" ht="15" customHeight="1">
      <c r="A1031" s="26" t="n"/>
      <c r="B1031" s="26" t="n"/>
      <c r="C1031" s="26" t="n"/>
      <c r="D1031" s="26" t="n"/>
      <c r="E1031" s="26" t="n"/>
      <c r="F1031" s="26" t="n"/>
      <c r="G1031" s="26" t="n"/>
      <c r="H1031" s="26" t="n"/>
    </row>
    <row r="1032" ht="15" customHeight="1">
      <c r="A1032" s="26" t="n"/>
      <c r="B1032" s="26" t="n"/>
      <c r="C1032" s="26" t="n"/>
      <c r="D1032" s="26" t="n"/>
      <c r="E1032" s="26" t="n"/>
      <c r="F1032" s="26" t="n"/>
      <c r="G1032" s="26" t="n"/>
      <c r="H1032" s="26" t="n"/>
    </row>
    <row r="1033" ht="15" customHeight="1">
      <c r="A1033" s="26" t="n"/>
      <c r="B1033" s="26" t="n"/>
      <c r="C1033" s="26" t="n"/>
      <c r="D1033" s="26" t="n"/>
      <c r="E1033" s="26" t="n"/>
      <c r="F1033" s="26" t="n"/>
      <c r="G1033" s="26" t="n"/>
      <c r="H1033" s="26" t="n"/>
    </row>
    <row r="1034" ht="15" customHeight="1">
      <c r="A1034" s="26" t="n"/>
      <c r="B1034" s="26" t="n"/>
      <c r="C1034" s="26" t="n"/>
      <c r="D1034" s="26" t="n"/>
      <c r="E1034" s="26" t="n"/>
      <c r="F1034" s="26" t="n"/>
      <c r="G1034" s="26" t="n"/>
      <c r="H1034" s="26" t="n"/>
    </row>
    <row r="1035" ht="15" customHeight="1">
      <c r="A1035" s="26" t="n"/>
      <c r="B1035" s="26" t="n"/>
      <c r="C1035" s="26" t="n"/>
      <c r="D1035" s="26" t="n"/>
      <c r="E1035" s="26" t="n"/>
      <c r="F1035" s="26" t="n"/>
      <c r="G1035" s="26" t="n"/>
      <c r="H1035" s="26" t="n"/>
    </row>
    <row r="1036" ht="15" customHeight="1">
      <c r="A1036" s="26" t="n"/>
      <c r="B1036" s="26" t="n"/>
      <c r="C1036" s="26" t="n"/>
      <c r="D1036" s="26" t="n"/>
      <c r="E1036" s="26" t="n"/>
      <c r="F1036" s="26" t="n"/>
      <c r="G1036" s="26" t="n"/>
      <c r="H1036" s="26" t="n"/>
    </row>
    <row r="1037" ht="15" customHeight="1">
      <c r="A1037" s="26" t="n"/>
      <c r="B1037" s="26" t="n"/>
      <c r="C1037" s="26" t="n"/>
      <c r="D1037" s="26" t="n"/>
      <c r="E1037" s="26" t="n"/>
      <c r="F1037" s="26" t="n"/>
      <c r="G1037" s="26" t="n"/>
      <c r="H1037" s="26" t="n"/>
    </row>
    <row r="1038" ht="15" customHeight="1">
      <c r="A1038" s="26" t="n"/>
      <c r="B1038" s="26" t="n"/>
      <c r="C1038" s="26" t="n"/>
      <c r="D1038" s="26" t="n"/>
      <c r="E1038" s="26" t="n"/>
      <c r="F1038" s="26" t="n"/>
      <c r="G1038" s="26" t="n"/>
      <c r="H1038" s="26" t="n"/>
    </row>
    <row r="1039" ht="15" customHeight="1">
      <c r="A1039" s="26" t="n"/>
      <c r="B1039" s="26" t="n"/>
      <c r="C1039" s="26" t="n"/>
      <c r="D1039" s="26" t="n"/>
      <c r="E1039" s="26" t="n"/>
      <c r="F1039" s="26" t="n"/>
      <c r="G1039" s="26" t="n"/>
      <c r="H1039" s="26" t="n"/>
    </row>
    <row r="1040" ht="15" customHeight="1">
      <c r="A1040" s="26" t="n"/>
      <c r="B1040" s="26" t="n"/>
      <c r="C1040" s="26" t="n"/>
      <c r="D1040" s="26" t="n"/>
      <c r="E1040" s="26" t="n"/>
      <c r="F1040" s="26" t="n"/>
      <c r="G1040" s="26" t="n"/>
      <c r="H1040" s="26" t="n"/>
    </row>
    <row r="1041" ht="15" customHeight="1">
      <c r="A1041" s="26" t="n"/>
      <c r="B1041" s="26" t="n"/>
      <c r="C1041" s="26" t="n"/>
      <c r="D1041" s="26" t="n"/>
      <c r="E1041" s="26" t="n"/>
      <c r="F1041" s="26" t="n"/>
      <c r="G1041" s="26" t="n"/>
      <c r="H1041" s="26" t="n"/>
    </row>
    <row r="1042" ht="15" customHeight="1">
      <c r="A1042" s="26" t="n"/>
      <c r="B1042" s="26" t="n"/>
      <c r="C1042" s="26" t="n"/>
      <c r="D1042" s="26" t="n"/>
      <c r="E1042" s="26" t="n"/>
      <c r="F1042" s="26" t="n"/>
      <c r="G1042" s="26" t="n"/>
      <c r="H1042" s="26" t="n"/>
    </row>
    <row r="1043" ht="15" customHeight="1">
      <c r="A1043" s="26" t="n"/>
      <c r="B1043" s="26" t="n"/>
      <c r="C1043" s="26" t="n"/>
      <c r="D1043" s="26" t="n"/>
      <c r="E1043" s="26" t="n"/>
      <c r="F1043" s="26" t="n"/>
      <c r="G1043" s="26" t="n"/>
      <c r="H1043" s="26" t="n"/>
    </row>
    <row r="1044" ht="15" customHeight="1">
      <c r="A1044" s="26" t="n"/>
      <c r="B1044" s="26" t="n"/>
      <c r="C1044" s="26" t="n"/>
      <c r="D1044" s="26" t="n"/>
      <c r="E1044" s="26" t="n"/>
      <c r="F1044" s="26" t="n"/>
      <c r="G1044" s="26" t="n"/>
      <c r="H1044" s="26" t="n"/>
    </row>
    <row r="1045" ht="15" customHeight="1">
      <c r="A1045" s="26" t="n"/>
      <c r="B1045" s="26" t="n"/>
      <c r="C1045" s="26" t="n"/>
      <c r="D1045" s="26" t="n"/>
      <c r="E1045" s="26" t="n"/>
      <c r="F1045" s="26" t="n"/>
      <c r="G1045" s="26" t="n"/>
      <c r="H1045" s="26" t="n"/>
    </row>
    <row r="1046" ht="15" customHeight="1">
      <c r="A1046" s="26" t="n"/>
      <c r="B1046" s="26" t="n"/>
      <c r="C1046" s="26" t="n"/>
      <c r="D1046" s="26" t="n"/>
      <c r="E1046" s="26" t="n"/>
      <c r="F1046" s="26" t="n"/>
      <c r="G1046" s="26" t="n"/>
      <c r="H1046" s="26" t="n"/>
    </row>
    <row r="1047" ht="15" customHeight="1">
      <c r="A1047" s="26" t="n"/>
      <c r="B1047" s="26" t="n"/>
      <c r="C1047" s="26" t="n"/>
      <c r="D1047" s="26" t="n"/>
      <c r="E1047" s="26" t="n"/>
      <c r="F1047" s="26" t="n"/>
      <c r="G1047" s="26" t="n"/>
      <c r="H1047" s="26" t="n"/>
    </row>
    <row r="1048" ht="15" customHeight="1">
      <c r="A1048" s="26" t="n"/>
      <c r="B1048" s="26" t="n"/>
      <c r="C1048" s="26" t="n"/>
      <c r="D1048" s="26" t="n"/>
      <c r="E1048" s="26" t="n"/>
      <c r="F1048" s="26" t="n"/>
      <c r="G1048" s="26" t="n"/>
      <c r="H1048" s="26" t="n"/>
    </row>
    <row r="1049" ht="15" customHeight="1">
      <c r="A1049" s="26" t="n"/>
      <c r="B1049" s="26" t="n"/>
      <c r="C1049" s="26" t="n"/>
      <c r="D1049" s="26" t="n"/>
      <c r="E1049" s="26" t="n"/>
      <c r="F1049" s="26" t="n"/>
      <c r="G1049" s="26" t="n"/>
      <c r="H1049" s="26" t="n"/>
    </row>
    <row r="1050" ht="15" customHeight="1">
      <c r="A1050" s="26" t="n"/>
      <c r="B1050" s="26" t="n"/>
      <c r="C1050" s="26" t="n"/>
      <c r="D1050" s="26" t="n"/>
      <c r="E1050" s="26" t="n"/>
      <c r="F1050" s="26" t="n"/>
      <c r="G1050" s="26" t="n"/>
      <c r="H1050" s="26" t="n"/>
    </row>
    <row r="1051" ht="15" customHeight="1">
      <c r="A1051" s="26" t="n"/>
      <c r="B1051" s="26" t="n"/>
      <c r="C1051" s="26" t="n"/>
      <c r="D1051" s="26" t="n"/>
      <c r="E1051" s="26" t="n"/>
      <c r="F1051" s="26" t="n"/>
      <c r="G1051" s="26" t="n"/>
      <c r="H1051" s="26" t="n"/>
    </row>
    <row r="1052" ht="15" customHeight="1">
      <c r="A1052" s="26" t="n"/>
      <c r="B1052" s="26" t="n"/>
      <c r="C1052" s="26" t="n"/>
      <c r="D1052" s="26" t="n"/>
      <c r="E1052" s="26" t="n"/>
      <c r="F1052" s="26" t="n"/>
      <c r="G1052" s="26" t="n"/>
      <c r="H1052" s="26" t="n"/>
    </row>
    <row r="1053" ht="15" customHeight="1">
      <c r="A1053" s="26" t="n"/>
      <c r="B1053" s="26" t="n"/>
      <c r="C1053" s="26" t="n"/>
      <c r="D1053" s="26" t="n"/>
      <c r="E1053" s="26" t="n"/>
      <c r="F1053" s="26" t="n"/>
      <c r="G1053" s="26" t="n"/>
      <c r="H1053" s="26" t="n"/>
    </row>
    <row r="1054" ht="15" customHeight="1">
      <c r="A1054" s="26" t="n"/>
      <c r="B1054" s="26" t="n"/>
      <c r="C1054" s="26" t="n"/>
      <c r="D1054" s="26" t="n"/>
      <c r="E1054" s="26" t="n"/>
      <c r="F1054" s="26" t="n"/>
      <c r="G1054" s="26" t="n"/>
      <c r="H1054" s="26" t="n"/>
    </row>
    <row r="1055" ht="15" customHeight="1">
      <c r="A1055" s="26" t="n"/>
      <c r="B1055" s="26" t="n"/>
      <c r="C1055" s="26" t="n"/>
      <c r="D1055" s="26" t="n"/>
      <c r="E1055" s="26" t="n"/>
      <c r="F1055" s="26" t="n"/>
      <c r="G1055" s="26" t="n"/>
      <c r="H1055" s="26" t="n"/>
    </row>
    <row r="1056" ht="15" customHeight="1">
      <c r="A1056" s="26" t="n"/>
      <c r="B1056" s="26" t="n"/>
      <c r="C1056" s="26" t="n"/>
      <c r="D1056" s="26" t="n"/>
      <c r="E1056" s="26" t="n"/>
      <c r="F1056" s="26" t="n"/>
      <c r="G1056" s="26" t="n"/>
      <c r="H1056" s="26" t="n"/>
    </row>
    <row r="1057" ht="15" customHeight="1">
      <c r="A1057" s="26" t="n"/>
      <c r="B1057" s="26" t="n"/>
      <c r="C1057" s="26" t="n"/>
      <c r="D1057" s="26" t="n"/>
      <c r="E1057" s="26" t="n"/>
      <c r="F1057" s="26" t="n"/>
      <c r="G1057" s="26" t="n"/>
      <c r="H1057" s="26" t="n"/>
    </row>
    <row r="1058" ht="15" customHeight="1">
      <c r="A1058" s="26" t="n"/>
      <c r="B1058" s="26" t="n"/>
      <c r="C1058" s="26" t="n"/>
      <c r="D1058" s="26" t="n"/>
      <c r="E1058" s="26" t="n"/>
      <c r="F1058" s="26" t="n"/>
      <c r="G1058" s="26" t="n"/>
      <c r="H1058" s="26" t="n"/>
    </row>
    <row r="1059" ht="15" customHeight="1">
      <c r="A1059" s="26" t="n"/>
      <c r="B1059" s="26" t="n"/>
      <c r="C1059" s="26" t="n"/>
      <c r="D1059" s="26" t="n"/>
      <c r="E1059" s="26" t="n"/>
      <c r="F1059" s="26" t="n"/>
      <c r="G1059" s="26" t="n"/>
      <c r="H1059" s="26" t="n"/>
    </row>
    <row r="1060" ht="15" customHeight="1">
      <c r="A1060" s="26" t="n"/>
      <c r="B1060" s="26" t="n"/>
      <c r="C1060" s="26" t="n"/>
      <c r="D1060" s="26" t="n"/>
      <c r="E1060" s="26" t="n"/>
      <c r="F1060" s="26" t="n"/>
      <c r="G1060" s="26" t="n"/>
      <c r="H1060" s="26" t="n"/>
    </row>
    <row r="1061" ht="15" customHeight="1">
      <c r="A1061" s="26" t="n"/>
      <c r="B1061" s="26" t="n"/>
      <c r="C1061" s="26" t="n"/>
      <c r="D1061" s="26" t="n"/>
      <c r="E1061" s="26" t="n"/>
      <c r="F1061" s="26" t="n"/>
      <c r="G1061" s="26" t="n"/>
      <c r="H1061" s="26" t="n"/>
    </row>
    <row r="1062" ht="15" customHeight="1">
      <c r="A1062" s="26" t="n"/>
      <c r="B1062" s="26" t="n"/>
      <c r="C1062" s="26" t="n"/>
      <c r="D1062" s="26" t="n"/>
      <c r="E1062" s="26" t="n"/>
      <c r="F1062" s="26" t="n"/>
      <c r="G1062" s="26" t="n"/>
      <c r="H1062" s="26" t="n"/>
    </row>
    <row r="1063" ht="15" customHeight="1">
      <c r="A1063" s="26" t="n"/>
      <c r="B1063" s="26" t="n"/>
      <c r="C1063" s="26" t="n"/>
      <c r="D1063" s="26" t="n"/>
      <c r="E1063" s="26" t="n"/>
      <c r="F1063" s="26" t="n"/>
      <c r="G1063" s="26" t="n"/>
      <c r="H1063" s="26" t="n"/>
    </row>
    <row r="1064" ht="15" customHeight="1">
      <c r="A1064" s="26" t="n"/>
      <c r="B1064" s="26" t="n"/>
      <c r="C1064" s="26" t="n"/>
      <c r="D1064" s="26" t="n"/>
      <c r="E1064" s="26" t="n"/>
      <c r="F1064" s="26" t="n"/>
      <c r="G1064" s="26" t="n"/>
      <c r="H1064" s="26" t="n"/>
    </row>
    <row r="1065" ht="15" customHeight="1">
      <c r="A1065" s="26" t="n"/>
      <c r="B1065" s="26" t="n"/>
      <c r="C1065" s="26" t="n"/>
      <c r="D1065" s="26" t="n"/>
      <c r="E1065" s="26" t="n"/>
      <c r="F1065" s="26" t="n"/>
      <c r="G1065" s="26" t="n"/>
      <c r="H1065" s="26" t="n"/>
    </row>
    <row r="1066" ht="15" customHeight="1">
      <c r="A1066" s="26" t="n"/>
      <c r="B1066" s="26" t="n"/>
      <c r="C1066" s="26" t="n"/>
      <c r="D1066" s="26" t="n"/>
      <c r="E1066" s="26" t="n"/>
      <c r="F1066" s="26" t="n"/>
      <c r="G1066" s="26" t="n"/>
      <c r="H1066" s="26" t="n"/>
    </row>
    <row r="1067" ht="15" customHeight="1">
      <c r="A1067" s="26" t="n"/>
      <c r="B1067" s="26" t="n"/>
      <c r="C1067" s="26" t="n"/>
      <c r="D1067" s="26" t="n"/>
      <c r="E1067" s="26" t="n"/>
      <c r="F1067" s="26" t="n"/>
      <c r="G1067" s="26" t="n"/>
      <c r="H1067" s="26" t="n"/>
    </row>
    <row r="1068" ht="15" customHeight="1">
      <c r="A1068" s="26" t="n"/>
      <c r="B1068" s="26" t="n"/>
      <c r="C1068" s="26" t="n"/>
      <c r="D1068" s="26" t="n"/>
      <c r="E1068" s="26" t="n"/>
      <c r="F1068" s="26" t="n"/>
      <c r="G1068" s="26" t="n"/>
      <c r="H1068" s="26" t="n"/>
    </row>
    <row r="1069" ht="15" customHeight="1">
      <c r="A1069" s="26" t="n"/>
      <c r="B1069" s="26" t="n"/>
      <c r="C1069" s="26" t="n"/>
      <c r="D1069" s="26" t="n"/>
      <c r="E1069" s="26" t="n"/>
      <c r="F1069" s="26" t="n"/>
      <c r="G1069" s="26" t="n"/>
      <c r="H1069" s="26" t="n"/>
    </row>
    <row r="1070" ht="15" customHeight="1">
      <c r="A1070" s="26" t="n"/>
      <c r="B1070" s="26" t="n"/>
      <c r="C1070" s="26" t="n"/>
      <c r="D1070" s="26" t="n"/>
      <c r="E1070" s="26" t="n"/>
      <c r="F1070" s="26" t="n"/>
      <c r="G1070" s="26" t="n"/>
      <c r="H1070" s="26" t="n"/>
    </row>
    <row r="1071" ht="15" customHeight="1">
      <c r="A1071" s="26" t="n"/>
      <c r="B1071" s="26" t="n"/>
      <c r="C1071" s="26" t="n"/>
      <c r="D1071" s="26" t="n"/>
      <c r="E1071" s="26" t="n"/>
      <c r="F1071" s="26" t="n"/>
      <c r="G1071" s="26" t="n"/>
      <c r="H1071" s="26" t="n"/>
    </row>
    <row r="1072" ht="15" customHeight="1">
      <c r="A1072" s="26" t="n"/>
      <c r="B1072" s="26" t="n"/>
      <c r="C1072" s="26" t="n"/>
      <c r="D1072" s="26" t="n"/>
      <c r="E1072" s="26" t="n"/>
      <c r="F1072" s="26" t="n"/>
      <c r="G1072" s="26" t="n"/>
      <c r="H1072" s="26" t="n"/>
    </row>
    <row r="1073" ht="15" customHeight="1">
      <c r="A1073" s="26" t="n"/>
      <c r="B1073" s="26" t="n"/>
      <c r="C1073" s="26" t="n"/>
      <c r="D1073" s="26" t="n"/>
      <c r="E1073" s="26" t="n"/>
      <c r="F1073" s="26" t="n"/>
      <c r="G1073" s="26" t="n"/>
      <c r="H1073" s="26" t="n"/>
    </row>
    <row r="1074" ht="15" customHeight="1">
      <c r="A1074" s="26" t="n"/>
      <c r="B1074" s="26" t="n"/>
      <c r="C1074" s="26" t="n"/>
      <c r="D1074" s="26" t="n"/>
      <c r="E1074" s="26" t="n"/>
      <c r="F1074" s="26" t="n"/>
      <c r="G1074" s="26" t="n"/>
      <c r="H1074" s="26" t="n"/>
    </row>
    <row r="1075" ht="15" customHeight="1">
      <c r="A1075" s="26" t="n"/>
      <c r="B1075" s="26" t="n"/>
      <c r="C1075" s="26" t="n"/>
      <c r="D1075" s="26" t="n"/>
      <c r="E1075" s="26" t="n"/>
      <c r="F1075" s="26" t="n"/>
      <c r="G1075" s="26" t="n"/>
      <c r="H1075" s="26" t="n"/>
    </row>
    <row r="1076" ht="15" customHeight="1">
      <c r="A1076" s="26" t="n"/>
      <c r="B1076" s="26" t="n"/>
      <c r="C1076" s="26" t="n"/>
      <c r="D1076" s="26" t="n"/>
      <c r="E1076" s="26" t="n"/>
      <c r="F1076" s="26" t="n"/>
      <c r="G1076" s="26" t="n"/>
      <c r="H1076" s="26" t="n"/>
    </row>
    <row r="1077" ht="15" customHeight="1">
      <c r="A1077" s="26" t="n"/>
      <c r="B1077" s="26" t="n"/>
      <c r="C1077" s="26" t="n"/>
      <c r="D1077" s="26" t="n"/>
      <c r="E1077" s="26" t="n"/>
      <c r="F1077" s="26" t="n"/>
      <c r="G1077" s="26" t="n"/>
      <c r="H1077" s="26" t="n"/>
    </row>
    <row r="1078" ht="15" customHeight="1">
      <c r="A1078" s="26" t="n"/>
      <c r="B1078" s="26" t="n"/>
      <c r="C1078" s="26" t="n"/>
      <c r="D1078" s="26" t="n"/>
      <c r="E1078" s="26" t="n"/>
      <c r="F1078" s="26" t="n"/>
      <c r="G1078" s="26" t="n"/>
      <c r="H1078" s="26" t="n"/>
    </row>
    <row r="1079" ht="15" customHeight="1">
      <c r="A1079" s="26" t="n"/>
      <c r="B1079" s="26" t="n"/>
      <c r="C1079" s="26" t="n"/>
      <c r="D1079" s="26" t="n"/>
      <c r="E1079" s="26" t="n"/>
      <c r="F1079" s="26" t="n"/>
      <c r="G1079" s="26" t="n"/>
      <c r="H1079" s="26" t="n"/>
    </row>
    <row r="1080" ht="15" customHeight="1">
      <c r="A1080" s="26" t="n"/>
      <c r="B1080" s="26" t="n"/>
      <c r="C1080" s="26" t="n"/>
      <c r="D1080" s="26" t="n"/>
      <c r="E1080" s="26" t="n"/>
      <c r="F1080" s="26" t="n"/>
      <c r="G1080" s="26" t="n"/>
      <c r="H1080" s="26" t="n"/>
    </row>
    <row r="1081" ht="15" customHeight="1">
      <c r="A1081" s="26" t="n"/>
      <c r="B1081" s="26" t="n"/>
      <c r="C1081" s="26" t="n"/>
      <c r="D1081" s="26" t="n"/>
      <c r="E1081" s="26" t="n"/>
      <c r="F1081" s="26" t="n"/>
      <c r="G1081" s="26" t="n"/>
      <c r="H1081" s="26" t="n"/>
    </row>
    <row r="1082" ht="15" customHeight="1">
      <c r="A1082" s="26" t="n"/>
      <c r="B1082" s="26" t="n"/>
      <c r="C1082" s="26" t="n"/>
      <c r="D1082" s="26" t="n"/>
      <c r="E1082" s="26" t="n"/>
      <c r="F1082" s="26" t="n"/>
      <c r="G1082" s="26" t="n"/>
      <c r="H1082" s="26" t="n"/>
    </row>
    <row r="1083" ht="15" customHeight="1">
      <c r="A1083" s="26" t="n"/>
      <c r="B1083" s="26" t="n"/>
      <c r="C1083" s="26" t="n"/>
      <c r="D1083" s="26" t="n"/>
      <c r="E1083" s="26" t="n"/>
      <c r="F1083" s="26" t="n"/>
      <c r="G1083" s="26" t="n"/>
      <c r="H1083" s="26" t="n"/>
    </row>
    <row r="1084" ht="15" customHeight="1">
      <c r="A1084" s="26" t="n"/>
      <c r="B1084" s="26" t="n"/>
      <c r="C1084" s="26" t="n"/>
      <c r="D1084" s="26" t="n"/>
      <c r="E1084" s="26" t="n"/>
      <c r="F1084" s="26" t="n"/>
      <c r="G1084" s="26" t="n"/>
      <c r="H1084" s="26" t="n"/>
    </row>
    <row r="1085" ht="15" customHeight="1">
      <c r="A1085" s="26" t="n"/>
      <c r="B1085" s="26" t="n"/>
      <c r="C1085" s="26" t="n"/>
      <c r="D1085" s="26" t="n"/>
      <c r="E1085" s="26" t="n"/>
      <c r="F1085" s="26" t="n"/>
      <c r="G1085" s="26" t="n"/>
      <c r="H1085" s="26" t="n"/>
    </row>
    <row r="1086" ht="15" customHeight="1">
      <c r="A1086" s="26" t="n"/>
      <c r="B1086" s="26" t="n"/>
      <c r="C1086" s="26" t="n"/>
      <c r="D1086" s="26" t="n"/>
      <c r="E1086" s="26" t="n"/>
      <c r="F1086" s="26" t="n"/>
      <c r="G1086" s="26" t="n"/>
      <c r="H1086" s="26" t="n"/>
    </row>
    <row r="1087" ht="15" customHeight="1">
      <c r="A1087" s="26" t="n"/>
      <c r="B1087" s="26" t="n"/>
      <c r="C1087" s="26" t="n"/>
      <c r="D1087" s="26" t="n"/>
      <c r="E1087" s="26" t="n"/>
      <c r="F1087" s="26" t="n"/>
      <c r="G1087" s="26" t="n"/>
      <c r="H1087" s="26" t="n"/>
    </row>
    <row r="1088" ht="15" customHeight="1">
      <c r="A1088" s="26" t="n"/>
      <c r="B1088" s="26" t="n"/>
      <c r="C1088" s="26" t="n"/>
      <c r="D1088" s="26" t="n"/>
      <c r="E1088" s="26" t="n"/>
      <c r="F1088" s="26" t="n"/>
      <c r="G1088" s="26" t="n"/>
      <c r="H1088" s="26" t="n"/>
    </row>
    <row r="1089" ht="15" customHeight="1">
      <c r="A1089" s="26" t="n"/>
      <c r="B1089" s="26" t="n"/>
      <c r="C1089" s="26" t="n"/>
      <c r="D1089" s="26" t="n"/>
      <c r="E1089" s="26" t="n"/>
      <c r="F1089" s="26" t="n"/>
      <c r="G1089" s="26" t="n"/>
      <c r="H1089" s="26" t="n"/>
    </row>
    <row r="1090" ht="15" customHeight="1">
      <c r="A1090" s="26" t="n"/>
      <c r="B1090" s="26" t="n"/>
      <c r="C1090" s="26" t="n"/>
      <c r="D1090" s="26" t="n"/>
      <c r="E1090" s="26" t="n"/>
      <c r="F1090" s="26" t="n"/>
      <c r="G1090" s="26" t="n"/>
      <c r="H1090" s="26" t="n"/>
    </row>
    <row r="1091" ht="15" customHeight="1">
      <c r="A1091" s="26" t="n"/>
      <c r="B1091" s="26" t="n"/>
      <c r="C1091" s="26" t="n"/>
      <c r="D1091" s="26" t="n"/>
      <c r="E1091" s="26" t="n"/>
      <c r="F1091" s="26" t="n"/>
      <c r="G1091" s="26" t="n"/>
      <c r="H1091" s="26" t="n"/>
    </row>
    <row r="1092" ht="15" customHeight="1">
      <c r="A1092" s="26" t="n"/>
      <c r="B1092" s="26" t="n"/>
      <c r="C1092" s="26" t="n"/>
      <c r="D1092" s="26" t="n"/>
      <c r="E1092" s="26" t="n"/>
      <c r="F1092" s="26" t="n"/>
      <c r="G1092" s="26" t="n"/>
      <c r="H1092" s="26" t="n"/>
    </row>
    <row r="1093" ht="15" customHeight="1">
      <c r="A1093" s="26" t="n"/>
      <c r="B1093" s="26" t="n"/>
      <c r="C1093" s="26" t="n"/>
      <c r="D1093" s="26" t="n"/>
      <c r="E1093" s="26" t="n"/>
      <c r="F1093" s="26" t="n"/>
      <c r="G1093" s="26" t="n"/>
      <c r="H1093" s="26" t="n"/>
    </row>
    <row r="1094" ht="15" customHeight="1">
      <c r="A1094" s="26" t="n"/>
      <c r="B1094" s="26" t="n"/>
      <c r="C1094" s="26" t="n"/>
      <c r="D1094" s="26" t="n"/>
      <c r="E1094" s="26" t="n"/>
      <c r="F1094" s="26" t="n"/>
      <c r="G1094" s="26" t="n"/>
      <c r="H1094" s="26" t="n"/>
    </row>
    <row r="1095" ht="15" customHeight="1">
      <c r="A1095" s="26" t="n"/>
      <c r="B1095" s="26" t="n"/>
      <c r="C1095" s="26" t="n"/>
      <c r="D1095" s="26" t="n"/>
      <c r="E1095" s="26" t="n"/>
      <c r="F1095" s="26" t="n"/>
      <c r="G1095" s="26" t="n"/>
      <c r="H1095" s="26" t="n"/>
    </row>
    <row r="1096" ht="15" customHeight="1">
      <c r="A1096" s="26" t="n"/>
      <c r="B1096" s="26" t="n"/>
      <c r="C1096" s="26" t="n"/>
      <c r="D1096" s="26" t="n"/>
      <c r="E1096" s="26" t="n"/>
      <c r="F1096" s="26" t="n"/>
      <c r="G1096" s="26" t="n"/>
      <c r="H1096" s="26" t="n"/>
    </row>
    <row r="1097" ht="15" customHeight="1">
      <c r="A1097" s="26" t="n"/>
      <c r="B1097" s="26" t="n"/>
      <c r="C1097" s="26" t="n"/>
      <c r="D1097" s="26" t="n"/>
      <c r="E1097" s="26" t="n"/>
      <c r="F1097" s="26" t="n"/>
      <c r="G1097" s="26" t="n"/>
      <c r="H1097" s="26" t="n"/>
    </row>
    <row r="1098" ht="15" customHeight="1">
      <c r="A1098" s="26" t="n"/>
      <c r="B1098" s="26" t="n"/>
      <c r="C1098" s="26" t="n"/>
      <c r="D1098" s="26" t="n"/>
      <c r="E1098" s="26" t="n"/>
      <c r="F1098" s="26" t="n"/>
      <c r="G1098" s="26" t="n"/>
      <c r="H1098" s="26" t="n"/>
    </row>
    <row r="1099" ht="15" customHeight="1">
      <c r="A1099" s="26" t="n"/>
      <c r="B1099" s="26" t="n"/>
      <c r="C1099" s="26" t="n"/>
      <c r="D1099" s="26" t="n"/>
      <c r="E1099" s="26" t="n"/>
      <c r="F1099" s="26" t="n"/>
      <c r="G1099" s="26" t="n"/>
      <c r="H1099" s="26" t="n"/>
    </row>
    <row r="1100" ht="15" customHeight="1">
      <c r="A1100" s="26" t="n"/>
      <c r="B1100" s="26" t="n"/>
      <c r="C1100" s="26" t="n"/>
      <c r="D1100" s="26" t="n"/>
      <c r="E1100" s="26" t="n"/>
      <c r="F1100" s="26" t="n"/>
      <c r="G1100" s="26" t="n"/>
      <c r="H1100" s="26" t="n"/>
    </row>
    <row r="1101" ht="15" customHeight="1">
      <c r="A1101" s="26" t="n"/>
      <c r="B1101" s="26" t="n"/>
      <c r="C1101" s="26" t="n"/>
      <c r="D1101" s="26" t="n"/>
      <c r="E1101" s="26" t="n"/>
      <c r="F1101" s="26" t="n"/>
      <c r="G1101" s="26" t="n"/>
      <c r="H1101" s="26" t="n"/>
    </row>
    <row r="1102" ht="15" customHeight="1">
      <c r="A1102" s="26" t="n"/>
      <c r="B1102" s="26" t="n"/>
      <c r="C1102" s="26" t="n"/>
      <c r="D1102" s="26" t="n"/>
      <c r="E1102" s="26" t="n"/>
      <c r="F1102" s="26" t="n"/>
      <c r="G1102" s="26" t="n"/>
      <c r="H1102" s="26" t="n"/>
    </row>
    <row r="1103" ht="15" customHeight="1">
      <c r="A1103" s="26" t="n"/>
      <c r="B1103" s="26" t="n"/>
      <c r="C1103" s="26" t="n"/>
      <c r="D1103" s="26" t="n"/>
      <c r="E1103" s="26" t="n"/>
      <c r="F1103" s="26" t="n"/>
      <c r="G1103" s="26" t="n"/>
      <c r="H1103" s="26" t="n"/>
    </row>
    <row r="1104" ht="15" customHeight="1">
      <c r="A1104" s="26" t="n"/>
      <c r="B1104" s="26" t="n"/>
      <c r="C1104" s="26" t="n"/>
      <c r="D1104" s="26" t="n"/>
      <c r="E1104" s="26" t="n"/>
      <c r="F1104" s="26" t="n"/>
      <c r="G1104" s="26" t="n"/>
      <c r="H1104" s="26" t="n"/>
    </row>
    <row r="1105" ht="15" customHeight="1">
      <c r="A1105" s="26" t="n"/>
      <c r="B1105" s="26" t="n"/>
      <c r="C1105" s="26" t="n"/>
      <c r="D1105" s="26" t="n"/>
      <c r="E1105" s="26" t="n"/>
      <c r="F1105" s="26" t="n"/>
      <c r="G1105" s="26" t="n"/>
      <c r="H1105" s="26" t="n"/>
    </row>
    <row r="1106" ht="15" customHeight="1">
      <c r="A1106" s="26" t="n"/>
      <c r="B1106" s="26" t="n"/>
      <c r="C1106" s="26" t="n"/>
      <c r="D1106" s="26" t="n"/>
      <c r="E1106" s="26" t="n"/>
      <c r="F1106" s="26" t="n"/>
      <c r="G1106" s="26" t="n"/>
      <c r="H1106" s="26" t="n"/>
    </row>
    <row r="1107" ht="15" customHeight="1">
      <c r="A1107" s="26" t="n"/>
      <c r="B1107" s="26" t="n"/>
      <c r="C1107" s="26" t="n"/>
      <c r="D1107" s="26" t="n"/>
      <c r="E1107" s="26" t="n"/>
      <c r="F1107" s="26" t="n"/>
      <c r="G1107" s="26" t="n"/>
      <c r="H1107" s="26" t="n"/>
    </row>
    <row r="1108" ht="15" customHeight="1">
      <c r="A1108" s="26" t="n"/>
      <c r="B1108" s="26" t="n"/>
      <c r="C1108" s="26" t="n"/>
      <c r="D1108" s="26" t="n"/>
      <c r="E1108" s="26" t="n"/>
      <c r="F1108" s="26" t="n"/>
      <c r="G1108" s="26" t="n"/>
      <c r="H1108" s="26" t="n"/>
    </row>
    <row r="1109" ht="15" customHeight="1">
      <c r="A1109" s="26" t="n"/>
      <c r="B1109" s="26" t="n"/>
      <c r="C1109" s="26" t="n"/>
      <c r="D1109" s="26" t="n"/>
      <c r="E1109" s="26" t="n"/>
      <c r="F1109" s="26" t="n"/>
      <c r="G1109" s="26" t="n"/>
      <c r="H1109" s="26" t="n"/>
    </row>
    <row r="1110" ht="15" customHeight="1">
      <c r="A1110" s="26" t="n"/>
      <c r="B1110" s="26" t="n"/>
      <c r="C1110" s="26" t="n"/>
      <c r="D1110" s="26" t="n"/>
      <c r="E1110" s="26" t="n"/>
      <c r="F1110" s="26" t="n"/>
      <c r="G1110" s="26" t="n"/>
      <c r="H1110" s="26" t="n"/>
    </row>
    <row r="1111" ht="15" customHeight="1">
      <c r="A1111" s="26" t="n"/>
      <c r="B1111" s="26" t="n"/>
      <c r="C1111" s="26" t="n"/>
      <c r="D1111" s="26" t="n"/>
      <c r="E1111" s="26" t="n"/>
      <c r="F1111" s="26" t="n"/>
      <c r="G1111" s="26" t="n"/>
      <c r="H1111" s="26" t="n"/>
    </row>
    <row r="1112" ht="15" customHeight="1">
      <c r="A1112" s="26" t="n"/>
      <c r="B1112" s="26" t="n"/>
      <c r="C1112" s="26" t="n"/>
      <c r="D1112" s="26" t="n"/>
      <c r="E1112" s="26" t="n"/>
      <c r="F1112" s="26" t="n"/>
      <c r="G1112" s="26" t="n"/>
      <c r="H1112" s="26" t="n"/>
    </row>
    <row r="1113" ht="15" customHeight="1">
      <c r="A1113" s="26" t="n"/>
      <c r="B1113" s="26" t="n"/>
      <c r="C1113" s="26" t="n"/>
      <c r="D1113" s="26" t="n"/>
      <c r="E1113" s="26" t="n"/>
      <c r="F1113" s="26" t="n"/>
      <c r="G1113" s="26" t="n"/>
      <c r="H1113" s="26" t="n"/>
    </row>
    <row r="1114" ht="15" customHeight="1">
      <c r="A1114" s="26" t="n"/>
      <c r="B1114" s="26" t="n"/>
      <c r="C1114" s="26" t="n"/>
      <c r="D1114" s="26" t="n"/>
      <c r="E1114" s="26" t="n"/>
      <c r="F1114" s="26" t="n"/>
      <c r="G1114" s="26" t="n"/>
      <c r="H1114" s="26" t="n"/>
    </row>
    <row r="1115" ht="15" customHeight="1">
      <c r="A1115" s="26" t="n"/>
      <c r="B1115" s="26" t="n"/>
      <c r="C1115" s="26" t="n"/>
      <c r="D1115" s="26" t="n"/>
      <c r="E1115" s="26" t="n"/>
      <c r="F1115" s="26" t="n"/>
      <c r="G1115" s="26" t="n"/>
      <c r="H1115" s="26" t="n"/>
    </row>
    <row r="1116" ht="15" customHeight="1">
      <c r="A1116" s="26" t="n"/>
      <c r="B1116" s="26" t="n"/>
      <c r="C1116" s="26" t="n"/>
      <c r="D1116" s="26" t="n"/>
      <c r="E1116" s="26" t="n"/>
      <c r="F1116" s="26" t="n"/>
      <c r="G1116" s="26" t="n"/>
      <c r="H1116" s="26" t="n"/>
    </row>
    <row r="1117" ht="15" customHeight="1">
      <c r="A1117" s="26" t="n"/>
      <c r="B1117" s="26" t="n"/>
      <c r="C1117" s="26" t="n"/>
      <c r="D1117" s="26" t="n"/>
      <c r="E1117" s="26" t="n"/>
      <c r="F1117" s="26" t="n"/>
      <c r="G1117" s="26" t="n"/>
      <c r="H1117" s="26" t="n"/>
    </row>
    <row r="1118" ht="15" customHeight="1">
      <c r="A1118" s="26" t="n"/>
      <c r="B1118" s="26" t="n"/>
      <c r="C1118" s="26" t="n"/>
      <c r="D1118" s="26" t="n"/>
      <c r="E1118" s="26" t="n"/>
      <c r="F1118" s="26" t="n"/>
      <c r="G1118" s="26" t="n"/>
      <c r="H1118" s="26" t="n"/>
    </row>
    <row r="1119" ht="15" customHeight="1">
      <c r="A1119" s="26" t="n"/>
      <c r="B1119" s="26" t="n"/>
      <c r="C1119" s="26" t="n"/>
      <c r="D1119" s="26" t="n"/>
      <c r="E1119" s="26" t="n"/>
      <c r="F1119" s="26" t="n"/>
      <c r="G1119" s="26" t="n"/>
      <c r="H1119" s="26" t="n"/>
    </row>
    <row r="1120" ht="15" customHeight="1">
      <c r="A1120" s="26" t="n"/>
      <c r="B1120" s="26" t="n"/>
      <c r="C1120" s="26" t="n"/>
      <c r="D1120" s="26" t="n"/>
      <c r="E1120" s="26" t="n"/>
      <c r="F1120" s="26" t="n"/>
      <c r="G1120" s="26" t="n"/>
      <c r="H1120" s="26" t="n"/>
    </row>
    <row r="1121" ht="15" customHeight="1">
      <c r="A1121" s="26" t="n"/>
      <c r="B1121" s="26" t="n"/>
      <c r="C1121" s="26" t="n"/>
      <c r="D1121" s="26" t="n"/>
      <c r="E1121" s="26" t="n"/>
      <c r="F1121" s="26" t="n"/>
      <c r="G1121" s="26" t="n"/>
      <c r="H1121" s="26" t="n"/>
    </row>
    <row r="1122" ht="15" customHeight="1">
      <c r="A1122" s="26" t="n"/>
      <c r="B1122" s="26" t="n"/>
      <c r="C1122" s="26" t="n"/>
      <c r="D1122" s="26" t="n"/>
      <c r="E1122" s="26" t="n"/>
      <c r="F1122" s="26" t="n"/>
      <c r="G1122" s="26" t="n"/>
      <c r="H1122" s="26" t="n"/>
    </row>
    <row r="1123" ht="15" customHeight="1">
      <c r="A1123" s="26" t="n"/>
      <c r="B1123" s="26" t="n"/>
      <c r="C1123" s="26" t="n"/>
      <c r="D1123" s="26" t="n"/>
      <c r="E1123" s="26" t="n"/>
      <c r="F1123" s="26" t="n"/>
      <c r="G1123" s="26" t="n"/>
      <c r="H1123" s="26" t="n"/>
    </row>
    <row r="1124" ht="15" customHeight="1">
      <c r="A1124" s="26" t="n"/>
      <c r="B1124" s="26" t="n"/>
      <c r="C1124" s="26" t="n"/>
      <c r="D1124" s="26" t="n"/>
      <c r="E1124" s="26" t="n"/>
      <c r="F1124" s="26" t="n"/>
      <c r="G1124" s="26" t="n"/>
      <c r="H1124" s="26" t="n"/>
    </row>
    <row r="1125" ht="15" customHeight="1">
      <c r="A1125" s="26" t="n"/>
      <c r="B1125" s="26" t="n"/>
      <c r="C1125" s="26" t="n"/>
      <c r="D1125" s="26" t="n"/>
      <c r="E1125" s="26" t="n"/>
      <c r="F1125" s="26" t="n"/>
      <c r="G1125" s="26" t="n"/>
      <c r="H1125" s="26" t="n"/>
    </row>
    <row r="1126" ht="15" customHeight="1">
      <c r="A1126" s="26" t="n"/>
      <c r="B1126" s="26" t="n"/>
      <c r="C1126" s="26" t="n"/>
      <c r="D1126" s="26" t="n"/>
      <c r="E1126" s="26" t="n"/>
      <c r="F1126" s="26" t="n"/>
      <c r="G1126" s="26" t="n"/>
      <c r="H1126" s="26" t="n"/>
    </row>
    <row r="1127" ht="15" customHeight="1">
      <c r="A1127" s="26" t="n"/>
      <c r="B1127" s="26" t="n"/>
      <c r="C1127" s="26" t="n"/>
      <c r="D1127" s="26" t="n"/>
      <c r="E1127" s="26" t="n"/>
      <c r="F1127" s="26" t="n"/>
      <c r="G1127" s="26" t="n"/>
      <c r="H1127" s="26" t="n"/>
    </row>
    <row r="1128" ht="15" customHeight="1">
      <c r="A1128" s="26" t="n"/>
      <c r="B1128" s="26" t="n"/>
      <c r="C1128" s="26" t="n"/>
      <c r="D1128" s="26" t="n"/>
      <c r="E1128" s="26" t="n"/>
      <c r="F1128" s="26" t="n"/>
      <c r="G1128" s="26" t="n"/>
      <c r="H1128" s="26" t="n"/>
    </row>
    <row r="1129" ht="15" customHeight="1">
      <c r="A1129" s="26" t="n"/>
      <c r="B1129" s="26" t="n"/>
      <c r="C1129" s="26" t="n"/>
      <c r="D1129" s="26" t="n"/>
      <c r="E1129" s="26" t="n"/>
      <c r="F1129" s="26" t="n"/>
      <c r="G1129" s="26" t="n"/>
      <c r="H1129" s="26" t="n"/>
    </row>
    <row r="1130" ht="15" customHeight="1">
      <c r="A1130" s="26" t="n"/>
      <c r="B1130" s="26" t="n"/>
      <c r="C1130" s="26" t="n"/>
      <c r="D1130" s="26" t="n"/>
      <c r="E1130" s="26" t="n"/>
      <c r="F1130" s="26" t="n"/>
      <c r="G1130" s="26" t="n"/>
      <c r="H1130" s="26" t="n"/>
    </row>
    <row r="1131" ht="15" customHeight="1">
      <c r="A1131" s="26" t="n"/>
      <c r="B1131" s="26" t="n"/>
      <c r="C1131" s="26" t="n"/>
      <c r="D1131" s="26" t="n"/>
      <c r="E1131" s="26" t="n"/>
      <c r="F1131" s="26" t="n"/>
      <c r="G1131" s="26" t="n"/>
      <c r="H1131" s="26" t="n"/>
    </row>
    <row r="1132" ht="15" customHeight="1">
      <c r="A1132" s="26" t="n"/>
      <c r="B1132" s="26" t="n"/>
      <c r="C1132" s="26" t="n"/>
      <c r="D1132" s="26" t="n"/>
      <c r="E1132" s="26" t="n"/>
      <c r="F1132" s="26" t="n"/>
      <c r="G1132" s="26" t="n"/>
      <c r="H1132" s="26" t="n"/>
    </row>
    <row r="1133" ht="15" customHeight="1">
      <c r="A1133" s="26" t="n"/>
      <c r="B1133" s="26" t="n"/>
      <c r="C1133" s="26" t="n"/>
      <c r="D1133" s="26" t="n"/>
      <c r="E1133" s="26" t="n"/>
      <c r="F1133" s="26" t="n"/>
      <c r="G1133" s="26" t="n"/>
      <c r="H1133" s="26" t="n"/>
    </row>
    <row r="1134" ht="15" customHeight="1">
      <c r="A1134" s="26" t="n"/>
      <c r="B1134" s="26" t="n"/>
      <c r="C1134" s="26" t="n"/>
      <c r="D1134" s="26" t="n"/>
      <c r="E1134" s="26" t="n"/>
      <c r="F1134" s="26" t="n"/>
      <c r="G1134" s="26" t="n"/>
      <c r="H1134" s="26" t="n"/>
    </row>
    <row r="1135" ht="15" customHeight="1">
      <c r="A1135" s="26" t="n"/>
      <c r="B1135" s="26" t="n"/>
      <c r="C1135" s="26" t="n"/>
      <c r="D1135" s="26" t="n"/>
      <c r="E1135" s="26" t="n"/>
      <c r="F1135" s="26" t="n"/>
      <c r="G1135" s="26" t="n"/>
      <c r="H1135" s="26" t="n"/>
    </row>
    <row r="1136" ht="15" customHeight="1">
      <c r="A1136" s="26" t="n"/>
      <c r="B1136" s="26" t="n"/>
      <c r="C1136" s="26" t="n"/>
      <c r="D1136" s="26" t="n"/>
      <c r="E1136" s="26" t="n"/>
      <c r="F1136" s="26" t="n"/>
      <c r="G1136" s="26" t="n"/>
      <c r="H1136" s="26" t="n"/>
    </row>
    <row r="1137" ht="15" customHeight="1">
      <c r="A1137" s="26" t="n"/>
      <c r="B1137" s="26" t="n"/>
      <c r="C1137" s="26" t="n"/>
      <c r="D1137" s="26" t="n"/>
      <c r="E1137" s="26" t="n"/>
      <c r="F1137" s="26" t="n"/>
      <c r="G1137" s="26" t="n"/>
      <c r="H1137" s="26" t="n"/>
    </row>
    <row r="1138" ht="15" customHeight="1">
      <c r="A1138" s="26" t="n"/>
      <c r="B1138" s="26" t="n"/>
      <c r="C1138" s="26" t="n"/>
      <c r="D1138" s="26" t="n"/>
      <c r="E1138" s="26" t="n"/>
      <c r="F1138" s="26" t="n"/>
      <c r="G1138" s="26" t="n"/>
      <c r="H1138" s="26" t="n"/>
    </row>
    <row r="1139" ht="15" customHeight="1">
      <c r="A1139" s="26" t="n"/>
      <c r="B1139" s="26" t="n"/>
      <c r="C1139" s="26" t="n"/>
      <c r="D1139" s="26" t="n"/>
      <c r="E1139" s="26" t="n"/>
      <c r="F1139" s="26" t="n"/>
      <c r="G1139" s="26" t="n"/>
      <c r="H1139" s="26" t="n"/>
    </row>
    <row r="1140" ht="15" customHeight="1">
      <c r="A1140" s="26" t="n"/>
      <c r="B1140" s="26" t="n"/>
      <c r="C1140" s="26" t="n"/>
      <c r="D1140" s="26" t="n"/>
      <c r="E1140" s="26" t="n"/>
      <c r="F1140" s="26" t="n"/>
      <c r="G1140" s="26" t="n"/>
      <c r="H1140" s="26" t="n"/>
    </row>
    <row r="1141" ht="15" customHeight="1">
      <c r="A1141" s="26" t="n"/>
      <c r="B1141" s="26" t="n"/>
      <c r="C1141" s="26" t="n"/>
      <c r="D1141" s="26" t="n"/>
      <c r="E1141" s="26" t="n"/>
      <c r="F1141" s="26" t="n"/>
      <c r="G1141" s="26" t="n"/>
      <c r="H1141" s="26" t="n"/>
    </row>
    <row r="1142" ht="15" customHeight="1">
      <c r="A1142" s="26" t="n"/>
      <c r="B1142" s="26" t="n"/>
      <c r="C1142" s="26" t="n"/>
      <c r="D1142" s="26" t="n"/>
      <c r="E1142" s="26" t="n"/>
      <c r="F1142" s="26" t="n"/>
      <c r="G1142" s="26" t="n"/>
      <c r="H1142" s="26" t="n"/>
    </row>
    <row r="1143" ht="15" customHeight="1">
      <c r="A1143" s="26" t="n"/>
      <c r="B1143" s="26" t="n"/>
      <c r="C1143" s="26" t="n"/>
      <c r="D1143" s="26" t="n"/>
      <c r="E1143" s="26" t="n"/>
      <c r="F1143" s="26" t="n"/>
      <c r="G1143" s="26" t="n"/>
      <c r="H1143" s="26" t="n"/>
    </row>
    <row r="1144" ht="15" customHeight="1">
      <c r="A1144" s="26" t="n"/>
      <c r="B1144" s="26" t="n"/>
      <c r="C1144" s="26" t="n"/>
      <c r="D1144" s="26" t="n"/>
      <c r="E1144" s="26" t="n"/>
      <c r="F1144" s="26" t="n"/>
      <c r="G1144" s="26" t="n"/>
      <c r="H1144" s="26" t="n"/>
    </row>
    <row r="1145" ht="15" customHeight="1">
      <c r="A1145" s="26" t="n"/>
      <c r="B1145" s="26" t="n"/>
      <c r="C1145" s="26" t="n"/>
      <c r="D1145" s="26" t="n"/>
      <c r="E1145" s="26" t="n"/>
      <c r="F1145" s="26" t="n"/>
      <c r="G1145" s="26" t="n"/>
      <c r="H1145" s="26" t="n"/>
    </row>
    <row r="1146" ht="15" customHeight="1">
      <c r="A1146" s="26" t="n"/>
      <c r="B1146" s="26" t="n"/>
      <c r="C1146" s="26" t="n"/>
      <c r="D1146" s="26" t="n"/>
      <c r="E1146" s="26" t="n"/>
      <c r="F1146" s="26" t="n"/>
      <c r="G1146" s="26" t="n"/>
      <c r="H1146" s="26" t="n"/>
    </row>
    <row r="1147" ht="15" customHeight="1">
      <c r="A1147" s="26" t="n"/>
      <c r="B1147" s="26" t="n"/>
      <c r="C1147" s="26" t="n"/>
      <c r="D1147" s="26" t="n"/>
      <c r="E1147" s="26" t="n"/>
      <c r="F1147" s="26" t="n"/>
      <c r="G1147" s="26" t="n"/>
      <c r="H1147" s="26" t="n"/>
    </row>
    <row r="1148" ht="15" customHeight="1">
      <c r="A1148" s="26" t="n"/>
      <c r="B1148" s="26" t="n"/>
      <c r="C1148" s="26" t="n"/>
      <c r="D1148" s="26" t="n"/>
      <c r="E1148" s="26" t="n"/>
      <c r="F1148" s="26" t="n"/>
      <c r="G1148" s="26" t="n"/>
      <c r="H1148" s="26" t="n"/>
    </row>
    <row r="1149" ht="15" customHeight="1">
      <c r="A1149" s="26" t="n"/>
      <c r="B1149" s="26" t="n"/>
      <c r="C1149" s="26" t="n"/>
      <c r="D1149" s="26" t="n"/>
      <c r="E1149" s="26" t="n"/>
      <c r="F1149" s="26" t="n"/>
      <c r="G1149" s="26" t="n"/>
      <c r="H1149" s="26" t="n"/>
    </row>
    <row r="1150" ht="15" customHeight="1">
      <c r="A1150" s="26" t="n"/>
      <c r="B1150" s="26" t="n"/>
      <c r="C1150" s="26" t="n"/>
      <c r="D1150" s="26" t="n"/>
      <c r="E1150" s="26" t="n"/>
      <c r="F1150" s="26" t="n"/>
      <c r="G1150" s="26" t="n"/>
      <c r="H1150" s="26" t="n"/>
    </row>
    <row r="1151" ht="15" customHeight="1">
      <c r="A1151" s="26" t="n"/>
      <c r="B1151" s="26" t="n"/>
      <c r="C1151" s="26" t="n"/>
      <c r="D1151" s="26" t="n"/>
      <c r="E1151" s="26" t="n"/>
      <c r="F1151" s="26" t="n"/>
      <c r="G1151" s="26" t="n"/>
      <c r="H1151" s="26" t="n"/>
    </row>
    <row r="1152" ht="15" customHeight="1">
      <c r="A1152" s="26" t="n"/>
      <c r="B1152" s="26" t="n"/>
      <c r="C1152" s="26" t="n"/>
      <c r="D1152" s="26" t="n"/>
      <c r="E1152" s="26" t="n"/>
      <c r="F1152" s="26" t="n"/>
      <c r="G1152" s="26" t="n"/>
      <c r="H1152" s="26" t="n"/>
    </row>
    <row r="1153" ht="15" customHeight="1">
      <c r="A1153" s="26" t="n"/>
      <c r="B1153" s="26" t="n"/>
      <c r="C1153" s="26" t="n"/>
      <c r="D1153" s="26" t="n"/>
      <c r="E1153" s="26" t="n"/>
      <c r="F1153" s="26" t="n"/>
      <c r="G1153" s="26" t="n"/>
      <c r="H1153" s="26" t="n"/>
    </row>
    <row r="1154" ht="15" customHeight="1">
      <c r="A1154" s="26" t="n"/>
      <c r="B1154" s="26" t="n"/>
      <c r="C1154" s="26" t="n"/>
      <c r="D1154" s="26" t="n"/>
      <c r="E1154" s="26" t="n"/>
      <c r="F1154" s="26" t="n"/>
      <c r="G1154" s="26" t="n"/>
      <c r="H1154" s="26" t="n"/>
    </row>
    <row r="1155" ht="15" customHeight="1">
      <c r="A1155" s="26" t="n"/>
      <c r="B1155" s="26" t="n"/>
      <c r="C1155" s="26" t="n"/>
      <c r="D1155" s="26" t="n"/>
      <c r="E1155" s="26" t="n"/>
      <c r="F1155" s="26" t="n"/>
      <c r="G1155" s="26" t="n"/>
      <c r="H1155" s="26" t="n"/>
    </row>
    <row r="1156" ht="15" customHeight="1">
      <c r="A1156" s="26" t="n"/>
      <c r="B1156" s="26" t="n"/>
      <c r="C1156" s="26" t="n"/>
      <c r="D1156" s="26" t="n"/>
      <c r="E1156" s="26" t="n"/>
      <c r="F1156" s="26" t="n"/>
      <c r="G1156" s="26" t="n"/>
      <c r="H1156" s="26" t="n"/>
    </row>
    <row r="1157" ht="15" customHeight="1">
      <c r="A1157" s="26" t="n"/>
      <c r="B1157" s="26" t="n"/>
      <c r="C1157" s="26" t="n"/>
      <c r="D1157" s="26" t="n"/>
      <c r="E1157" s="26" t="n"/>
      <c r="F1157" s="26" t="n"/>
      <c r="G1157" s="26" t="n"/>
      <c r="H1157" s="26" t="n"/>
    </row>
    <row r="1158" ht="15" customHeight="1">
      <c r="A1158" s="26" t="n"/>
      <c r="B1158" s="26" t="n"/>
      <c r="C1158" s="26" t="n"/>
      <c r="D1158" s="26" t="n"/>
      <c r="E1158" s="26" t="n"/>
      <c r="F1158" s="26" t="n"/>
      <c r="G1158" s="26" t="n"/>
      <c r="H1158" s="26" t="n"/>
    </row>
    <row r="1159" ht="15" customHeight="1">
      <c r="A1159" s="26" t="n"/>
      <c r="B1159" s="26" t="n"/>
      <c r="C1159" s="26" t="n"/>
      <c r="D1159" s="26" t="n"/>
      <c r="E1159" s="26" t="n"/>
      <c r="F1159" s="26" t="n"/>
      <c r="G1159" s="26" t="n"/>
      <c r="H1159" s="26" t="n"/>
    </row>
    <row r="1160" ht="15" customHeight="1">
      <c r="A1160" s="26" t="n"/>
      <c r="B1160" s="26" t="n"/>
      <c r="C1160" s="26" t="n"/>
      <c r="D1160" s="26" t="n"/>
      <c r="E1160" s="26" t="n"/>
      <c r="F1160" s="26" t="n"/>
      <c r="G1160" s="26" t="n"/>
      <c r="H1160" s="26" t="n"/>
    </row>
    <row r="1161" ht="15" customHeight="1">
      <c r="A1161" s="26" t="n"/>
      <c r="B1161" s="26" t="n"/>
      <c r="C1161" s="26" t="n"/>
      <c r="D1161" s="26" t="n"/>
      <c r="E1161" s="26" t="n"/>
      <c r="F1161" s="26" t="n"/>
      <c r="G1161" s="26" t="n"/>
      <c r="H1161" s="26" t="n"/>
    </row>
    <row r="1162" ht="15" customHeight="1">
      <c r="A1162" s="26" t="n"/>
      <c r="B1162" s="26" t="n"/>
      <c r="C1162" s="26" t="n"/>
      <c r="D1162" s="26" t="n"/>
      <c r="E1162" s="26" t="n"/>
      <c r="F1162" s="26" t="n"/>
      <c r="G1162" s="26" t="n"/>
      <c r="H1162" s="26" t="n"/>
    </row>
    <row r="1163" ht="15" customHeight="1">
      <c r="A1163" s="26" t="n"/>
      <c r="B1163" s="26" t="n"/>
      <c r="C1163" s="26" t="n"/>
      <c r="D1163" s="26" t="n"/>
      <c r="E1163" s="26" t="n"/>
      <c r="F1163" s="26" t="n"/>
      <c r="G1163" s="26" t="n"/>
      <c r="H1163" s="26" t="n"/>
    </row>
    <row r="1164" ht="15" customHeight="1">
      <c r="A1164" s="26" t="n"/>
      <c r="B1164" s="26" t="n"/>
      <c r="C1164" s="26" t="n"/>
      <c r="D1164" s="26" t="n"/>
      <c r="E1164" s="26" t="n"/>
      <c r="F1164" s="26" t="n"/>
      <c r="G1164" s="26" t="n"/>
      <c r="H1164" s="26" t="n"/>
    </row>
    <row r="1165" ht="15" customHeight="1">
      <c r="A1165" s="26" t="n"/>
      <c r="B1165" s="26" t="n"/>
      <c r="C1165" s="26" t="n"/>
      <c r="D1165" s="26" t="n"/>
      <c r="E1165" s="26" t="n"/>
      <c r="F1165" s="26" t="n"/>
      <c r="G1165" s="26" t="n"/>
      <c r="H1165" s="26" t="n"/>
    </row>
    <row r="1166" ht="15" customHeight="1">
      <c r="A1166" s="26" t="n"/>
      <c r="B1166" s="26" t="n"/>
      <c r="C1166" s="26" t="n"/>
      <c r="D1166" s="26" t="n"/>
      <c r="E1166" s="26" t="n"/>
      <c r="F1166" s="26" t="n"/>
      <c r="G1166" s="26" t="n"/>
      <c r="H1166" s="26" t="n"/>
    </row>
    <row r="1167" ht="15" customHeight="1">
      <c r="A1167" s="26" t="n"/>
      <c r="B1167" s="26" t="n"/>
      <c r="C1167" s="26" t="n"/>
      <c r="D1167" s="26" t="n"/>
      <c r="E1167" s="26" t="n"/>
      <c r="F1167" s="26" t="n"/>
      <c r="G1167" s="26" t="n"/>
      <c r="H1167" s="26" t="n"/>
    </row>
    <row r="1168" ht="15" customHeight="1">
      <c r="A1168" s="26" t="n"/>
      <c r="B1168" s="26" t="n"/>
      <c r="C1168" s="26" t="n"/>
      <c r="D1168" s="26" t="n"/>
      <c r="E1168" s="26" t="n"/>
      <c r="F1168" s="26" t="n"/>
      <c r="G1168" s="26" t="n"/>
      <c r="H1168" s="26" t="n"/>
    </row>
    <row r="1169" ht="15" customHeight="1">
      <c r="A1169" s="26" t="n"/>
      <c r="B1169" s="26" t="n"/>
      <c r="C1169" s="26" t="n"/>
      <c r="D1169" s="26" t="n"/>
      <c r="E1169" s="26" t="n"/>
      <c r="F1169" s="26" t="n"/>
      <c r="G1169" s="26" t="n"/>
      <c r="H1169" s="26" t="n"/>
    </row>
    <row r="1170" ht="15" customHeight="1">
      <c r="A1170" s="26" t="n"/>
      <c r="B1170" s="26" t="n"/>
      <c r="C1170" s="26" t="n"/>
      <c r="D1170" s="26" t="n"/>
      <c r="E1170" s="26" t="n"/>
      <c r="F1170" s="26" t="n"/>
      <c r="G1170" s="26" t="n"/>
      <c r="H1170" s="26" t="n"/>
    </row>
    <row r="1171" ht="15" customHeight="1">
      <c r="A1171" s="26" t="n"/>
      <c r="B1171" s="26" t="n"/>
      <c r="C1171" s="26" t="n"/>
      <c r="D1171" s="26" t="n"/>
      <c r="E1171" s="26" t="n"/>
      <c r="F1171" s="26" t="n"/>
      <c r="G1171" s="26" t="n"/>
      <c r="H1171" s="26" t="n"/>
    </row>
    <row r="1172" ht="15" customHeight="1">
      <c r="A1172" s="26" t="n"/>
      <c r="B1172" s="26" t="n"/>
      <c r="C1172" s="26" t="n"/>
      <c r="D1172" s="26" t="n"/>
      <c r="E1172" s="26" t="n"/>
      <c r="F1172" s="26" t="n"/>
      <c r="G1172" s="26" t="n"/>
      <c r="H1172" s="26" t="n"/>
    </row>
    <row r="1173" ht="15" customHeight="1">
      <c r="A1173" s="26" t="n"/>
      <c r="B1173" s="26" t="n"/>
      <c r="C1173" s="26" t="n"/>
      <c r="D1173" s="26" t="n"/>
      <c r="E1173" s="26" t="n"/>
      <c r="F1173" s="26" t="n"/>
      <c r="G1173" s="26" t="n"/>
      <c r="H1173" s="26" t="n"/>
    </row>
    <row r="1174" ht="15" customHeight="1">
      <c r="A1174" s="26" t="n"/>
      <c r="B1174" s="26" t="n"/>
      <c r="C1174" s="26" t="n"/>
      <c r="D1174" s="26" t="n"/>
      <c r="E1174" s="26" t="n"/>
      <c r="F1174" s="26" t="n"/>
      <c r="G1174" s="26" t="n"/>
      <c r="H1174" s="26" t="n"/>
    </row>
    <row r="1175" ht="15" customHeight="1">
      <c r="A1175" s="26" t="n"/>
      <c r="B1175" s="26" t="n"/>
      <c r="C1175" s="26" t="n"/>
      <c r="D1175" s="26" t="n"/>
      <c r="E1175" s="26" t="n"/>
      <c r="F1175" s="26" t="n"/>
      <c r="G1175" s="26" t="n"/>
      <c r="H1175" s="26" t="n"/>
    </row>
    <row r="1176" ht="15" customHeight="1">
      <c r="A1176" s="26" t="n"/>
      <c r="B1176" s="26" t="n"/>
      <c r="C1176" s="26" t="n"/>
      <c r="D1176" s="26" t="n"/>
      <c r="E1176" s="26" t="n"/>
      <c r="F1176" s="26" t="n"/>
      <c r="G1176" s="26" t="n"/>
      <c r="H1176" s="26" t="n"/>
    </row>
    <row r="1177" ht="15" customHeight="1">
      <c r="A1177" s="26" t="n"/>
      <c r="B1177" s="26" t="n"/>
      <c r="C1177" s="26" t="n"/>
      <c r="D1177" s="26" t="n"/>
      <c r="E1177" s="26" t="n"/>
      <c r="F1177" s="26" t="n"/>
      <c r="G1177" s="26" t="n"/>
      <c r="H1177" s="26" t="n"/>
    </row>
    <row r="1178" ht="15" customHeight="1">
      <c r="A1178" s="26" t="n"/>
      <c r="B1178" s="26" t="n"/>
      <c r="C1178" s="26" t="n"/>
      <c r="D1178" s="26" t="n"/>
      <c r="E1178" s="26" t="n"/>
      <c r="F1178" s="26" t="n"/>
      <c r="G1178" s="26" t="n"/>
      <c r="H1178" s="26" t="n"/>
    </row>
    <row r="1179" ht="15" customHeight="1">
      <c r="A1179" s="26" t="n"/>
      <c r="B1179" s="26" t="n"/>
      <c r="C1179" s="26" t="n"/>
      <c r="D1179" s="26" t="n"/>
      <c r="E1179" s="26" t="n"/>
      <c r="F1179" s="26" t="n"/>
      <c r="G1179" s="26" t="n"/>
      <c r="H1179" s="26" t="n"/>
    </row>
    <row r="1180" ht="15" customHeight="1">
      <c r="A1180" s="26" t="n"/>
      <c r="B1180" s="26" t="n"/>
      <c r="C1180" s="26" t="n"/>
      <c r="D1180" s="26" t="n"/>
      <c r="E1180" s="26" t="n"/>
      <c r="F1180" s="26" t="n"/>
      <c r="G1180" s="26" t="n"/>
      <c r="H1180" s="26" t="n"/>
    </row>
    <row r="1181" ht="15" customHeight="1">
      <c r="A1181" s="26" t="n"/>
      <c r="B1181" s="26" t="n"/>
      <c r="C1181" s="26" t="n"/>
      <c r="D1181" s="26" t="n"/>
      <c r="E1181" s="26" t="n"/>
      <c r="F1181" s="26" t="n"/>
      <c r="G1181" s="26" t="n"/>
      <c r="H1181" s="26" t="n"/>
    </row>
    <row r="1182" ht="15" customHeight="1">
      <c r="A1182" s="26" t="n"/>
      <c r="B1182" s="26" t="n"/>
      <c r="C1182" s="26" t="n"/>
      <c r="D1182" s="26" t="n"/>
      <c r="E1182" s="26" t="n"/>
      <c r="F1182" s="26" t="n"/>
      <c r="G1182" s="26" t="n"/>
      <c r="H1182" s="26" t="n"/>
    </row>
    <row r="1183" ht="15" customHeight="1">
      <c r="A1183" s="26" t="n"/>
      <c r="B1183" s="26" t="n"/>
      <c r="C1183" s="26" t="n"/>
      <c r="D1183" s="26" t="n"/>
      <c r="E1183" s="26" t="n"/>
      <c r="F1183" s="26" t="n"/>
      <c r="G1183" s="26" t="n"/>
      <c r="H1183" s="26" t="n"/>
    </row>
    <row r="1184" ht="15" customHeight="1">
      <c r="A1184" s="26" t="n"/>
      <c r="B1184" s="26" t="n"/>
      <c r="C1184" s="26" t="n"/>
      <c r="D1184" s="26" t="n"/>
      <c r="E1184" s="26" t="n"/>
      <c r="F1184" s="26" t="n"/>
      <c r="G1184" s="26" t="n"/>
      <c r="H1184" s="26" t="n"/>
    </row>
    <row r="1185" ht="15" customHeight="1">
      <c r="A1185" s="26" t="n"/>
      <c r="B1185" s="26" t="n"/>
      <c r="C1185" s="26" t="n"/>
      <c r="D1185" s="26" t="n"/>
      <c r="E1185" s="26" t="n"/>
      <c r="F1185" s="26" t="n"/>
      <c r="G1185" s="26" t="n"/>
      <c r="H1185" s="26" t="n"/>
    </row>
    <row r="1186" ht="15" customHeight="1">
      <c r="A1186" s="26" t="n"/>
      <c r="B1186" s="26" t="n"/>
      <c r="C1186" s="26" t="n"/>
      <c r="D1186" s="26" t="n"/>
      <c r="E1186" s="26" t="n"/>
      <c r="F1186" s="26" t="n"/>
      <c r="G1186" s="26" t="n"/>
      <c r="H1186" s="26" t="n"/>
    </row>
  </sheetData>
  <dataValidations count="1">
    <dataValidation sqref="A6:A1186" showDropDown="0" showInputMessage="0" showErrorMessage="1" allowBlank="1" errorTitle="Invalid Date" error="Enter a valid date after year 2000." type="date" operator="greaterThan">
      <formula1>DATE(2000,1,1)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2:I1168"/>
  <sheetViews>
    <sheetView showGridLines="0" topLeftCell="B1" zoomScaleNormal="100" workbookViewId="0">
      <pane ySplit="5" topLeftCell="A6" activePane="bottomLeft" state="frozen"/>
      <selection pane="bottomLeft" activeCell="A14" sqref="A14:I168"/>
    </sheetView>
  </sheetViews>
  <sheetFormatPr baseColWidth="10" defaultColWidth="8.6640625" defaultRowHeight="15"/>
  <cols>
    <col width="13" customWidth="1" min="1" max="1"/>
    <col width="12" customWidth="1" min="2" max="2"/>
    <col width="20" customWidth="1" min="3" max="3"/>
    <col width="22" customWidth="1" min="4" max="4"/>
    <col width="14" customWidth="1" min="5" max="5"/>
    <col width="26" customWidth="1" min="6" max="6"/>
    <col width="15" customWidth="1" min="7" max="7"/>
    <col width="16" customWidth="1" min="8" max="8"/>
    <col width="10" customWidth="1" min="9" max="9"/>
  </cols>
  <sheetData>
    <row r="2" ht="18" customHeight="1">
      <c r="B2" s="16" t="inlineStr">
        <is>
          <t>Expenses Log</t>
        </is>
      </c>
    </row>
    <row r="3" ht="15" customHeight="1">
      <c r="B3" s="12" t="inlineStr">
        <is>
          <t>Non-salary expenses (salaries tracked in Staff_Salaries sheet)</t>
        </is>
      </c>
    </row>
    <row r="4" ht="15.75" customHeight="1">
      <c r="A4" s="17" t="inlineStr">
        <is>
          <t>TOTAL:</t>
        </is>
      </c>
      <c r="G4" s="27">
        <f>SUBTOTAL(9,G6:G5000)</f>
        <v/>
      </c>
    </row>
    <row r="5" ht="23.25" customHeight="1">
      <c r="A5" s="19" t="inlineStr">
        <is>
          <t>Date</t>
        </is>
      </c>
      <c r="B5" s="19" t="inlineStr">
        <is>
          <t>Location</t>
        </is>
      </c>
      <c r="C5" s="19" t="inlineStr">
        <is>
          <t>Category</t>
        </is>
      </c>
      <c r="D5" s="19" t="inlineStr">
        <is>
          <t>Vendor/Staff</t>
        </is>
      </c>
      <c r="E5" s="19" t="inlineStr">
        <is>
          <t>Department</t>
        </is>
      </c>
      <c r="F5" s="19" t="inlineStr">
        <is>
          <t>Description</t>
        </is>
      </c>
      <c r="G5" s="19" t="inlineStr">
        <is>
          <t>Amount</t>
        </is>
      </c>
      <c r="H5" s="19" t="inlineStr">
        <is>
          <t>Payment Method</t>
        </is>
      </c>
      <c r="I5" s="19" t="inlineStr">
        <is>
          <t>Acct Code</t>
        </is>
      </c>
    </row>
    <row r="6" ht="15" customHeight="1">
      <c r="A6" s="87" t="n">
        <v>45292</v>
      </c>
      <c r="B6" s="21" t="inlineStr">
        <is>
          <t>Agbowo</t>
        </is>
      </c>
      <c r="C6" s="21" t="inlineStr">
        <is>
          <t>Loans &amp; Advances</t>
        </is>
      </c>
      <c r="D6" s="21" t="inlineStr">
        <is>
          <t>Stanbic Bank</t>
        </is>
      </c>
      <c r="E6" s="21" t="inlineStr">
        <is>
          <t>Accounts</t>
        </is>
      </c>
      <c r="F6" s="21" t="inlineStr">
        <is>
          <t>Monthly loan repayment</t>
        </is>
      </c>
      <c r="G6" s="22" t="n">
        <v>200000</v>
      </c>
      <c r="H6" s="21" t="inlineStr">
        <is>
          <t>Bank Transfer</t>
        </is>
      </c>
      <c r="I6" s="21" t="n"/>
    </row>
    <row r="7" ht="15" customHeight="1">
      <c r="A7" s="88" t="n">
        <v>45294</v>
      </c>
      <c r="B7" s="24" t="inlineStr">
        <is>
          <t>Agbowo</t>
        </is>
      </c>
      <c r="C7" s="24" t="inlineStr">
        <is>
          <t>Maintenance</t>
        </is>
      </c>
      <c r="D7" s="24" t="inlineStr">
        <is>
          <t>Dayo Contractor</t>
        </is>
      </c>
      <c r="E7" s="24" t="inlineStr">
        <is>
          <t>Maintenance</t>
        </is>
      </c>
      <c r="F7" s="24" t="inlineStr">
        <is>
          <t>Paint touch-up</t>
        </is>
      </c>
      <c r="G7" s="25" t="n">
        <v>41000</v>
      </c>
      <c r="H7" s="24" t="inlineStr">
        <is>
          <t>Cash</t>
        </is>
      </c>
      <c r="I7" s="28" t="n"/>
    </row>
    <row r="8" ht="15" customHeight="1">
      <c r="A8" s="87" t="n">
        <v>45294</v>
      </c>
      <c r="B8" s="21" t="inlineStr">
        <is>
          <t>UI</t>
        </is>
      </c>
      <c r="C8" s="21" t="inlineStr">
        <is>
          <t>Utilities</t>
        </is>
      </c>
      <c r="D8" s="21" t="inlineStr">
        <is>
          <t>Waste Mgt Co</t>
        </is>
      </c>
      <c r="E8" s="21" t="inlineStr">
        <is>
          <t>Admin</t>
        </is>
      </c>
      <c r="F8" s="21" t="inlineStr">
        <is>
          <t>Water bill</t>
        </is>
      </c>
      <c r="G8" s="22" t="n">
        <v>41000</v>
      </c>
      <c r="H8" s="21" t="inlineStr">
        <is>
          <t>Bank Transfer</t>
        </is>
      </c>
      <c r="I8" s="21" t="n"/>
    </row>
    <row r="9" ht="15" customHeight="1">
      <c r="A9" s="88" t="n">
        <v>45295</v>
      </c>
      <c r="B9" s="24" t="inlineStr">
        <is>
          <t>UI</t>
        </is>
      </c>
      <c r="C9" s="24" t="inlineStr">
        <is>
          <t>Maintenance</t>
        </is>
      </c>
      <c r="D9" s="24" t="inlineStr">
        <is>
          <t>Plumber Bayo</t>
        </is>
      </c>
      <c r="E9" s="24" t="inlineStr">
        <is>
          <t>Maintenance</t>
        </is>
      </c>
      <c r="F9" s="24" t="inlineStr">
        <is>
          <t>Paint touch-up</t>
        </is>
      </c>
      <c r="G9" s="25" t="n">
        <v>24000</v>
      </c>
      <c r="H9" s="24" t="inlineStr">
        <is>
          <t>Cash</t>
        </is>
      </c>
      <c r="I9" s="28" t="n"/>
    </row>
    <row r="10" ht="15" customHeight="1">
      <c r="A10" s="87" t="n">
        <v>45300</v>
      </c>
      <c r="B10" s="21" t="inlineStr">
        <is>
          <t>Agbowo</t>
        </is>
      </c>
      <c r="C10" s="21" t="inlineStr">
        <is>
          <t>Construction</t>
        </is>
      </c>
      <c r="D10" s="21" t="inlineStr">
        <is>
          <t>Mr Taiwo</t>
        </is>
      </c>
      <c r="E10" s="21" t="inlineStr">
        <is>
          <t>Project</t>
        </is>
      </c>
      <c r="F10" s="21" t="inlineStr">
        <is>
          <t>Mason work</t>
        </is>
      </c>
      <c r="G10" s="22" t="n">
        <v>27000</v>
      </c>
      <c r="H10" s="21" t="inlineStr">
        <is>
          <t>Cash</t>
        </is>
      </c>
      <c r="I10" s="21" t="n"/>
    </row>
    <row r="11" ht="15" customHeight="1">
      <c r="A11" s="88" t="n">
        <v>45300</v>
      </c>
      <c r="B11" s="24" t="inlineStr">
        <is>
          <t>Agbowo</t>
        </is>
      </c>
      <c r="C11" s="24" t="inlineStr">
        <is>
          <t>Maintenance</t>
        </is>
      </c>
      <c r="D11" s="24" t="inlineStr">
        <is>
          <t>Plumber Bayo</t>
        </is>
      </c>
      <c r="E11" s="24" t="inlineStr">
        <is>
          <t>Maintenance</t>
        </is>
      </c>
      <c r="F11" s="24" t="inlineStr">
        <is>
          <t>Door/lock repair</t>
        </is>
      </c>
      <c r="G11" s="25" t="n">
        <v>10000</v>
      </c>
      <c r="H11" s="24" t="inlineStr">
        <is>
          <t>Cash</t>
        </is>
      </c>
      <c r="I11" s="28" t="n"/>
    </row>
    <row r="12" ht="15" customHeight="1">
      <c r="A12" s="87" t="n">
        <v>45302</v>
      </c>
      <c r="B12" s="21" t="inlineStr">
        <is>
          <t>UI</t>
        </is>
      </c>
      <c r="C12" s="21" t="inlineStr">
        <is>
          <t>Administrative</t>
        </is>
      </c>
      <c r="D12" s="21" t="inlineStr">
        <is>
          <t>Office Mart</t>
        </is>
      </c>
      <c r="E12" s="21" t="inlineStr">
        <is>
          <t>Admin</t>
        </is>
      </c>
      <c r="F12" s="21" t="inlineStr">
        <is>
          <t>Insurance premium</t>
        </is>
      </c>
      <c r="G12" s="22" t="n">
        <v>8000</v>
      </c>
      <c r="H12" s="21" t="inlineStr">
        <is>
          <t>Cash</t>
        </is>
      </c>
      <c r="I12" s="21" t="n"/>
    </row>
    <row r="13" ht="15" customHeight="1">
      <c r="A13" s="88" t="n">
        <v>45305</v>
      </c>
      <c r="B13" s="24" t="inlineStr">
        <is>
          <t>Agbowo</t>
        </is>
      </c>
      <c r="C13" s="24" t="inlineStr">
        <is>
          <t>Construction</t>
        </is>
      </c>
      <c r="D13" s="24" t="inlineStr">
        <is>
          <t>Engr Segun</t>
        </is>
      </c>
      <c r="E13" s="24" t="inlineStr">
        <is>
          <t>Project</t>
        </is>
      </c>
      <c r="F13" s="24" t="inlineStr">
        <is>
          <t>Tiling</t>
        </is>
      </c>
      <c r="G13" s="25" t="n">
        <v>48000</v>
      </c>
      <c r="H13" s="24" t="inlineStr">
        <is>
          <t>Cash</t>
        </is>
      </c>
      <c r="I13" s="28" t="n"/>
    </row>
    <row r="14" ht="15" customHeight="1">
      <c r="A14" s="87" t="n"/>
      <c r="B14" s="21" t="n"/>
      <c r="C14" s="21" t="n"/>
      <c r="D14" s="21" t="n"/>
      <c r="E14" s="21" t="n"/>
      <c r="F14" s="21" t="n"/>
      <c r="G14" s="22" t="n"/>
      <c r="H14" s="21" t="n"/>
      <c r="I14" s="21" t="n"/>
    </row>
    <row r="15" ht="15" customHeight="1">
      <c r="A15" s="88" t="n"/>
      <c r="B15" s="24" t="n"/>
      <c r="C15" s="24" t="n"/>
      <c r="D15" s="24" t="n"/>
      <c r="E15" s="24" t="n"/>
      <c r="F15" s="24" t="n"/>
      <c r="G15" s="25" t="n"/>
      <c r="H15" s="24" t="n"/>
      <c r="I15" s="28" t="n"/>
    </row>
    <row r="16" ht="15" customHeight="1">
      <c r="A16" s="87" t="n"/>
      <c r="B16" s="21" t="n"/>
      <c r="C16" s="21" t="n"/>
      <c r="D16" s="21" t="n"/>
      <c r="E16" s="21" t="n"/>
      <c r="F16" s="21" t="n"/>
      <c r="G16" s="22" t="n"/>
      <c r="H16" s="21" t="n"/>
      <c r="I16" s="21" t="n"/>
    </row>
    <row r="17" ht="15" customHeight="1">
      <c r="A17" s="88" t="n"/>
      <c r="B17" s="24" t="n"/>
      <c r="C17" s="24" t="n"/>
      <c r="D17" s="24" t="n"/>
      <c r="E17" s="24" t="n"/>
      <c r="F17" s="24" t="n"/>
      <c r="G17" s="25" t="n"/>
      <c r="H17" s="24" t="n"/>
      <c r="I17" s="28" t="n"/>
    </row>
    <row r="18" ht="15" customHeight="1">
      <c r="A18" s="87" t="n"/>
      <c r="B18" s="21" t="n"/>
      <c r="C18" s="21" t="n"/>
      <c r="D18" s="21" t="n"/>
      <c r="E18" s="21" t="n"/>
      <c r="F18" s="21" t="n"/>
      <c r="G18" s="22" t="n"/>
      <c r="H18" s="21" t="n"/>
      <c r="I18" s="21" t="n"/>
    </row>
    <row r="19" ht="15" customHeight="1">
      <c r="A19" s="88" t="n"/>
      <c r="B19" s="24" t="n"/>
      <c r="C19" s="24" t="n"/>
      <c r="D19" s="24" t="n"/>
      <c r="E19" s="24" t="n"/>
      <c r="F19" s="24" t="n"/>
      <c r="G19" s="25" t="n"/>
      <c r="H19" s="24" t="n"/>
      <c r="I19" s="28" t="n"/>
    </row>
    <row r="20" ht="15" customHeight="1">
      <c r="A20" s="87" t="n"/>
      <c r="B20" s="21" t="n"/>
      <c r="C20" s="21" t="n"/>
      <c r="D20" s="21" t="n"/>
      <c r="E20" s="21" t="n"/>
      <c r="F20" s="21" t="n"/>
      <c r="G20" s="22" t="n"/>
      <c r="H20" s="21" t="n"/>
      <c r="I20" s="21" t="n"/>
    </row>
    <row r="21" ht="15" customHeight="1">
      <c r="A21" s="88" t="n"/>
      <c r="B21" s="24" t="n"/>
      <c r="C21" s="24" t="n"/>
      <c r="D21" s="24" t="n"/>
      <c r="E21" s="24" t="n"/>
      <c r="F21" s="24" t="n"/>
      <c r="G21" s="25" t="n"/>
      <c r="H21" s="24" t="n"/>
      <c r="I21" s="28" t="n"/>
    </row>
    <row r="22" ht="15" customHeight="1">
      <c r="A22" s="87" t="n"/>
      <c r="B22" s="21" t="n"/>
      <c r="C22" s="21" t="n"/>
      <c r="D22" s="21" t="n"/>
      <c r="E22" s="21" t="n"/>
      <c r="F22" s="21" t="n"/>
      <c r="G22" s="22" t="n"/>
      <c r="H22" s="21" t="n"/>
      <c r="I22" s="21" t="n"/>
    </row>
    <row r="23" ht="15" customHeight="1">
      <c r="A23" s="88" t="n"/>
      <c r="B23" s="24" t="n"/>
      <c r="C23" s="24" t="n"/>
      <c r="D23" s="24" t="n"/>
      <c r="E23" s="24" t="n"/>
      <c r="F23" s="24" t="n"/>
      <c r="G23" s="25" t="n"/>
      <c r="H23" s="24" t="n"/>
      <c r="I23" s="28" t="n"/>
    </row>
    <row r="24" ht="15" customHeight="1">
      <c r="A24" s="87" t="n"/>
      <c r="B24" s="21" t="n"/>
      <c r="C24" s="21" t="n"/>
      <c r="D24" s="21" t="n"/>
      <c r="E24" s="21" t="n"/>
      <c r="F24" s="21" t="n"/>
      <c r="G24" s="22" t="n"/>
      <c r="H24" s="21" t="n"/>
      <c r="I24" s="21" t="n"/>
    </row>
    <row r="25" ht="15" customHeight="1">
      <c r="A25" s="88" t="n"/>
      <c r="B25" s="24" t="n"/>
      <c r="C25" s="24" t="n"/>
      <c r="D25" s="24" t="n"/>
      <c r="E25" s="24" t="n"/>
      <c r="F25" s="24" t="n"/>
      <c r="G25" s="25" t="n"/>
      <c r="H25" s="24" t="n"/>
      <c r="I25" s="28" t="n"/>
    </row>
    <row r="26" ht="15" customHeight="1">
      <c r="A26" s="87" t="n"/>
      <c r="B26" s="21" t="n"/>
      <c r="C26" s="21" t="n"/>
      <c r="D26" s="21" t="n"/>
      <c r="E26" s="21" t="n"/>
      <c r="F26" s="21" t="n"/>
      <c r="G26" s="22" t="n"/>
      <c r="H26" s="21" t="n"/>
      <c r="I26" s="21" t="n"/>
    </row>
    <row r="27" ht="15" customHeight="1">
      <c r="A27" s="88" t="n"/>
      <c r="B27" s="24" t="n"/>
      <c r="C27" s="24" t="n"/>
      <c r="D27" s="24" t="n"/>
      <c r="E27" s="24" t="n"/>
      <c r="F27" s="24" t="n"/>
      <c r="G27" s="25" t="n"/>
      <c r="H27" s="24" t="n"/>
      <c r="I27" s="28" t="n"/>
    </row>
    <row r="28" ht="15" customHeight="1">
      <c r="A28" s="87" t="n"/>
      <c r="B28" s="21" t="n"/>
      <c r="C28" s="21" t="n"/>
      <c r="D28" s="21" t="n"/>
      <c r="E28" s="21" t="n"/>
      <c r="F28" s="21" t="n"/>
      <c r="G28" s="22" t="n"/>
      <c r="H28" s="21" t="n"/>
      <c r="I28" s="21" t="n"/>
    </row>
    <row r="29" ht="15" customHeight="1">
      <c r="A29" s="88" t="n"/>
      <c r="B29" s="24" t="n"/>
      <c r="C29" s="24" t="n"/>
      <c r="D29" s="24" t="n"/>
      <c r="E29" s="24" t="n"/>
      <c r="F29" s="24" t="n"/>
      <c r="G29" s="25" t="n"/>
      <c r="H29" s="24" t="n"/>
      <c r="I29" s="28" t="n"/>
    </row>
    <row r="30" ht="15" customHeight="1">
      <c r="A30" s="87" t="n"/>
      <c r="B30" s="21" t="n"/>
      <c r="C30" s="21" t="n"/>
      <c r="D30" s="21" t="n"/>
      <c r="E30" s="21" t="n"/>
      <c r="F30" s="21" t="n"/>
      <c r="G30" s="22" t="n"/>
      <c r="H30" s="21" t="n"/>
      <c r="I30" s="21" t="n"/>
    </row>
    <row r="31" ht="15" customHeight="1">
      <c r="A31" s="88" t="n"/>
      <c r="B31" s="24" t="n"/>
      <c r="C31" s="24" t="n"/>
      <c r="D31" s="24" t="n"/>
      <c r="E31" s="24" t="n"/>
      <c r="F31" s="24" t="n"/>
      <c r="G31" s="25" t="n"/>
      <c r="H31" s="24" t="n"/>
      <c r="I31" s="28" t="n"/>
    </row>
    <row r="32" ht="15" customHeight="1">
      <c r="A32" s="87" t="n"/>
      <c r="B32" s="21" t="n"/>
      <c r="C32" s="21" t="n"/>
      <c r="D32" s="21" t="n"/>
      <c r="E32" s="21" t="n"/>
      <c r="F32" s="21" t="n"/>
      <c r="G32" s="22" t="n"/>
      <c r="H32" s="21" t="n"/>
      <c r="I32" s="21" t="n"/>
    </row>
    <row r="33" ht="15" customHeight="1">
      <c r="A33" s="88" t="n"/>
      <c r="B33" s="24" t="n"/>
      <c r="C33" s="24" t="n"/>
      <c r="D33" s="24" t="n"/>
      <c r="E33" s="24" t="n"/>
      <c r="F33" s="24" t="n"/>
      <c r="G33" s="25" t="n"/>
      <c r="H33" s="24" t="n"/>
      <c r="I33" s="28" t="n"/>
    </row>
    <row r="34" ht="15" customHeight="1">
      <c r="A34" s="87" t="n"/>
      <c r="B34" s="21" t="n"/>
      <c r="C34" s="21" t="n"/>
      <c r="D34" s="21" t="n"/>
      <c r="E34" s="21" t="n"/>
      <c r="F34" s="21" t="n"/>
      <c r="G34" s="22" t="n"/>
      <c r="H34" s="21" t="n"/>
      <c r="I34" s="21" t="n"/>
    </row>
    <row r="35" ht="15" customHeight="1">
      <c r="A35" s="88" t="n"/>
      <c r="B35" s="24" t="n"/>
      <c r="C35" s="24" t="n"/>
      <c r="D35" s="24" t="n"/>
      <c r="E35" s="24" t="n"/>
      <c r="F35" s="24" t="n"/>
      <c r="G35" s="25" t="n"/>
      <c r="H35" s="24" t="n"/>
      <c r="I35" s="28" t="n"/>
    </row>
    <row r="36" ht="15" customHeight="1">
      <c r="A36" s="87" t="n"/>
      <c r="B36" s="21" t="n"/>
      <c r="C36" s="21" t="n"/>
      <c r="D36" s="21" t="n"/>
      <c r="E36" s="21" t="n"/>
      <c r="F36" s="21" t="n"/>
      <c r="G36" s="22" t="n"/>
      <c r="H36" s="21" t="n"/>
      <c r="I36" s="21" t="n"/>
    </row>
    <row r="37" ht="15" customHeight="1">
      <c r="A37" s="88" t="n"/>
      <c r="B37" s="24" t="n"/>
      <c r="C37" s="24" t="n"/>
      <c r="D37" s="24" t="n"/>
      <c r="E37" s="24" t="n"/>
      <c r="F37" s="24" t="n"/>
      <c r="G37" s="25" t="n"/>
      <c r="H37" s="24" t="n"/>
      <c r="I37" s="28" t="n"/>
    </row>
    <row r="38" ht="15" customHeight="1">
      <c r="A38" s="87" t="n"/>
      <c r="B38" s="21" t="n"/>
      <c r="C38" s="21" t="n"/>
      <c r="D38" s="21" t="n"/>
      <c r="E38" s="21" t="n"/>
      <c r="F38" s="21" t="n"/>
      <c r="G38" s="22" t="n"/>
      <c r="H38" s="21" t="n"/>
      <c r="I38" s="21" t="n"/>
    </row>
    <row r="39" ht="15" customHeight="1">
      <c r="A39" s="88" t="n"/>
      <c r="B39" s="24" t="n"/>
      <c r="C39" s="24" t="n"/>
      <c r="D39" s="24" t="n"/>
      <c r="E39" s="24" t="n"/>
      <c r="F39" s="24" t="n"/>
      <c r="G39" s="25" t="n"/>
      <c r="H39" s="24" t="n"/>
      <c r="I39" s="28" t="n"/>
    </row>
    <row r="40" ht="15" customHeight="1">
      <c r="A40" s="87" t="n"/>
      <c r="B40" s="21" t="n"/>
      <c r="C40" s="21" t="n"/>
      <c r="D40" s="21" t="n"/>
      <c r="E40" s="21" t="n"/>
      <c r="F40" s="21" t="n"/>
      <c r="G40" s="22" t="n"/>
      <c r="H40" s="21" t="n"/>
      <c r="I40" s="21" t="n"/>
    </row>
    <row r="41" ht="15" customHeight="1">
      <c r="A41" s="88" t="n"/>
      <c r="B41" s="24" t="n"/>
      <c r="C41" s="24" t="n"/>
      <c r="D41" s="24" t="n"/>
      <c r="E41" s="24" t="n"/>
      <c r="F41" s="24" t="n"/>
      <c r="G41" s="25" t="n"/>
      <c r="H41" s="24" t="n"/>
      <c r="I41" s="28" t="n"/>
    </row>
    <row r="42" ht="15" customHeight="1">
      <c r="A42" s="87" t="n"/>
      <c r="B42" s="21" t="n"/>
      <c r="C42" s="21" t="n"/>
      <c r="D42" s="21" t="n"/>
      <c r="E42" s="21" t="n"/>
      <c r="F42" s="21" t="n"/>
      <c r="G42" s="22" t="n"/>
      <c r="H42" s="21" t="n"/>
      <c r="I42" s="21" t="n"/>
    </row>
    <row r="43" ht="15" customHeight="1">
      <c r="A43" s="88" t="n"/>
      <c r="B43" s="24" t="n"/>
      <c r="C43" s="24" t="n"/>
      <c r="D43" s="24" t="n"/>
      <c r="E43" s="24" t="n"/>
      <c r="F43" s="24" t="n"/>
      <c r="G43" s="25" t="n"/>
      <c r="H43" s="24" t="n"/>
      <c r="I43" s="28" t="n"/>
    </row>
    <row r="44" ht="15" customHeight="1">
      <c r="A44" s="87" t="n"/>
      <c r="B44" s="21" t="n"/>
      <c r="C44" s="21" t="n"/>
      <c r="D44" s="21" t="n"/>
      <c r="E44" s="21" t="n"/>
      <c r="F44" s="21" t="n"/>
      <c r="G44" s="22" t="n"/>
      <c r="H44" s="21" t="n"/>
      <c r="I44" s="21" t="n"/>
    </row>
    <row r="45" ht="15" customHeight="1">
      <c r="A45" s="88" t="n"/>
      <c r="B45" s="24" t="n"/>
      <c r="C45" s="24" t="n"/>
      <c r="D45" s="24" t="n"/>
      <c r="E45" s="24" t="n"/>
      <c r="F45" s="24" t="n"/>
      <c r="G45" s="25" t="n"/>
      <c r="H45" s="24" t="n"/>
      <c r="I45" s="28" t="n"/>
    </row>
    <row r="46" ht="15" customHeight="1">
      <c r="A46" s="87" t="n"/>
      <c r="B46" s="21" t="n"/>
      <c r="C46" s="21" t="n"/>
      <c r="D46" s="21" t="n"/>
      <c r="E46" s="21" t="n"/>
      <c r="F46" s="21" t="n"/>
      <c r="G46" s="22" t="n"/>
      <c r="H46" s="21" t="n"/>
      <c r="I46" s="21" t="n"/>
    </row>
    <row r="47" ht="15" customHeight="1">
      <c r="A47" s="88" t="n"/>
      <c r="B47" s="24" t="n"/>
      <c r="C47" s="24" t="n"/>
      <c r="D47" s="24" t="n"/>
      <c r="E47" s="24" t="n"/>
      <c r="F47" s="24" t="n"/>
      <c r="G47" s="25" t="n"/>
      <c r="H47" s="24" t="n"/>
      <c r="I47" s="28" t="n"/>
    </row>
    <row r="48" ht="15" customHeight="1">
      <c r="A48" s="87" t="n"/>
      <c r="B48" s="21" t="n"/>
      <c r="C48" s="21" t="n"/>
      <c r="D48" s="21" t="n"/>
      <c r="E48" s="21" t="n"/>
      <c r="F48" s="21" t="n"/>
      <c r="G48" s="22" t="n"/>
      <c r="H48" s="21" t="n"/>
      <c r="I48" s="21" t="n"/>
    </row>
    <row r="49" ht="15" customHeight="1">
      <c r="A49" s="88" t="n"/>
      <c r="B49" s="24" t="n"/>
      <c r="C49" s="24" t="n"/>
      <c r="D49" s="24" t="n"/>
      <c r="E49" s="24" t="n"/>
      <c r="F49" s="24" t="n"/>
      <c r="G49" s="25" t="n"/>
      <c r="H49" s="24" t="n"/>
      <c r="I49" s="28" t="n"/>
    </row>
    <row r="50" ht="15" customHeight="1">
      <c r="A50" s="87" t="n"/>
      <c r="B50" s="21" t="n"/>
      <c r="C50" s="21" t="n"/>
      <c r="D50" s="21" t="n"/>
      <c r="E50" s="21" t="n"/>
      <c r="F50" s="21" t="n"/>
      <c r="G50" s="22" t="n"/>
      <c r="H50" s="21" t="n"/>
      <c r="I50" s="21" t="n"/>
    </row>
    <row r="51" ht="15" customHeight="1">
      <c r="A51" s="88" t="n"/>
      <c r="B51" s="24" t="n"/>
      <c r="C51" s="24" t="n"/>
      <c r="D51" s="24" t="n"/>
      <c r="E51" s="24" t="n"/>
      <c r="F51" s="24" t="n"/>
      <c r="G51" s="25" t="n"/>
      <c r="H51" s="24" t="n"/>
      <c r="I51" s="28" t="n"/>
    </row>
    <row r="52" ht="15" customHeight="1">
      <c r="A52" s="87" t="n"/>
      <c r="B52" s="21" t="n"/>
      <c r="C52" s="21" t="n"/>
      <c r="D52" s="21" t="n"/>
      <c r="E52" s="21" t="n"/>
      <c r="F52" s="21" t="n"/>
      <c r="G52" s="22" t="n"/>
      <c r="H52" s="21" t="n"/>
      <c r="I52" s="21" t="n"/>
    </row>
    <row r="53" ht="15" customHeight="1">
      <c r="A53" s="88" t="n"/>
      <c r="B53" s="24" t="n"/>
      <c r="C53" s="24" t="n"/>
      <c r="D53" s="24" t="n"/>
      <c r="E53" s="24" t="n"/>
      <c r="F53" s="24" t="n"/>
      <c r="G53" s="25" t="n"/>
      <c r="H53" s="24" t="n"/>
      <c r="I53" s="28" t="n"/>
    </row>
    <row r="54" ht="15" customHeight="1">
      <c r="A54" s="87" t="n"/>
      <c r="B54" s="21" t="n"/>
      <c r="C54" s="21" t="n"/>
      <c r="D54" s="21" t="n"/>
      <c r="E54" s="21" t="n"/>
      <c r="F54" s="21" t="n"/>
      <c r="G54" s="22" t="n"/>
      <c r="H54" s="21" t="n"/>
      <c r="I54" s="21" t="n"/>
    </row>
    <row r="55" ht="15" customHeight="1">
      <c r="A55" s="88" t="n"/>
      <c r="B55" s="24" t="n"/>
      <c r="C55" s="24" t="n"/>
      <c r="D55" s="24" t="n"/>
      <c r="E55" s="24" t="n"/>
      <c r="F55" s="24" t="n"/>
      <c r="G55" s="25" t="n"/>
      <c r="H55" s="24" t="n"/>
      <c r="I55" s="28" t="n"/>
    </row>
    <row r="56" ht="15" customHeight="1">
      <c r="A56" s="87" t="n"/>
      <c r="B56" s="21" t="n"/>
      <c r="C56" s="21" t="n"/>
      <c r="D56" s="21" t="n"/>
      <c r="E56" s="21" t="n"/>
      <c r="F56" s="21" t="n"/>
      <c r="G56" s="22" t="n"/>
      <c r="H56" s="21" t="n"/>
      <c r="I56" s="21" t="n"/>
    </row>
    <row r="57" ht="15" customHeight="1">
      <c r="A57" s="88" t="n"/>
      <c r="B57" s="24" t="n"/>
      <c r="C57" s="24" t="n"/>
      <c r="D57" s="24" t="n"/>
      <c r="E57" s="24" t="n"/>
      <c r="F57" s="24" t="n"/>
      <c r="G57" s="25" t="n"/>
      <c r="H57" s="24" t="n"/>
      <c r="I57" s="28" t="n"/>
    </row>
    <row r="58" ht="15" customHeight="1">
      <c r="A58" s="87" t="n"/>
      <c r="B58" s="21" t="n"/>
      <c r="C58" s="21" t="n"/>
      <c r="D58" s="21" t="n"/>
      <c r="E58" s="21" t="n"/>
      <c r="F58" s="21" t="n"/>
      <c r="G58" s="22" t="n"/>
      <c r="H58" s="21" t="n"/>
      <c r="I58" s="21" t="n"/>
    </row>
    <row r="59" ht="15" customHeight="1">
      <c r="A59" s="88" t="n"/>
      <c r="B59" s="24" t="n"/>
      <c r="C59" s="24" t="n"/>
      <c r="D59" s="24" t="n"/>
      <c r="E59" s="24" t="n"/>
      <c r="F59" s="24" t="n"/>
      <c r="G59" s="25" t="n"/>
      <c r="H59" s="24" t="n"/>
      <c r="I59" s="28" t="n"/>
    </row>
    <row r="60" ht="15" customHeight="1">
      <c r="A60" s="87" t="n"/>
      <c r="B60" s="21" t="n"/>
      <c r="C60" s="21" t="n"/>
      <c r="D60" s="21" t="n"/>
      <c r="E60" s="21" t="n"/>
      <c r="F60" s="21" t="n"/>
      <c r="G60" s="22" t="n"/>
      <c r="H60" s="21" t="n"/>
      <c r="I60" s="21" t="n"/>
    </row>
    <row r="61" ht="15" customHeight="1">
      <c r="A61" s="88" t="n"/>
      <c r="B61" s="24" t="n"/>
      <c r="C61" s="24" t="n"/>
      <c r="D61" s="24" t="n"/>
      <c r="E61" s="24" t="n"/>
      <c r="F61" s="24" t="n"/>
      <c r="G61" s="25" t="n"/>
      <c r="H61" s="24" t="n"/>
      <c r="I61" s="28" t="n"/>
    </row>
    <row r="62" ht="15" customHeight="1">
      <c r="A62" s="87" t="n"/>
      <c r="B62" s="21" t="n"/>
      <c r="C62" s="21" t="n"/>
      <c r="D62" s="21" t="n"/>
      <c r="E62" s="21" t="n"/>
      <c r="F62" s="21" t="n"/>
      <c r="G62" s="22" t="n"/>
      <c r="H62" s="21" t="n"/>
      <c r="I62" s="21" t="n"/>
    </row>
    <row r="63" ht="15" customHeight="1">
      <c r="A63" s="88" t="n"/>
      <c r="B63" s="24" t="n"/>
      <c r="C63" s="24" t="n"/>
      <c r="D63" s="24" t="n"/>
      <c r="E63" s="24" t="n"/>
      <c r="F63" s="24" t="n"/>
      <c r="G63" s="25" t="n"/>
      <c r="H63" s="24" t="n"/>
      <c r="I63" s="28" t="n"/>
    </row>
    <row r="64" ht="15" customHeight="1">
      <c r="A64" s="87" t="n"/>
      <c r="B64" s="21" t="n"/>
      <c r="C64" s="21" t="n"/>
      <c r="D64" s="21" t="n"/>
      <c r="E64" s="21" t="n"/>
      <c r="F64" s="21" t="n"/>
      <c r="G64" s="22" t="n"/>
      <c r="H64" s="21" t="n"/>
      <c r="I64" s="21" t="n"/>
    </row>
    <row r="65" ht="15" customHeight="1">
      <c r="A65" s="88" t="n"/>
      <c r="B65" s="24" t="n"/>
      <c r="C65" s="24" t="n"/>
      <c r="D65" s="24" t="n"/>
      <c r="E65" s="24" t="n"/>
      <c r="F65" s="24" t="n"/>
      <c r="G65" s="25" t="n"/>
      <c r="H65" s="24" t="n"/>
      <c r="I65" s="28" t="n"/>
    </row>
    <row r="66" ht="15" customHeight="1">
      <c r="A66" s="87" t="n"/>
      <c r="B66" s="21" t="n"/>
      <c r="C66" s="21" t="n"/>
      <c r="D66" s="21" t="n"/>
      <c r="E66" s="21" t="n"/>
      <c r="F66" s="21" t="n"/>
      <c r="G66" s="22" t="n"/>
      <c r="H66" s="21" t="n"/>
      <c r="I66" s="21" t="n"/>
    </row>
    <row r="67" ht="15" customHeight="1">
      <c r="A67" s="88" t="n"/>
      <c r="B67" s="24" t="n"/>
      <c r="C67" s="24" t="n"/>
      <c r="D67" s="24" t="n"/>
      <c r="E67" s="24" t="n"/>
      <c r="F67" s="24" t="n"/>
      <c r="G67" s="25" t="n"/>
      <c r="H67" s="24" t="n"/>
      <c r="I67" s="28" t="n"/>
    </row>
    <row r="68" ht="15" customHeight="1">
      <c r="A68" s="87" t="n"/>
      <c r="B68" s="21" t="n"/>
      <c r="C68" s="21" t="n"/>
      <c r="D68" s="21" t="n"/>
      <c r="E68" s="21" t="n"/>
      <c r="F68" s="21" t="n"/>
      <c r="G68" s="22" t="n"/>
      <c r="H68" s="21" t="n"/>
      <c r="I68" s="21" t="n"/>
    </row>
    <row r="69" ht="15" customHeight="1">
      <c r="A69" s="88" t="n"/>
      <c r="B69" s="24" t="n"/>
      <c r="C69" s="24" t="n"/>
      <c r="D69" s="24" t="n"/>
      <c r="E69" s="24" t="n"/>
      <c r="F69" s="24" t="n"/>
      <c r="G69" s="25" t="n"/>
      <c r="H69" s="24" t="n"/>
      <c r="I69" s="28" t="n"/>
    </row>
    <row r="70" ht="15" customHeight="1">
      <c r="A70" s="87" t="n"/>
      <c r="B70" s="21" t="n"/>
      <c r="C70" s="21" t="n"/>
      <c r="D70" s="21" t="n"/>
      <c r="E70" s="21" t="n"/>
      <c r="F70" s="21" t="n"/>
      <c r="G70" s="22" t="n"/>
      <c r="H70" s="21" t="n"/>
      <c r="I70" s="21" t="n"/>
    </row>
    <row r="71" ht="15" customHeight="1">
      <c r="A71" s="88" t="n"/>
      <c r="B71" s="24" t="n"/>
      <c r="C71" s="24" t="n"/>
      <c r="D71" s="24" t="n"/>
      <c r="E71" s="24" t="n"/>
      <c r="F71" s="24" t="n"/>
      <c r="G71" s="25" t="n"/>
      <c r="H71" s="24" t="n"/>
      <c r="I71" s="28" t="n"/>
    </row>
    <row r="72" ht="15" customHeight="1">
      <c r="A72" s="87" t="n"/>
      <c r="B72" s="21" t="n"/>
      <c r="C72" s="21" t="n"/>
      <c r="D72" s="21" t="n"/>
      <c r="E72" s="21" t="n"/>
      <c r="F72" s="21" t="n"/>
      <c r="G72" s="22" t="n"/>
      <c r="H72" s="21" t="n"/>
      <c r="I72" s="21" t="n"/>
    </row>
    <row r="73" ht="15" customHeight="1">
      <c r="A73" s="88" t="n"/>
      <c r="B73" s="24" t="n"/>
      <c r="C73" s="24" t="n"/>
      <c r="D73" s="24" t="n"/>
      <c r="E73" s="24" t="n"/>
      <c r="F73" s="24" t="n"/>
      <c r="G73" s="25" t="n"/>
      <c r="H73" s="24" t="n"/>
      <c r="I73" s="28" t="n"/>
    </row>
    <row r="74" ht="15" customHeight="1">
      <c r="A74" s="87" t="n"/>
      <c r="B74" s="21" t="n"/>
      <c r="C74" s="21" t="n"/>
      <c r="D74" s="21" t="n"/>
      <c r="E74" s="21" t="n"/>
      <c r="F74" s="21" t="n"/>
      <c r="G74" s="22" t="n"/>
      <c r="H74" s="21" t="n"/>
      <c r="I74" s="21" t="n"/>
    </row>
    <row r="75" ht="15" customHeight="1">
      <c r="A75" s="88" t="n"/>
      <c r="B75" s="24" t="n"/>
      <c r="C75" s="24" t="n"/>
      <c r="D75" s="24" t="n"/>
      <c r="E75" s="24" t="n"/>
      <c r="F75" s="24" t="n"/>
      <c r="G75" s="25" t="n"/>
      <c r="H75" s="24" t="n"/>
      <c r="I75" s="28" t="n"/>
    </row>
    <row r="76" ht="15" customHeight="1">
      <c r="A76" s="87" t="n"/>
      <c r="B76" s="21" t="n"/>
      <c r="C76" s="21" t="n"/>
      <c r="D76" s="21" t="n"/>
      <c r="E76" s="21" t="n"/>
      <c r="F76" s="21" t="n"/>
      <c r="G76" s="22" t="n"/>
      <c r="H76" s="21" t="n"/>
      <c r="I76" s="21" t="n"/>
    </row>
    <row r="77" ht="15" customHeight="1">
      <c r="A77" s="88" t="n"/>
      <c r="B77" s="24" t="n"/>
      <c r="C77" s="24" t="n"/>
      <c r="D77" s="24" t="n"/>
      <c r="E77" s="24" t="n"/>
      <c r="F77" s="24" t="n"/>
      <c r="G77" s="25" t="n"/>
      <c r="H77" s="24" t="n"/>
      <c r="I77" s="28" t="n"/>
    </row>
    <row r="78" ht="15" customHeight="1">
      <c r="A78" s="87" t="n"/>
      <c r="B78" s="21" t="n"/>
      <c r="C78" s="21" t="n"/>
      <c r="D78" s="21" t="n"/>
      <c r="E78" s="21" t="n"/>
      <c r="F78" s="21" t="n"/>
      <c r="G78" s="22" t="n"/>
      <c r="H78" s="21" t="n"/>
      <c r="I78" s="21" t="n"/>
    </row>
    <row r="79" ht="15" customHeight="1">
      <c r="A79" s="88" t="n"/>
      <c r="B79" s="24" t="n"/>
      <c r="C79" s="24" t="n"/>
      <c r="D79" s="24" t="n"/>
      <c r="E79" s="24" t="n"/>
      <c r="F79" s="24" t="n"/>
      <c r="G79" s="25" t="n"/>
      <c r="H79" s="24" t="n"/>
      <c r="I79" s="28" t="n"/>
    </row>
    <row r="80" ht="15" customHeight="1">
      <c r="A80" s="87" t="n"/>
      <c r="B80" s="21" t="n"/>
      <c r="C80" s="21" t="n"/>
      <c r="D80" s="21" t="n"/>
      <c r="E80" s="21" t="n"/>
      <c r="F80" s="21" t="n"/>
      <c r="G80" s="22" t="n"/>
      <c r="H80" s="21" t="n"/>
      <c r="I80" s="21" t="n"/>
    </row>
    <row r="81" ht="15" customHeight="1">
      <c r="A81" s="88" t="n"/>
      <c r="B81" s="24" t="n"/>
      <c r="C81" s="24" t="n"/>
      <c r="D81" s="24" t="n"/>
      <c r="E81" s="24" t="n"/>
      <c r="F81" s="24" t="n"/>
      <c r="G81" s="25" t="n"/>
      <c r="H81" s="24" t="n"/>
      <c r="I81" s="28" t="n"/>
    </row>
    <row r="82" ht="15" customHeight="1">
      <c r="A82" s="87" t="n"/>
      <c r="B82" s="21" t="n"/>
      <c r="C82" s="21" t="n"/>
      <c r="D82" s="21" t="n"/>
      <c r="E82" s="21" t="n"/>
      <c r="F82" s="21" t="n"/>
      <c r="G82" s="22" t="n"/>
      <c r="H82" s="21" t="n"/>
      <c r="I82" s="21" t="n"/>
    </row>
    <row r="83" ht="15" customHeight="1">
      <c r="A83" s="88" t="n"/>
      <c r="B83" s="24" t="n"/>
      <c r="C83" s="24" t="n"/>
      <c r="D83" s="24" t="n"/>
      <c r="E83" s="24" t="n"/>
      <c r="F83" s="24" t="n"/>
      <c r="G83" s="25" t="n"/>
      <c r="H83" s="24" t="n"/>
      <c r="I83" s="28" t="n"/>
    </row>
    <row r="84" ht="15" customHeight="1">
      <c r="A84" s="87" t="n"/>
      <c r="B84" s="21" t="n"/>
      <c r="C84" s="21" t="n"/>
      <c r="D84" s="21" t="n"/>
      <c r="E84" s="21" t="n"/>
      <c r="F84" s="21" t="n"/>
      <c r="G84" s="22" t="n"/>
      <c r="H84" s="21" t="n"/>
      <c r="I84" s="21" t="n"/>
    </row>
    <row r="85" ht="15" customHeight="1">
      <c r="A85" s="88" t="n"/>
      <c r="B85" s="24" t="n"/>
      <c r="C85" s="24" t="n"/>
      <c r="D85" s="24" t="n"/>
      <c r="E85" s="24" t="n"/>
      <c r="F85" s="24" t="n"/>
      <c r="G85" s="25" t="n"/>
      <c r="H85" s="24" t="n"/>
      <c r="I85" s="28" t="n"/>
    </row>
    <row r="86" ht="15" customHeight="1">
      <c r="A86" s="87" t="n"/>
      <c r="B86" s="21" t="n"/>
      <c r="C86" s="21" t="n"/>
      <c r="D86" s="21" t="n"/>
      <c r="E86" s="21" t="n"/>
      <c r="F86" s="21" t="n"/>
      <c r="G86" s="22" t="n"/>
      <c r="H86" s="21" t="n"/>
      <c r="I86" s="21" t="n"/>
    </row>
    <row r="87" ht="15" customHeight="1">
      <c r="A87" s="88" t="n"/>
      <c r="B87" s="24" t="n"/>
      <c r="C87" s="24" t="n"/>
      <c r="D87" s="24" t="n"/>
      <c r="E87" s="24" t="n"/>
      <c r="F87" s="24" t="n"/>
      <c r="G87" s="25" t="n"/>
      <c r="H87" s="24" t="n"/>
      <c r="I87" s="28" t="n"/>
    </row>
    <row r="88" ht="15" customHeight="1">
      <c r="A88" s="87" t="n"/>
      <c r="B88" s="21" t="n"/>
      <c r="C88" s="21" t="n"/>
      <c r="D88" s="21" t="n"/>
      <c r="E88" s="21" t="n"/>
      <c r="F88" s="21" t="n"/>
      <c r="G88" s="22" t="n"/>
      <c r="H88" s="21" t="n"/>
      <c r="I88" s="21" t="n"/>
    </row>
    <row r="89" ht="15" customHeight="1">
      <c r="A89" s="88" t="n"/>
      <c r="B89" s="24" t="n"/>
      <c r="C89" s="24" t="n"/>
      <c r="D89" s="24" t="n"/>
      <c r="E89" s="24" t="n"/>
      <c r="F89" s="24" t="n"/>
      <c r="G89" s="25" t="n"/>
      <c r="H89" s="24" t="n"/>
      <c r="I89" s="28" t="n"/>
    </row>
    <row r="90" ht="15" customHeight="1">
      <c r="A90" s="87" t="n"/>
      <c r="B90" s="21" t="n"/>
      <c r="C90" s="21" t="n"/>
      <c r="D90" s="21" t="n"/>
      <c r="E90" s="21" t="n"/>
      <c r="F90" s="21" t="n"/>
      <c r="G90" s="22" t="n"/>
      <c r="H90" s="21" t="n"/>
      <c r="I90" s="21" t="n"/>
    </row>
    <row r="91" ht="15" customHeight="1">
      <c r="A91" s="88" t="n"/>
      <c r="B91" s="24" t="n"/>
      <c r="C91" s="24" t="n"/>
      <c r="D91" s="24" t="n"/>
      <c r="E91" s="24" t="n"/>
      <c r="F91" s="24" t="n"/>
      <c r="G91" s="25" t="n"/>
      <c r="H91" s="24" t="n"/>
      <c r="I91" s="28" t="n"/>
    </row>
    <row r="92" ht="15" customHeight="1">
      <c r="A92" s="87" t="n"/>
      <c r="B92" s="21" t="n"/>
      <c r="C92" s="21" t="n"/>
      <c r="D92" s="21" t="n"/>
      <c r="E92" s="21" t="n"/>
      <c r="F92" s="21" t="n"/>
      <c r="G92" s="22" t="n"/>
      <c r="H92" s="21" t="n"/>
      <c r="I92" s="21" t="n"/>
    </row>
    <row r="93" ht="15" customHeight="1">
      <c r="A93" s="88" t="n"/>
      <c r="B93" s="24" t="n"/>
      <c r="C93" s="24" t="n"/>
      <c r="D93" s="24" t="n"/>
      <c r="E93" s="24" t="n"/>
      <c r="F93" s="24" t="n"/>
      <c r="G93" s="25" t="n"/>
      <c r="H93" s="24" t="n"/>
      <c r="I93" s="28" t="n"/>
    </row>
    <row r="94" ht="15" customHeight="1">
      <c r="A94" s="87" t="n"/>
      <c r="B94" s="21" t="n"/>
      <c r="C94" s="21" t="n"/>
      <c r="D94" s="21" t="n"/>
      <c r="E94" s="21" t="n"/>
      <c r="F94" s="21" t="n"/>
      <c r="G94" s="22" t="n"/>
      <c r="H94" s="21" t="n"/>
      <c r="I94" s="21" t="n"/>
    </row>
    <row r="95" ht="15" customHeight="1">
      <c r="A95" s="88" t="n"/>
      <c r="B95" s="24" t="n"/>
      <c r="C95" s="24" t="n"/>
      <c r="D95" s="24" t="n"/>
      <c r="E95" s="24" t="n"/>
      <c r="F95" s="24" t="n"/>
      <c r="G95" s="25" t="n"/>
      <c r="H95" s="24" t="n"/>
      <c r="I95" s="28" t="n"/>
    </row>
    <row r="96" ht="15" customHeight="1">
      <c r="A96" s="87" t="n"/>
      <c r="B96" s="21" t="n"/>
      <c r="C96" s="21" t="n"/>
      <c r="D96" s="21" t="n"/>
      <c r="E96" s="21" t="n"/>
      <c r="F96" s="21" t="n"/>
      <c r="G96" s="22" t="n"/>
      <c r="H96" s="21" t="n"/>
      <c r="I96" s="21" t="n"/>
    </row>
    <row r="97" ht="15" customHeight="1">
      <c r="A97" s="88" t="n"/>
      <c r="B97" s="24" t="n"/>
      <c r="C97" s="24" t="n"/>
      <c r="D97" s="24" t="n"/>
      <c r="E97" s="24" t="n"/>
      <c r="F97" s="24" t="n"/>
      <c r="G97" s="25" t="n"/>
      <c r="H97" s="24" t="n"/>
      <c r="I97" s="28" t="n"/>
    </row>
    <row r="98" ht="15" customHeight="1">
      <c r="A98" s="87" t="n"/>
      <c r="B98" s="21" t="n"/>
      <c r="C98" s="21" t="n"/>
      <c r="D98" s="21" t="n"/>
      <c r="E98" s="21" t="n"/>
      <c r="F98" s="21" t="n"/>
      <c r="G98" s="22" t="n"/>
      <c r="H98" s="21" t="n"/>
      <c r="I98" s="21" t="n"/>
    </row>
    <row r="99" ht="15" customHeight="1">
      <c r="A99" s="88" t="n"/>
      <c r="B99" s="24" t="n"/>
      <c r="C99" s="24" t="n"/>
      <c r="D99" s="24" t="n"/>
      <c r="E99" s="24" t="n"/>
      <c r="F99" s="24" t="n"/>
      <c r="G99" s="25" t="n"/>
      <c r="H99" s="24" t="n"/>
      <c r="I99" s="28" t="n"/>
    </row>
    <row r="100" ht="15" customHeight="1">
      <c r="A100" s="87" t="n"/>
      <c r="B100" s="21" t="n"/>
      <c r="C100" s="21" t="n"/>
      <c r="D100" s="21" t="n"/>
      <c r="E100" s="21" t="n"/>
      <c r="F100" s="21" t="n"/>
      <c r="G100" s="22" t="n"/>
      <c r="H100" s="21" t="n"/>
      <c r="I100" s="21" t="n"/>
    </row>
    <row r="101" ht="15" customHeight="1">
      <c r="A101" s="88" t="n"/>
      <c r="B101" s="24" t="n"/>
      <c r="C101" s="24" t="n"/>
      <c r="D101" s="24" t="n"/>
      <c r="E101" s="24" t="n"/>
      <c r="F101" s="24" t="n"/>
      <c r="G101" s="25" t="n"/>
      <c r="H101" s="24" t="n"/>
      <c r="I101" s="28" t="n"/>
    </row>
    <row r="102" ht="15" customHeight="1">
      <c r="A102" s="87" t="n"/>
      <c r="B102" s="21" t="n"/>
      <c r="C102" s="21" t="n"/>
      <c r="D102" s="21" t="n"/>
      <c r="E102" s="21" t="n"/>
      <c r="F102" s="21" t="n"/>
      <c r="G102" s="22" t="n"/>
      <c r="H102" s="21" t="n"/>
      <c r="I102" s="21" t="n"/>
    </row>
    <row r="103" ht="15" customHeight="1">
      <c r="A103" s="88" t="n"/>
      <c r="B103" s="24" t="n"/>
      <c r="C103" s="24" t="n"/>
      <c r="D103" s="24" t="n"/>
      <c r="E103" s="24" t="n"/>
      <c r="F103" s="24" t="n"/>
      <c r="G103" s="25" t="n"/>
      <c r="H103" s="24" t="n"/>
      <c r="I103" s="28" t="n"/>
    </row>
    <row r="104" ht="15" customHeight="1">
      <c r="A104" s="87" t="n"/>
      <c r="B104" s="21" t="n"/>
      <c r="C104" s="21" t="n"/>
      <c r="D104" s="21" t="n"/>
      <c r="E104" s="21" t="n"/>
      <c r="F104" s="21" t="n"/>
      <c r="G104" s="22" t="n"/>
      <c r="H104" s="21" t="n"/>
      <c r="I104" s="21" t="n"/>
    </row>
    <row r="105" ht="15" customHeight="1">
      <c r="A105" s="88" t="n"/>
      <c r="B105" s="24" t="n"/>
      <c r="C105" s="24" t="n"/>
      <c r="D105" s="24" t="n"/>
      <c r="E105" s="24" t="n"/>
      <c r="F105" s="24" t="n"/>
      <c r="G105" s="25" t="n"/>
      <c r="H105" s="24" t="n"/>
      <c r="I105" s="28" t="n"/>
    </row>
    <row r="106" ht="15" customHeight="1">
      <c r="A106" s="87" t="n"/>
      <c r="B106" s="21" t="n"/>
      <c r="C106" s="21" t="n"/>
      <c r="D106" s="21" t="n"/>
      <c r="E106" s="21" t="n"/>
      <c r="F106" s="21" t="n"/>
      <c r="G106" s="22" t="n"/>
      <c r="H106" s="21" t="n"/>
      <c r="I106" s="21" t="n"/>
    </row>
    <row r="107" ht="15" customHeight="1">
      <c r="A107" s="88" t="n"/>
      <c r="B107" s="24" t="n"/>
      <c r="C107" s="24" t="n"/>
      <c r="D107" s="24" t="n"/>
      <c r="E107" s="24" t="n"/>
      <c r="F107" s="24" t="n"/>
      <c r="G107" s="25" t="n"/>
      <c r="H107" s="24" t="n"/>
      <c r="I107" s="28" t="n"/>
    </row>
    <row r="108" ht="15" customHeight="1">
      <c r="A108" s="87" t="n"/>
      <c r="B108" s="21" t="n"/>
      <c r="C108" s="21" t="n"/>
      <c r="D108" s="21" t="n"/>
      <c r="E108" s="21" t="n"/>
      <c r="F108" s="21" t="n"/>
      <c r="G108" s="22" t="n"/>
      <c r="H108" s="21" t="n"/>
      <c r="I108" s="21" t="n"/>
    </row>
    <row r="109" ht="15" customHeight="1">
      <c r="A109" s="88" t="n"/>
      <c r="B109" s="24" t="n"/>
      <c r="C109" s="24" t="n"/>
      <c r="D109" s="24" t="n"/>
      <c r="E109" s="24" t="n"/>
      <c r="F109" s="24" t="n"/>
      <c r="G109" s="25" t="n"/>
      <c r="H109" s="24" t="n"/>
      <c r="I109" s="28" t="n"/>
    </row>
    <row r="110" ht="15" customHeight="1">
      <c r="A110" s="87" t="n"/>
      <c r="B110" s="21" t="n"/>
      <c r="C110" s="21" t="n"/>
      <c r="D110" s="21" t="n"/>
      <c r="E110" s="21" t="n"/>
      <c r="F110" s="21" t="n"/>
      <c r="G110" s="22" t="n"/>
      <c r="H110" s="21" t="n"/>
      <c r="I110" s="21" t="n"/>
    </row>
    <row r="111" ht="15" customHeight="1">
      <c r="A111" s="88" t="n"/>
      <c r="B111" s="24" t="n"/>
      <c r="C111" s="24" t="n"/>
      <c r="D111" s="24" t="n"/>
      <c r="E111" s="24" t="n"/>
      <c r="F111" s="24" t="n"/>
      <c r="G111" s="25" t="n"/>
      <c r="H111" s="24" t="n"/>
      <c r="I111" s="28" t="n"/>
    </row>
    <row r="112" ht="15" customHeight="1">
      <c r="A112" s="87" t="n"/>
      <c r="B112" s="21" t="n"/>
      <c r="C112" s="21" t="n"/>
      <c r="D112" s="21" t="n"/>
      <c r="E112" s="21" t="n"/>
      <c r="F112" s="21" t="n"/>
      <c r="G112" s="22" t="n"/>
      <c r="H112" s="21" t="n"/>
      <c r="I112" s="21" t="n"/>
    </row>
    <row r="113" ht="15" customHeight="1">
      <c r="A113" s="88" t="n"/>
      <c r="B113" s="24" t="n"/>
      <c r="C113" s="24" t="n"/>
      <c r="D113" s="24" t="n"/>
      <c r="E113" s="24" t="n"/>
      <c r="F113" s="24" t="n"/>
      <c r="G113" s="25" t="n"/>
      <c r="H113" s="24" t="n"/>
      <c r="I113" s="28" t="n"/>
    </row>
    <row r="114" ht="15" customHeight="1">
      <c r="A114" s="87" t="n"/>
      <c r="B114" s="21" t="n"/>
      <c r="C114" s="21" t="n"/>
      <c r="D114" s="21" t="n"/>
      <c r="E114" s="21" t="n"/>
      <c r="F114" s="21" t="n"/>
      <c r="G114" s="22" t="n"/>
      <c r="H114" s="21" t="n"/>
      <c r="I114" s="21" t="n"/>
    </row>
    <row r="115" ht="15" customHeight="1">
      <c r="A115" s="88" t="n"/>
      <c r="B115" s="24" t="n"/>
      <c r="C115" s="24" t="n"/>
      <c r="D115" s="24" t="n"/>
      <c r="E115" s="24" t="n"/>
      <c r="F115" s="24" t="n"/>
      <c r="G115" s="25" t="n"/>
      <c r="H115" s="24" t="n"/>
      <c r="I115" s="28" t="n"/>
    </row>
    <row r="116" ht="15" customHeight="1">
      <c r="A116" s="87" t="n"/>
      <c r="B116" s="21" t="n"/>
      <c r="C116" s="21" t="n"/>
      <c r="D116" s="21" t="n"/>
      <c r="E116" s="21" t="n"/>
      <c r="F116" s="21" t="n"/>
      <c r="G116" s="22" t="n"/>
      <c r="H116" s="21" t="n"/>
      <c r="I116" s="21" t="n"/>
    </row>
    <row r="117" ht="15" customHeight="1">
      <c r="A117" s="88" t="n"/>
      <c r="B117" s="24" t="n"/>
      <c r="C117" s="24" t="n"/>
      <c r="D117" s="24" t="n"/>
      <c r="E117" s="24" t="n"/>
      <c r="F117" s="24" t="n"/>
      <c r="G117" s="25" t="n"/>
      <c r="H117" s="24" t="n"/>
      <c r="I117" s="28" t="n"/>
    </row>
    <row r="118" ht="15" customHeight="1">
      <c r="A118" s="87" t="n"/>
      <c r="B118" s="21" t="n"/>
      <c r="C118" s="21" t="n"/>
      <c r="D118" s="21" t="n"/>
      <c r="E118" s="21" t="n"/>
      <c r="F118" s="21" t="n"/>
      <c r="G118" s="22" t="n"/>
      <c r="H118" s="21" t="n"/>
      <c r="I118" s="21" t="n"/>
    </row>
    <row r="119" ht="15" customHeight="1">
      <c r="A119" s="88" t="n"/>
      <c r="B119" s="24" t="n"/>
      <c r="C119" s="24" t="n"/>
      <c r="D119" s="24" t="n"/>
      <c r="E119" s="24" t="n"/>
      <c r="F119" s="24" t="n"/>
      <c r="G119" s="25" t="n"/>
      <c r="H119" s="24" t="n"/>
      <c r="I119" s="28" t="n"/>
    </row>
    <row r="120" ht="15" customHeight="1">
      <c r="A120" s="87" t="n"/>
      <c r="B120" s="21" t="n"/>
      <c r="C120" s="21" t="n"/>
      <c r="D120" s="21" t="n"/>
      <c r="E120" s="21" t="n"/>
      <c r="F120" s="21" t="n"/>
      <c r="G120" s="22" t="n"/>
      <c r="H120" s="21" t="n"/>
      <c r="I120" s="21" t="n"/>
    </row>
    <row r="121" ht="15" customHeight="1">
      <c r="A121" s="88" t="n"/>
      <c r="B121" s="24" t="n"/>
      <c r="C121" s="24" t="n"/>
      <c r="D121" s="24" t="n"/>
      <c r="E121" s="24" t="n"/>
      <c r="F121" s="24" t="n"/>
      <c r="G121" s="25" t="n"/>
      <c r="H121" s="24" t="n"/>
      <c r="I121" s="28" t="n"/>
    </row>
    <row r="122" ht="15" customHeight="1">
      <c r="A122" s="87" t="n"/>
      <c r="B122" s="21" t="n"/>
      <c r="C122" s="21" t="n"/>
      <c r="D122" s="21" t="n"/>
      <c r="E122" s="21" t="n"/>
      <c r="F122" s="21" t="n"/>
      <c r="G122" s="22" t="n"/>
      <c r="H122" s="21" t="n"/>
      <c r="I122" s="21" t="n"/>
    </row>
    <row r="123" ht="15" customHeight="1">
      <c r="A123" s="88" t="n"/>
      <c r="B123" s="24" t="n"/>
      <c r="C123" s="24" t="n"/>
      <c r="D123" s="24" t="n"/>
      <c r="E123" s="24" t="n"/>
      <c r="F123" s="24" t="n"/>
      <c r="G123" s="25" t="n"/>
      <c r="H123" s="24" t="n"/>
      <c r="I123" s="28" t="n"/>
    </row>
    <row r="124" ht="15" customHeight="1">
      <c r="A124" s="87" t="n"/>
      <c r="B124" s="21" t="n"/>
      <c r="C124" s="21" t="n"/>
      <c r="D124" s="21" t="n"/>
      <c r="E124" s="21" t="n"/>
      <c r="F124" s="21" t="n"/>
      <c r="G124" s="22" t="n"/>
      <c r="H124" s="21" t="n"/>
      <c r="I124" s="21" t="n"/>
    </row>
    <row r="125" ht="15" customHeight="1">
      <c r="A125" s="88" t="n"/>
      <c r="B125" s="24" t="n"/>
      <c r="C125" s="24" t="n"/>
      <c r="D125" s="24" t="n"/>
      <c r="E125" s="24" t="n"/>
      <c r="F125" s="24" t="n"/>
      <c r="G125" s="25" t="n"/>
      <c r="H125" s="24" t="n"/>
      <c r="I125" s="28" t="n"/>
    </row>
    <row r="126" ht="15" customHeight="1">
      <c r="A126" s="87" t="n"/>
      <c r="B126" s="21" t="n"/>
      <c r="C126" s="21" t="n"/>
      <c r="D126" s="21" t="n"/>
      <c r="E126" s="21" t="n"/>
      <c r="F126" s="21" t="n"/>
      <c r="G126" s="22" t="n"/>
      <c r="H126" s="21" t="n"/>
      <c r="I126" s="21" t="n"/>
    </row>
    <row r="127" ht="15" customHeight="1">
      <c r="A127" s="88" t="n"/>
      <c r="B127" s="24" t="n"/>
      <c r="C127" s="24" t="n"/>
      <c r="D127" s="24" t="n"/>
      <c r="E127" s="24" t="n"/>
      <c r="F127" s="24" t="n"/>
      <c r="G127" s="25" t="n"/>
      <c r="H127" s="24" t="n"/>
      <c r="I127" s="28" t="n"/>
    </row>
    <row r="128" ht="15" customHeight="1">
      <c r="A128" s="87" t="n"/>
      <c r="B128" s="21" t="n"/>
      <c r="C128" s="21" t="n"/>
      <c r="D128" s="21" t="n"/>
      <c r="E128" s="21" t="n"/>
      <c r="F128" s="21" t="n"/>
      <c r="G128" s="22" t="n"/>
      <c r="H128" s="21" t="n"/>
      <c r="I128" s="21" t="n"/>
    </row>
    <row r="129" ht="15" customHeight="1">
      <c r="A129" s="88" t="n"/>
      <c r="B129" s="24" t="n"/>
      <c r="C129" s="24" t="n"/>
      <c r="D129" s="24" t="n"/>
      <c r="E129" s="24" t="n"/>
      <c r="F129" s="24" t="n"/>
      <c r="G129" s="25" t="n"/>
      <c r="H129" s="24" t="n"/>
      <c r="I129" s="28" t="n"/>
    </row>
    <row r="130" ht="15" customHeight="1">
      <c r="A130" s="87" t="n"/>
      <c r="B130" s="21" t="n"/>
      <c r="C130" s="21" t="n"/>
      <c r="D130" s="21" t="n"/>
      <c r="E130" s="21" t="n"/>
      <c r="F130" s="21" t="n"/>
      <c r="G130" s="22" t="n"/>
      <c r="H130" s="21" t="n"/>
      <c r="I130" s="21" t="n"/>
    </row>
    <row r="131" ht="15" customHeight="1">
      <c r="A131" s="88" t="n"/>
      <c r="B131" s="24" t="n"/>
      <c r="C131" s="24" t="n"/>
      <c r="D131" s="24" t="n"/>
      <c r="E131" s="24" t="n"/>
      <c r="F131" s="24" t="n"/>
      <c r="G131" s="25" t="n"/>
      <c r="H131" s="24" t="n"/>
      <c r="I131" s="28" t="n"/>
    </row>
    <row r="132" ht="15" customHeight="1">
      <c r="A132" s="87" t="n"/>
      <c r="B132" s="21" t="n"/>
      <c r="C132" s="21" t="n"/>
      <c r="D132" s="21" t="n"/>
      <c r="E132" s="21" t="n"/>
      <c r="F132" s="21" t="n"/>
      <c r="G132" s="22" t="n"/>
      <c r="H132" s="21" t="n"/>
      <c r="I132" s="21" t="n"/>
    </row>
    <row r="133" ht="15" customHeight="1">
      <c r="A133" s="88" t="n"/>
      <c r="B133" s="24" t="n"/>
      <c r="C133" s="24" t="n"/>
      <c r="D133" s="24" t="n"/>
      <c r="E133" s="24" t="n"/>
      <c r="F133" s="24" t="n"/>
      <c r="G133" s="25" t="n"/>
      <c r="H133" s="24" t="n"/>
      <c r="I133" s="28" t="n"/>
    </row>
    <row r="134" ht="15" customHeight="1">
      <c r="A134" s="87" t="n"/>
      <c r="B134" s="21" t="n"/>
      <c r="C134" s="21" t="n"/>
      <c r="D134" s="21" t="n"/>
      <c r="E134" s="21" t="n"/>
      <c r="F134" s="21" t="n"/>
      <c r="G134" s="22" t="n"/>
      <c r="H134" s="21" t="n"/>
      <c r="I134" s="21" t="n"/>
    </row>
    <row r="135" ht="15" customHeight="1">
      <c r="A135" s="88" t="n"/>
      <c r="B135" s="24" t="n"/>
      <c r="C135" s="24" t="n"/>
      <c r="D135" s="24" t="n"/>
      <c r="E135" s="24" t="n"/>
      <c r="F135" s="24" t="n"/>
      <c r="G135" s="25" t="n"/>
      <c r="H135" s="24" t="n"/>
      <c r="I135" s="28" t="n"/>
    </row>
    <row r="136" ht="15" customHeight="1">
      <c r="A136" s="87" t="n"/>
      <c r="B136" s="21" t="n"/>
      <c r="C136" s="21" t="n"/>
      <c r="D136" s="21" t="n"/>
      <c r="E136" s="21" t="n"/>
      <c r="F136" s="21" t="n"/>
      <c r="G136" s="22" t="n"/>
      <c r="H136" s="21" t="n"/>
      <c r="I136" s="21" t="n"/>
    </row>
    <row r="137" ht="15" customHeight="1">
      <c r="A137" s="88" t="n"/>
      <c r="B137" s="24" t="n"/>
      <c r="C137" s="24" t="n"/>
      <c r="D137" s="24" t="n"/>
      <c r="E137" s="24" t="n"/>
      <c r="F137" s="24" t="n"/>
      <c r="G137" s="25" t="n"/>
      <c r="H137" s="24" t="n"/>
      <c r="I137" s="28" t="n"/>
    </row>
    <row r="138" ht="15" customHeight="1">
      <c r="A138" s="87" t="n"/>
      <c r="B138" s="21" t="n"/>
      <c r="C138" s="21" t="n"/>
      <c r="D138" s="21" t="n"/>
      <c r="E138" s="21" t="n"/>
      <c r="F138" s="21" t="n"/>
      <c r="G138" s="22" t="n"/>
      <c r="H138" s="21" t="n"/>
      <c r="I138" s="21" t="n"/>
    </row>
    <row r="139" ht="15" customHeight="1">
      <c r="A139" s="88" t="n"/>
      <c r="B139" s="24" t="n"/>
      <c r="C139" s="24" t="n"/>
      <c r="D139" s="24" t="n"/>
      <c r="E139" s="24" t="n"/>
      <c r="F139" s="24" t="n"/>
      <c r="G139" s="25" t="n"/>
      <c r="H139" s="24" t="n"/>
      <c r="I139" s="28" t="n"/>
    </row>
    <row r="140" ht="15" customHeight="1">
      <c r="A140" s="87" t="n"/>
      <c r="B140" s="21" t="n"/>
      <c r="C140" s="21" t="n"/>
      <c r="D140" s="21" t="n"/>
      <c r="E140" s="21" t="n"/>
      <c r="F140" s="21" t="n"/>
      <c r="G140" s="22" t="n"/>
      <c r="H140" s="21" t="n"/>
      <c r="I140" s="21" t="n"/>
    </row>
    <row r="141" ht="15" customHeight="1">
      <c r="A141" s="88" t="n"/>
      <c r="B141" s="24" t="n"/>
      <c r="C141" s="24" t="n"/>
      <c r="D141" s="24" t="n"/>
      <c r="E141" s="24" t="n"/>
      <c r="F141" s="24" t="n"/>
      <c r="G141" s="25" t="n"/>
      <c r="H141" s="24" t="n"/>
      <c r="I141" s="28" t="n"/>
    </row>
    <row r="142" ht="15" customHeight="1">
      <c r="A142" s="87" t="n"/>
      <c r="B142" s="21" t="n"/>
      <c r="C142" s="21" t="n"/>
      <c r="D142" s="21" t="n"/>
      <c r="E142" s="21" t="n"/>
      <c r="F142" s="21" t="n"/>
      <c r="G142" s="22" t="n"/>
      <c r="H142" s="21" t="n"/>
      <c r="I142" s="21" t="n"/>
    </row>
    <row r="143" ht="15" customHeight="1">
      <c r="A143" s="88" t="n"/>
      <c r="B143" s="24" t="n"/>
      <c r="C143" s="24" t="n"/>
      <c r="D143" s="24" t="n"/>
      <c r="E143" s="24" t="n"/>
      <c r="F143" s="24" t="n"/>
      <c r="G143" s="25" t="n"/>
      <c r="H143" s="24" t="n"/>
      <c r="I143" s="28" t="n"/>
    </row>
    <row r="144" ht="15" customHeight="1">
      <c r="A144" s="87" t="n"/>
      <c r="B144" s="21" t="n"/>
      <c r="C144" s="21" t="n"/>
      <c r="D144" s="21" t="n"/>
      <c r="E144" s="21" t="n"/>
      <c r="F144" s="21" t="n"/>
      <c r="G144" s="22" t="n"/>
      <c r="H144" s="21" t="n"/>
      <c r="I144" s="21" t="n"/>
    </row>
    <row r="145" ht="15" customHeight="1">
      <c r="A145" s="88" t="n"/>
      <c r="B145" s="24" t="n"/>
      <c r="C145" s="24" t="n"/>
      <c r="D145" s="24" t="n"/>
      <c r="E145" s="24" t="n"/>
      <c r="F145" s="24" t="n"/>
      <c r="G145" s="25" t="n"/>
      <c r="H145" s="24" t="n"/>
      <c r="I145" s="28" t="n"/>
    </row>
    <row r="146" ht="15" customHeight="1">
      <c r="A146" s="87" t="n"/>
      <c r="B146" s="21" t="n"/>
      <c r="C146" s="21" t="n"/>
      <c r="D146" s="21" t="n"/>
      <c r="E146" s="21" t="n"/>
      <c r="F146" s="21" t="n"/>
      <c r="G146" s="22" t="n"/>
      <c r="H146" s="21" t="n"/>
      <c r="I146" s="21" t="n"/>
    </row>
    <row r="147" ht="15" customHeight="1">
      <c r="A147" s="88" t="n"/>
      <c r="B147" s="24" t="n"/>
      <c r="C147" s="24" t="n"/>
      <c r="D147" s="24" t="n"/>
      <c r="E147" s="24" t="n"/>
      <c r="F147" s="24" t="n"/>
      <c r="G147" s="25" t="n"/>
      <c r="H147" s="24" t="n"/>
      <c r="I147" s="28" t="n"/>
    </row>
    <row r="148" ht="15" customHeight="1">
      <c r="A148" s="87" t="n"/>
      <c r="B148" s="21" t="n"/>
      <c r="C148" s="21" t="n"/>
      <c r="D148" s="21" t="n"/>
      <c r="E148" s="21" t="n"/>
      <c r="F148" s="21" t="n"/>
      <c r="G148" s="22" t="n"/>
      <c r="H148" s="21" t="n"/>
      <c r="I148" s="21" t="n"/>
    </row>
    <row r="149" ht="15" customHeight="1">
      <c r="A149" s="88" t="n"/>
      <c r="B149" s="24" t="n"/>
      <c r="C149" s="24" t="n"/>
      <c r="D149" s="24" t="n"/>
      <c r="E149" s="24" t="n"/>
      <c r="F149" s="24" t="n"/>
      <c r="G149" s="25" t="n"/>
      <c r="H149" s="24" t="n"/>
      <c r="I149" s="28" t="n"/>
    </row>
    <row r="150" ht="15" customHeight="1">
      <c r="A150" s="87" t="n"/>
      <c r="B150" s="21" t="n"/>
      <c r="C150" s="21" t="n"/>
      <c r="D150" s="21" t="n"/>
      <c r="E150" s="21" t="n"/>
      <c r="F150" s="21" t="n"/>
      <c r="G150" s="22" t="n"/>
      <c r="H150" s="21" t="n"/>
      <c r="I150" s="21" t="n"/>
    </row>
    <row r="151" ht="15" customHeight="1">
      <c r="A151" s="88" t="n"/>
      <c r="B151" s="24" t="n"/>
      <c r="C151" s="24" t="n"/>
      <c r="D151" s="24" t="n"/>
      <c r="E151" s="24" t="n"/>
      <c r="F151" s="24" t="n"/>
      <c r="G151" s="25" t="n"/>
      <c r="H151" s="24" t="n"/>
      <c r="I151" s="28" t="n"/>
    </row>
    <row r="152" ht="15" customHeight="1">
      <c r="A152" s="87" t="n"/>
      <c r="B152" s="21" t="n"/>
      <c r="C152" s="21" t="n"/>
      <c r="D152" s="21" t="n"/>
      <c r="E152" s="21" t="n"/>
      <c r="F152" s="21" t="n"/>
      <c r="G152" s="22" t="n"/>
      <c r="H152" s="21" t="n"/>
      <c r="I152" s="21" t="n"/>
    </row>
    <row r="153" ht="15" customHeight="1">
      <c r="A153" s="88" t="n"/>
      <c r="B153" s="24" t="n"/>
      <c r="C153" s="24" t="n"/>
      <c r="D153" s="24" t="n"/>
      <c r="E153" s="24" t="n"/>
      <c r="F153" s="24" t="n"/>
      <c r="G153" s="25" t="n"/>
      <c r="H153" s="24" t="n"/>
      <c r="I153" s="28" t="n"/>
    </row>
    <row r="154" ht="15" customHeight="1">
      <c r="A154" s="87" t="n"/>
      <c r="B154" s="21" t="n"/>
      <c r="C154" s="21" t="n"/>
      <c r="D154" s="21" t="n"/>
      <c r="E154" s="21" t="n"/>
      <c r="F154" s="21" t="n"/>
      <c r="G154" s="22" t="n"/>
      <c r="H154" s="21" t="n"/>
      <c r="I154" s="21" t="n"/>
    </row>
    <row r="155" ht="15" customHeight="1">
      <c r="A155" s="88" t="n"/>
      <c r="B155" s="24" t="n"/>
      <c r="C155" s="24" t="n"/>
      <c r="D155" s="24" t="n"/>
      <c r="E155" s="24" t="n"/>
      <c r="F155" s="24" t="n"/>
      <c r="G155" s="25" t="n"/>
      <c r="H155" s="24" t="n"/>
      <c r="I155" s="28" t="n"/>
    </row>
    <row r="156" ht="15" customHeight="1">
      <c r="A156" s="87" t="n"/>
      <c r="B156" s="21" t="n"/>
      <c r="C156" s="21" t="n"/>
      <c r="D156" s="21" t="n"/>
      <c r="E156" s="21" t="n"/>
      <c r="F156" s="21" t="n"/>
      <c r="G156" s="22" t="n"/>
      <c r="H156" s="21" t="n"/>
      <c r="I156" s="21" t="n"/>
    </row>
    <row r="157" ht="15" customHeight="1">
      <c r="A157" s="88" t="n"/>
      <c r="B157" s="24" t="n"/>
      <c r="C157" s="24" t="n"/>
      <c r="D157" s="24" t="n"/>
      <c r="E157" s="24" t="n"/>
      <c r="F157" s="24" t="n"/>
      <c r="G157" s="25" t="n"/>
      <c r="H157" s="24" t="n"/>
      <c r="I157" s="28" t="n"/>
    </row>
    <row r="158" ht="15" customHeight="1">
      <c r="A158" s="87" t="n"/>
      <c r="B158" s="21" t="n"/>
      <c r="C158" s="21" t="n"/>
      <c r="D158" s="21" t="n"/>
      <c r="E158" s="21" t="n"/>
      <c r="F158" s="21" t="n"/>
      <c r="G158" s="22" t="n"/>
      <c r="H158" s="21" t="n"/>
      <c r="I158" s="21" t="n"/>
    </row>
    <row r="159" ht="15" customHeight="1">
      <c r="A159" s="88" t="n"/>
      <c r="B159" s="24" t="n"/>
      <c r="C159" s="24" t="n"/>
      <c r="D159" s="24" t="n"/>
      <c r="E159" s="24" t="n"/>
      <c r="F159" s="24" t="n"/>
      <c r="G159" s="25" t="n"/>
      <c r="H159" s="24" t="n"/>
      <c r="I159" s="28" t="n"/>
    </row>
    <row r="160" ht="15" customHeight="1">
      <c r="A160" s="87" t="n"/>
      <c r="B160" s="21" t="n"/>
      <c r="C160" s="21" t="n"/>
      <c r="D160" s="21" t="n"/>
      <c r="E160" s="21" t="n"/>
      <c r="F160" s="21" t="n"/>
      <c r="G160" s="22" t="n"/>
      <c r="H160" s="21" t="n"/>
      <c r="I160" s="21" t="n"/>
    </row>
    <row r="161" ht="15" customHeight="1">
      <c r="A161" s="88" t="n"/>
      <c r="B161" s="24" t="n"/>
      <c r="C161" s="24" t="n"/>
      <c r="D161" s="24" t="n"/>
      <c r="E161" s="24" t="n"/>
      <c r="F161" s="24" t="n"/>
      <c r="G161" s="25" t="n"/>
      <c r="H161" s="24" t="n"/>
      <c r="I161" s="28" t="n"/>
    </row>
    <row r="162" ht="15" customHeight="1">
      <c r="A162" s="87" t="n"/>
      <c r="B162" s="21" t="n"/>
      <c r="C162" s="21" t="n"/>
      <c r="D162" s="21" t="n"/>
      <c r="E162" s="21" t="n"/>
      <c r="F162" s="21" t="n"/>
      <c r="G162" s="22" t="n"/>
      <c r="H162" s="21" t="n"/>
      <c r="I162" s="21" t="n"/>
    </row>
    <row r="163" ht="15" customHeight="1">
      <c r="A163" s="88" t="n"/>
      <c r="B163" s="24" t="n"/>
      <c r="C163" s="24" t="n"/>
      <c r="D163" s="24" t="n"/>
      <c r="E163" s="24" t="n"/>
      <c r="F163" s="24" t="n"/>
      <c r="G163" s="25" t="n"/>
      <c r="H163" s="24" t="n"/>
      <c r="I163" s="28" t="n"/>
    </row>
    <row r="164" ht="15" customHeight="1">
      <c r="A164" s="87" t="n"/>
      <c r="B164" s="21" t="n"/>
      <c r="C164" s="21" t="n"/>
      <c r="D164" s="21" t="n"/>
      <c r="E164" s="21" t="n"/>
      <c r="F164" s="21" t="n"/>
      <c r="G164" s="22" t="n"/>
      <c r="H164" s="21" t="n"/>
      <c r="I164" s="21" t="n"/>
    </row>
    <row r="165" ht="15" customHeight="1">
      <c r="A165" s="88" t="n"/>
      <c r="B165" s="24" t="n"/>
      <c r="C165" s="24" t="n"/>
      <c r="D165" s="24" t="n"/>
      <c r="E165" s="24" t="n"/>
      <c r="F165" s="24" t="n"/>
      <c r="G165" s="25" t="n"/>
      <c r="H165" s="24" t="n"/>
      <c r="I165" s="28" t="n"/>
    </row>
    <row r="166" ht="15" customHeight="1">
      <c r="A166" s="87" t="n"/>
      <c r="B166" s="21" t="n"/>
      <c r="C166" s="21" t="n"/>
      <c r="D166" s="21" t="n"/>
      <c r="E166" s="21" t="n"/>
      <c r="F166" s="21" t="n"/>
      <c r="G166" s="22" t="n"/>
      <c r="H166" s="21" t="n"/>
      <c r="I166" s="21" t="n"/>
    </row>
    <row r="167" ht="15" customHeight="1">
      <c r="A167" s="88" t="n"/>
      <c r="B167" s="24" t="n"/>
      <c r="C167" s="24" t="n"/>
      <c r="D167" s="24" t="n"/>
      <c r="E167" s="24" t="n"/>
      <c r="F167" s="24" t="n"/>
      <c r="G167" s="25" t="n"/>
      <c r="H167" s="24" t="n"/>
      <c r="I167" s="28" t="n"/>
    </row>
    <row r="168" ht="15" customHeight="1">
      <c r="A168" s="87" t="n"/>
      <c r="B168" s="21" t="n"/>
      <c r="C168" s="21" t="n"/>
      <c r="D168" s="21" t="n"/>
      <c r="E168" s="21" t="n"/>
      <c r="F168" s="21" t="n"/>
      <c r="G168" s="22" t="n"/>
      <c r="H168" s="21" t="n"/>
      <c r="I168" s="21" t="n"/>
    </row>
    <row r="169" ht="15" customHeight="1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</row>
    <row r="170" ht="15" customHeight="1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</row>
    <row r="171" ht="15" customHeight="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</row>
    <row r="172" ht="15" customHeight="1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</row>
    <row r="173" ht="15" customHeight="1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</row>
    <row r="174" ht="15" customHeight="1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</row>
    <row r="175" ht="15" customHeight="1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</row>
    <row r="176" ht="15" customHeight="1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</row>
    <row r="177" ht="15" customHeight="1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</row>
    <row r="178" ht="15" customHeight="1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</row>
    <row r="179" ht="15" customHeight="1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</row>
    <row r="180" ht="15" customHeight="1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</row>
    <row r="181" ht="15" customHeight="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</row>
    <row r="182" ht="15" customHeight="1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</row>
    <row r="183" ht="15" customHeight="1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</row>
    <row r="184" ht="15" customHeight="1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</row>
    <row r="185" ht="15" customHeight="1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</row>
    <row r="186" ht="15" customHeight="1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</row>
    <row r="187" ht="15" customHeight="1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</row>
    <row r="188" ht="15" customHeight="1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</row>
    <row r="189" ht="15" customHeight="1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</row>
    <row r="190" ht="15" customHeight="1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</row>
    <row r="191" ht="15" customHeight="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</row>
    <row r="192" ht="15" customHeight="1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</row>
    <row r="193" ht="15" customHeight="1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</row>
    <row r="194" ht="15" customHeight="1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</row>
    <row r="195" ht="15" customHeight="1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</row>
    <row r="196" ht="15" customHeight="1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</row>
    <row r="197" ht="15" customHeight="1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</row>
    <row r="198" ht="15" customHeight="1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</row>
    <row r="199" ht="15" customHeight="1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</row>
    <row r="200" ht="15" customHeight="1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</row>
    <row r="201" ht="15" customHeight="1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</row>
    <row r="202" ht="15" customHeight="1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</row>
    <row r="203" ht="15" customHeight="1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</row>
    <row r="204" ht="15" customHeight="1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</row>
    <row r="205" ht="15" customHeight="1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</row>
    <row r="206" ht="15" customHeight="1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</row>
    <row r="207" ht="15" customHeight="1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</row>
    <row r="208" ht="15" customHeight="1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</row>
    <row r="209" ht="15" customHeight="1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</row>
    <row r="210" ht="15" customHeight="1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</row>
    <row r="211" ht="15" customHeight="1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</row>
    <row r="212" ht="15" customHeight="1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</row>
    <row r="213" ht="15" customHeight="1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</row>
    <row r="214" ht="15" customHeight="1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</row>
    <row r="215" ht="15" customHeight="1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</row>
    <row r="216" ht="15" customHeight="1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</row>
    <row r="217" ht="15" customHeight="1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</row>
    <row r="218" ht="15" customHeight="1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</row>
    <row r="219" ht="15" customHeight="1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</row>
    <row r="220" ht="15" customHeight="1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</row>
    <row r="221" ht="15" customHeight="1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</row>
    <row r="222" ht="15" customHeight="1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</row>
    <row r="223" ht="15" customHeight="1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</row>
    <row r="224" ht="15" customHeight="1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</row>
    <row r="225" ht="15" customHeight="1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</row>
    <row r="226" ht="15" customHeight="1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</row>
    <row r="227" ht="15" customHeight="1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</row>
    <row r="228" ht="15" customHeight="1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 t="n"/>
    </row>
    <row r="229" ht="15" customHeight="1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 t="n"/>
    </row>
    <row r="230" ht="15" customHeight="1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 t="n"/>
    </row>
    <row r="231" ht="15" customHeight="1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 t="n"/>
    </row>
    <row r="232" ht="15" customHeight="1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 t="n"/>
    </row>
    <row r="233" ht="15" customHeight="1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 t="n"/>
    </row>
    <row r="234" ht="15" customHeight="1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 t="n"/>
    </row>
    <row r="235" ht="15" customHeight="1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 t="n"/>
    </row>
    <row r="236" ht="15" customHeight="1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 t="n"/>
    </row>
    <row r="237" ht="15" customHeight="1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 t="n"/>
    </row>
    <row r="238" ht="15" customHeight="1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 t="n"/>
    </row>
    <row r="239" ht="15" customHeight="1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 t="n"/>
    </row>
    <row r="240" ht="15" customHeight="1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 t="n"/>
    </row>
    <row r="241" ht="15" customHeight="1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 t="n"/>
    </row>
    <row r="242" ht="15" customHeight="1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 t="n"/>
    </row>
    <row r="243" ht="15" customHeight="1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 t="n"/>
    </row>
    <row r="244" ht="15" customHeight="1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 t="n"/>
    </row>
    <row r="245" ht="15" customHeight="1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 t="n"/>
    </row>
    <row r="246" ht="15" customHeight="1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 t="n"/>
    </row>
    <row r="247" ht="15" customHeight="1">
      <c r="A247" s="26" t="n"/>
      <c r="B247" s="26" t="n"/>
      <c r="C247" s="26" t="n"/>
      <c r="D247" s="26" t="n"/>
      <c r="E247" s="26" t="n"/>
      <c r="F247" s="26" t="n"/>
      <c r="G247" s="26" t="n"/>
      <c r="H247" s="26" t="n"/>
      <c r="I247" s="26" t="n"/>
    </row>
    <row r="248" ht="15" customHeight="1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26" t="n"/>
    </row>
    <row r="249" ht="15" customHeight="1">
      <c r="A249" s="26" t="n"/>
      <c r="B249" s="26" t="n"/>
      <c r="C249" s="26" t="n"/>
      <c r="D249" s="26" t="n"/>
      <c r="E249" s="26" t="n"/>
      <c r="F249" s="26" t="n"/>
      <c r="G249" s="26" t="n"/>
      <c r="H249" s="26" t="n"/>
      <c r="I249" s="26" t="n"/>
    </row>
    <row r="250" ht="15" customHeight="1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26" t="n"/>
    </row>
    <row r="251" ht="15" customHeight="1">
      <c r="A251" s="26" t="n"/>
      <c r="B251" s="26" t="n"/>
      <c r="C251" s="26" t="n"/>
      <c r="D251" s="26" t="n"/>
      <c r="E251" s="26" t="n"/>
      <c r="F251" s="26" t="n"/>
      <c r="G251" s="26" t="n"/>
      <c r="H251" s="26" t="n"/>
      <c r="I251" s="26" t="n"/>
    </row>
    <row r="252" ht="15" customHeight="1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 t="n"/>
    </row>
    <row r="253" ht="15" customHeight="1">
      <c r="A253" s="26" t="n"/>
      <c r="B253" s="26" t="n"/>
      <c r="C253" s="26" t="n"/>
      <c r="D253" s="26" t="n"/>
      <c r="E253" s="26" t="n"/>
      <c r="F253" s="26" t="n"/>
      <c r="G253" s="26" t="n"/>
      <c r="H253" s="26" t="n"/>
      <c r="I253" s="26" t="n"/>
    </row>
    <row r="254" ht="15" customHeight="1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26" t="n"/>
    </row>
    <row r="255" ht="15" customHeight="1">
      <c r="A255" s="26" t="n"/>
      <c r="B255" s="26" t="n"/>
      <c r="C255" s="26" t="n"/>
      <c r="D255" s="26" t="n"/>
      <c r="E255" s="26" t="n"/>
      <c r="F255" s="26" t="n"/>
      <c r="G255" s="26" t="n"/>
      <c r="H255" s="26" t="n"/>
      <c r="I255" s="26" t="n"/>
    </row>
    <row r="256" ht="15" customHeight="1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26" t="n"/>
    </row>
    <row r="257" ht="15" customHeight="1">
      <c r="A257" s="26" t="n"/>
      <c r="B257" s="26" t="n"/>
      <c r="C257" s="26" t="n"/>
      <c r="D257" s="26" t="n"/>
      <c r="E257" s="26" t="n"/>
      <c r="F257" s="26" t="n"/>
      <c r="G257" s="26" t="n"/>
      <c r="H257" s="26" t="n"/>
      <c r="I257" s="26" t="n"/>
    </row>
    <row r="258" ht="15" customHeight="1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26" t="n"/>
    </row>
    <row r="259" ht="15" customHeight="1">
      <c r="A259" s="26" t="n"/>
      <c r="B259" s="26" t="n"/>
      <c r="C259" s="26" t="n"/>
      <c r="D259" s="26" t="n"/>
      <c r="E259" s="26" t="n"/>
      <c r="F259" s="26" t="n"/>
      <c r="G259" s="26" t="n"/>
      <c r="H259" s="26" t="n"/>
      <c r="I259" s="26" t="n"/>
    </row>
    <row r="260" ht="15" customHeight="1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26" t="n"/>
    </row>
    <row r="261" ht="15" customHeight="1">
      <c r="A261" s="26" t="n"/>
      <c r="B261" s="26" t="n"/>
      <c r="C261" s="26" t="n"/>
      <c r="D261" s="26" t="n"/>
      <c r="E261" s="26" t="n"/>
      <c r="F261" s="26" t="n"/>
      <c r="G261" s="26" t="n"/>
      <c r="H261" s="26" t="n"/>
      <c r="I261" s="26" t="n"/>
    </row>
    <row r="262" ht="15" customHeight="1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26" t="n"/>
    </row>
    <row r="263" ht="15" customHeight="1">
      <c r="A263" s="26" t="n"/>
      <c r="B263" s="26" t="n"/>
      <c r="C263" s="26" t="n"/>
      <c r="D263" s="26" t="n"/>
      <c r="E263" s="26" t="n"/>
      <c r="F263" s="26" t="n"/>
      <c r="G263" s="26" t="n"/>
      <c r="H263" s="26" t="n"/>
      <c r="I263" s="26" t="n"/>
    </row>
    <row r="264" ht="15" customHeight="1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26" t="n"/>
    </row>
    <row r="265" ht="15" customHeight="1">
      <c r="A265" s="26" t="n"/>
      <c r="B265" s="26" t="n"/>
      <c r="C265" s="26" t="n"/>
      <c r="D265" s="26" t="n"/>
      <c r="E265" s="26" t="n"/>
      <c r="F265" s="26" t="n"/>
      <c r="G265" s="26" t="n"/>
      <c r="H265" s="26" t="n"/>
      <c r="I265" s="26" t="n"/>
    </row>
    <row r="266" ht="15" customHeight="1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26" t="n"/>
    </row>
    <row r="267" ht="15" customHeight="1">
      <c r="A267" s="26" t="n"/>
      <c r="B267" s="26" t="n"/>
      <c r="C267" s="26" t="n"/>
      <c r="D267" s="26" t="n"/>
      <c r="E267" s="26" t="n"/>
      <c r="F267" s="26" t="n"/>
      <c r="G267" s="26" t="n"/>
      <c r="H267" s="26" t="n"/>
      <c r="I267" s="26" t="n"/>
    </row>
    <row r="268" ht="15" customHeight="1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26" t="n"/>
    </row>
    <row r="269" ht="15" customHeight="1">
      <c r="A269" s="26" t="n"/>
      <c r="B269" s="26" t="n"/>
      <c r="C269" s="26" t="n"/>
      <c r="D269" s="26" t="n"/>
      <c r="E269" s="26" t="n"/>
      <c r="F269" s="26" t="n"/>
      <c r="G269" s="26" t="n"/>
      <c r="H269" s="26" t="n"/>
      <c r="I269" s="26" t="n"/>
    </row>
    <row r="270" ht="15" customHeight="1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 t="n"/>
    </row>
    <row r="271" ht="15" customHeight="1">
      <c r="A271" s="26" t="n"/>
      <c r="B271" s="26" t="n"/>
      <c r="C271" s="26" t="n"/>
      <c r="D271" s="26" t="n"/>
      <c r="E271" s="26" t="n"/>
      <c r="F271" s="26" t="n"/>
      <c r="G271" s="26" t="n"/>
      <c r="H271" s="26" t="n"/>
      <c r="I271" s="26" t="n"/>
    </row>
    <row r="272" ht="15" customHeight="1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26" t="n"/>
    </row>
    <row r="273" ht="15" customHeight="1">
      <c r="A273" s="26" t="n"/>
      <c r="B273" s="26" t="n"/>
      <c r="C273" s="26" t="n"/>
      <c r="D273" s="26" t="n"/>
      <c r="E273" s="26" t="n"/>
      <c r="F273" s="26" t="n"/>
      <c r="G273" s="26" t="n"/>
      <c r="H273" s="26" t="n"/>
      <c r="I273" s="26" t="n"/>
    </row>
    <row r="274" ht="15" customHeight="1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26" t="n"/>
    </row>
    <row r="275" ht="15" customHeight="1">
      <c r="A275" s="26" t="n"/>
      <c r="B275" s="26" t="n"/>
      <c r="C275" s="26" t="n"/>
      <c r="D275" s="26" t="n"/>
      <c r="E275" s="26" t="n"/>
      <c r="F275" s="26" t="n"/>
      <c r="G275" s="26" t="n"/>
      <c r="H275" s="26" t="n"/>
      <c r="I275" s="26" t="n"/>
    </row>
    <row r="276" ht="15" customHeight="1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26" t="n"/>
    </row>
    <row r="277" ht="15" customHeight="1">
      <c r="A277" s="26" t="n"/>
      <c r="B277" s="26" t="n"/>
      <c r="C277" s="26" t="n"/>
      <c r="D277" s="26" t="n"/>
      <c r="E277" s="26" t="n"/>
      <c r="F277" s="26" t="n"/>
      <c r="G277" s="26" t="n"/>
      <c r="H277" s="26" t="n"/>
      <c r="I277" s="26" t="n"/>
    </row>
    <row r="278" ht="15" customHeight="1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26" t="n"/>
    </row>
    <row r="279" ht="15" customHeight="1">
      <c r="A279" s="26" t="n"/>
      <c r="B279" s="26" t="n"/>
      <c r="C279" s="26" t="n"/>
      <c r="D279" s="26" t="n"/>
      <c r="E279" s="26" t="n"/>
      <c r="F279" s="26" t="n"/>
      <c r="G279" s="26" t="n"/>
      <c r="H279" s="26" t="n"/>
      <c r="I279" s="26" t="n"/>
    </row>
    <row r="280" ht="15" customHeight="1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 t="n"/>
    </row>
    <row r="281" ht="15" customHeight="1">
      <c r="A281" s="26" t="n"/>
      <c r="B281" s="26" t="n"/>
      <c r="C281" s="26" t="n"/>
      <c r="D281" s="26" t="n"/>
      <c r="E281" s="26" t="n"/>
      <c r="F281" s="26" t="n"/>
      <c r="G281" s="26" t="n"/>
      <c r="H281" s="26" t="n"/>
      <c r="I281" s="26" t="n"/>
    </row>
    <row r="282" ht="15" customHeight="1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26" t="n"/>
    </row>
    <row r="283" ht="15" customHeight="1">
      <c r="A283" s="26" t="n"/>
      <c r="B283" s="26" t="n"/>
      <c r="C283" s="26" t="n"/>
      <c r="D283" s="26" t="n"/>
      <c r="E283" s="26" t="n"/>
      <c r="F283" s="26" t="n"/>
      <c r="G283" s="26" t="n"/>
      <c r="H283" s="26" t="n"/>
      <c r="I283" s="26" t="n"/>
    </row>
    <row r="284" ht="15" customHeight="1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26" t="n"/>
    </row>
    <row r="285" ht="15" customHeight="1">
      <c r="A285" s="26" t="n"/>
      <c r="B285" s="26" t="n"/>
      <c r="C285" s="26" t="n"/>
      <c r="D285" s="26" t="n"/>
      <c r="E285" s="26" t="n"/>
      <c r="F285" s="26" t="n"/>
      <c r="G285" s="26" t="n"/>
      <c r="H285" s="26" t="n"/>
      <c r="I285" s="26" t="n"/>
    </row>
    <row r="286" ht="15" customHeight="1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26" t="n"/>
    </row>
    <row r="287" ht="15" customHeight="1">
      <c r="A287" s="26" t="n"/>
      <c r="B287" s="26" t="n"/>
      <c r="C287" s="26" t="n"/>
      <c r="D287" s="26" t="n"/>
      <c r="E287" s="26" t="n"/>
      <c r="F287" s="26" t="n"/>
      <c r="G287" s="26" t="n"/>
      <c r="H287" s="26" t="n"/>
      <c r="I287" s="26" t="n"/>
    </row>
    <row r="288" ht="15" customHeight="1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26" t="n"/>
    </row>
    <row r="289" ht="15" customHeight="1">
      <c r="A289" s="26" t="n"/>
      <c r="B289" s="26" t="n"/>
      <c r="C289" s="26" t="n"/>
      <c r="D289" s="26" t="n"/>
      <c r="E289" s="26" t="n"/>
      <c r="F289" s="26" t="n"/>
      <c r="G289" s="26" t="n"/>
      <c r="H289" s="26" t="n"/>
      <c r="I289" s="26" t="n"/>
    </row>
    <row r="290" ht="15" customHeight="1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 t="n"/>
    </row>
    <row r="291" ht="15" customHeight="1">
      <c r="A291" s="26" t="n"/>
      <c r="B291" s="26" t="n"/>
      <c r="C291" s="26" t="n"/>
      <c r="D291" s="26" t="n"/>
      <c r="E291" s="26" t="n"/>
      <c r="F291" s="26" t="n"/>
      <c r="G291" s="26" t="n"/>
      <c r="H291" s="26" t="n"/>
      <c r="I291" s="26" t="n"/>
    </row>
    <row r="292" ht="15" customHeight="1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26" t="n"/>
    </row>
    <row r="293" ht="15" customHeight="1">
      <c r="A293" s="26" t="n"/>
      <c r="B293" s="26" t="n"/>
      <c r="C293" s="26" t="n"/>
      <c r="D293" s="26" t="n"/>
      <c r="E293" s="26" t="n"/>
      <c r="F293" s="26" t="n"/>
      <c r="G293" s="26" t="n"/>
      <c r="H293" s="26" t="n"/>
      <c r="I293" s="26" t="n"/>
    </row>
    <row r="294" ht="15" customHeight="1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26" t="n"/>
    </row>
    <row r="295" ht="15" customHeight="1">
      <c r="A295" s="26" t="n"/>
      <c r="B295" s="26" t="n"/>
      <c r="C295" s="26" t="n"/>
      <c r="D295" s="26" t="n"/>
      <c r="E295" s="26" t="n"/>
      <c r="F295" s="26" t="n"/>
      <c r="G295" s="26" t="n"/>
      <c r="H295" s="26" t="n"/>
      <c r="I295" s="26" t="n"/>
    </row>
    <row r="296" ht="15" customHeight="1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26" t="n"/>
    </row>
    <row r="297" ht="15" customHeight="1">
      <c r="A297" s="26" t="n"/>
      <c r="B297" s="26" t="n"/>
      <c r="C297" s="26" t="n"/>
      <c r="D297" s="26" t="n"/>
      <c r="E297" s="26" t="n"/>
      <c r="F297" s="26" t="n"/>
      <c r="G297" s="26" t="n"/>
      <c r="H297" s="26" t="n"/>
      <c r="I297" s="26" t="n"/>
    </row>
    <row r="298" ht="15" customHeight="1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26" t="n"/>
    </row>
    <row r="299" ht="15" customHeight="1">
      <c r="A299" s="26" t="n"/>
      <c r="B299" s="26" t="n"/>
      <c r="C299" s="26" t="n"/>
      <c r="D299" s="26" t="n"/>
      <c r="E299" s="26" t="n"/>
      <c r="F299" s="26" t="n"/>
      <c r="G299" s="26" t="n"/>
      <c r="H299" s="26" t="n"/>
      <c r="I299" s="26" t="n"/>
    </row>
    <row r="300" ht="15" customHeight="1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26" t="n"/>
    </row>
    <row r="301" ht="15" customHeight="1">
      <c r="A301" s="26" t="n"/>
      <c r="B301" s="26" t="n"/>
      <c r="C301" s="26" t="n"/>
      <c r="D301" s="26" t="n"/>
      <c r="E301" s="26" t="n"/>
      <c r="F301" s="26" t="n"/>
      <c r="G301" s="26" t="n"/>
      <c r="H301" s="26" t="n"/>
      <c r="I301" s="26" t="n"/>
    </row>
    <row r="302" ht="15" customHeight="1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26" t="n"/>
    </row>
    <row r="303" ht="15" customHeight="1">
      <c r="A303" s="26" t="n"/>
      <c r="B303" s="26" t="n"/>
      <c r="C303" s="26" t="n"/>
      <c r="D303" s="26" t="n"/>
      <c r="E303" s="26" t="n"/>
      <c r="F303" s="26" t="n"/>
      <c r="G303" s="26" t="n"/>
      <c r="H303" s="26" t="n"/>
      <c r="I303" s="26" t="n"/>
    </row>
    <row r="304" ht="15" customHeight="1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26" t="n"/>
    </row>
    <row r="305" ht="15" customHeight="1">
      <c r="A305" s="26" t="n"/>
      <c r="B305" s="26" t="n"/>
      <c r="C305" s="26" t="n"/>
      <c r="D305" s="26" t="n"/>
      <c r="E305" s="26" t="n"/>
      <c r="F305" s="26" t="n"/>
      <c r="G305" s="26" t="n"/>
      <c r="H305" s="26" t="n"/>
      <c r="I305" s="26" t="n"/>
    </row>
    <row r="306" ht="15" customHeight="1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26" t="n"/>
    </row>
    <row r="307" ht="15" customHeight="1">
      <c r="A307" s="26" t="n"/>
      <c r="B307" s="26" t="n"/>
      <c r="C307" s="26" t="n"/>
      <c r="D307" s="26" t="n"/>
      <c r="E307" s="26" t="n"/>
      <c r="F307" s="26" t="n"/>
      <c r="G307" s="26" t="n"/>
      <c r="H307" s="26" t="n"/>
      <c r="I307" s="26" t="n"/>
    </row>
    <row r="308" ht="15" customHeight="1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26" t="n"/>
    </row>
    <row r="309" ht="15" customHeight="1">
      <c r="A309" s="26" t="n"/>
      <c r="B309" s="26" t="n"/>
      <c r="C309" s="26" t="n"/>
      <c r="D309" s="26" t="n"/>
      <c r="E309" s="26" t="n"/>
      <c r="F309" s="26" t="n"/>
      <c r="G309" s="26" t="n"/>
      <c r="H309" s="26" t="n"/>
      <c r="I309" s="26" t="n"/>
    </row>
    <row r="310" ht="15" customHeight="1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 t="n"/>
    </row>
    <row r="311" ht="15" customHeight="1">
      <c r="A311" s="26" t="n"/>
      <c r="B311" s="26" t="n"/>
      <c r="C311" s="26" t="n"/>
      <c r="D311" s="26" t="n"/>
      <c r="E311" s="26" t="n"/>
      <c r="F311" s="26" t="n"/>
      <c r="G311" s="26" t="n"/>
      <c r="H311" s="26" t="n"/>
      <c r="I311" s="26" t="n"/>
    </row>
    <row r="312" ht="15" customHeight="1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26" t="n"/>
    </row>
    <row r="313" ht="15" customHeight="1">
      <c r="A313" s="26" t="n"/>
      <c r="B313" s="26" t="n"/>
      <c r="C313" s="26" t="n"/>
      <c r="D313" s="26" t="n"/>
      <c r="E313" s="26" t="n"/>
      <c r="F313" s="26" t="n"/>
      <c r="G313" s="26" t="n"/>
      <c r="H313" s="26" t="n"/>
      <c r="I313" s="26" t="n"/>
    </row>
    <row r="314" ht="15" customHeight="1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26" t="n"/>
    </row>
    <row r="315" ht="15" customHeight="1">
      <c r="A315" s="26" t="n"/>
      <c r="B315" s="26" t="n"/>
      <c r="C315" s="26" t="n"/>
      <c r="D315" s="26" t="n"/>
      <c r="E315" s="26" t="n"/>
      <c r="F315" s="26" t="n"/>
      <c r="G315" s="26" t="n"/>
      <c r="H315" s="26" t="n"/>
      <c r="I315" s="26" t="n"/>
    </row>
    <row r="316" ht="15" customHeight="1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 t="n"/>
    </row>
    <row r="317" ht="15" customHeight="1">
      <c r="A317" s="26" t="n"/>
      <c r="B317" s="26" t="n"/>
      <c r="C317" s="26" t="n"/>
      <c r="D317" s="26" t="n"/>
      <c r="E317" s="26" t="n"/>
      <c r="F317" s="26" t="n"/>
      <c r="G317" s="26" t="n"/>
      <c r="H317" s="26" t="n"/>
      <c r="I317" s="26" t="n"/>
    </row>
    <row r="318" ht="15" customHeight="1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26" t="n"/>
    </row>
    <row r="319" ht="15" customHeight="1">
      <c r="A319" s="26" t="n"/>
      <c r="B319" s="26" t="n"/>
      <c r="C319" s="26" t="n"/>
      <c r="D319" s="26" t="n"/>
      <c r="E319" s="26" t="n"/>
      <c r="F319" s="26" t="n"/>
      <c r="G319" s="26" t="n"/>
      <c r="H319" s="26" t="n"/>
      <c r="I319" s="26" t="n"/>
    </row>
    <row r="320" ht="15" customHeight="1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26" t="n"/>
    </row>
    <row r="321" ht="15" customHeight="1">
      <c r="A321" s="26" t="n"/>
      <c r="B321" s="26" t="n"/>
      <c r="C321" s="26" t="n"/>
      <c r="D321" s="26" t="n"/>
      <c r="E321" s="26" t="n"/>
      <c r="F321" s="26" t="n"/>
      <c r="G321" s="26" t="n"/>
      <c r="H321" s="26" t="n"/>
      <c r="I321" s="26" t="n"/>
    </row>
    <row r="322" ht="15" customHeight="1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26" t="n"/>
    </row>
    <row r="323" ht="15" customHeight="1">
      <c r="A323" s="26" t="n"/>
      <c r="B323" s="26" t="n"/>
      <c r="C323" s="26" t="n"/>
      <c r="D323" s="26" t="n"/>
      <c r="E323" s="26" t="n"/>
      <c r="F323" s="26" t="n"/>
      <c r="G323" s="26" t="n"/>
      <c r="H323" s="26" t="n"/>
      <c r="I323" s="26" t="n"/>
    </row>
    <row r="324" ht="15" customHeight="1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26" t="n"/>
    </row>
    <row r="325" ht="15" customHeight="1">
      <c r="A325" s="26" t="n"/>
      <c r="B325" s="26" t="n"/>
      <c r="C325" s="26" t="n"/>
      <c r="D325" s="26" t="n"/>
      <c r="E325" s="26" t="n"/>
      <c r="F325" s="26" t="n"/>
      <c r="G325" s="26" t="n"/>
      <c r="H325" s="26" t="n"/>
      <c r="I325" s="26" t="n"/>
    </row>
    <row r="326" ht="15" customHeight="1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26" t="n"/>
    </row>
    <row r="327" ht="15" customHeight="1">
      <c r="A327" s="26" t="n"/>
      <c r="B327" s="26" t="n"/>
      <c r="C327" s="26" t="n"/>
      <c r="D327" s="26" t="n"/>
      <c r="E327" s="26" t="n"/>
      <c r="F327" s="26" t="n"/>
      <c r="G327" s="26" t="n"/>
      <c r="H327" s="26" t="n"/>
      <c r="I327" s="26" t="n"/>
    </row>
    <row r="328" ht="15" customHeight="1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26" t="n"/>
    </row>
    <row r="329" ht="15" customHeight="1">
      <c r="A329" s="26" t="n"/>
      <c r="B329" s="26" t="n"/>
      <c r="C329" s="26" t="n"/>
      <c r="D329" s="26" t="n"/>
      <c r="E329" s="26" t="n"/>
      <c r="F329" s="26" t="n"/>
      <c r="G329" s="26" t="n"/>
      <c r="H329" s="26" t="n"/>
      <c r="I329" s="26" t="n"/>
    </row>
    <row r="330" ht="15" customHeight="1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26" t="n"/>
    </row>
    <row r="331" ht="15" customHeight="1">
      <c r="A331" s="26" t="n"/>
      <c r="B331" s="26" t="n"/>
      <c r="C331" s="26" t="n"/>
      <c r="D331" s="26" t="n"/>
      <c r="E331" s="26" t="n"/>
      <c r="F331" s="26" t="n"/>
      <c r="G331" s="26" t="n"/>
      <c r="H331" s="26" t="n"/>
      <c r="I331" s="26" t="n"/>
    </row>
    <row r="332" ht="15" customHeight="1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26" t="n"/>
    </row>
    <row r="333" ht="15" customHeight="1">
      <c r="A333" s="26" t="n"/>
      <c r="B333" s="26" t="n"/>
      <c r="C333" s="26" t="n"/>
      <c r="D333" s="26" t="n"/>
      <c r="E333" s="26" t="n"/>
      <c r="F333" s="26" t="n"/>
      <c r="G333" s="26" t="n"/>
      <c r="H333" s="26" t="n"/>
      <c r="I333" s="26" t="n"/>
    </row>
    <row r="334" ht="15" customHeight="1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26" t="n"/>
    </row>
    <row r="335" ht="15" customHeight="1">
      <c r="A335" s="26" t="n"/>
      <c r="B335" s="26" t="n"/>
      <c r="C335" s="26" t="n"/>
      <c r="D335" s="26" t="n"/>
      <c r="E335" s="26" t="n"/>
      <c r="F335" s="26" t="n"/>
      <c r="G335" s="26" t="n"/>
      <c r="H335" s="26" t="n"/>
      <c r="I335" s="26" t="n"/>
    </row>
    <row r="336" ht="15" customHeight="1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26" t="n"/>
    </row>
    <row r="337" ht="15" customHeight="1">
      <c r="A337" s="26" t="n"/>
      <c r="B337" s="26" t="n"/>
      <c r="C337" s="26" t="n"/>
      <c r="D337" s="26" t="n"/>
      <c r="E337" s="26" t="n"/>
      <c r="F337" s="26" t="n"/>
      <c r="G337" s="26" t="n"/>
      <c r="H337" s="26" t="n"/>
      <c r="I337" s="26" t="n"/>
    </row>
    <row r="338" ht="15" customHeight="1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26" t="n"/>
    </row>
    <row r="339" ht="15" customHeight="1">
      <c r="A339" s="26" t="n"/>
      <c r="B339" s="26" t="n"/>
      <c r="C339" s="26" t="n"/>
      <c r="D339" s="26" t="n"/>
      <c r="E339" s="26" t="n"/>
      <c r="F339" s="26" t="n"/>
      <c r="G339" s="26" t="n"/>
      <c r="H339" s="26" t="n"/>
      <c r="I339" s="26" t="n"/>
    </row>
    <row r="340" ht="15" customHeight="1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 t="n"/>
    </row>
    <row r="341" ht="15" customHeight="1">
      <c r="A341" s="26" t="n"/>
      <c r="B341" s="26" t="n"/>
      <c r="C341" s="26" t="n"/>
      <c r="D341" s="26" t="n"/>
      <c r="E341" s="26" t="n"/>
      <c r="F341" s="26" t="n"/>
      <c r="G341" s="26" t="n"/>
      <c r="H341" s="26" t="n"/>
      <c r="I341" s="26" t="n"/>
    </row>
    <row r="342" ht="15" customHeight="1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26" t="n"/>
    </row>
    <row r="343" ht="15" customHeight="1">
      <c r="A343" s="26" t="n"/>
      <c r="B343" s="26" t="n"/>
      <c r="C343" s="26" t="n"/>
      <c r="D343" s="26" t="n"/>
      <c r="E343" s="26" t="n"/>
      <c r="F343" s="26" t="n"/>
      <c r="G343" s="26" t="n"/>
      <c r="H343" s="26" t="n"/>
      <c r="I343" s="26" t="n"/>
    </row>
    <row r="344" ht="15" customHeight="1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26" t="n"/>
    </row>
    <row r="345" ht="15" customHeight="1">
      <c r="A345" s="26" t="n"/>
      <c r="B345" s="26" t="n"/>
      <c r="C345" s="26" t="n"/>
      <c r="D345" s="26" t="n"/>
      <c r="E345" s="26" t="n"/>
      <c r="F345" s="26" t="n"/>
      <c r="G345" s="26" t="n"/>
      <c r="H345" s="26" t="n"/>
      <c r="I345" s="26" t="n"/>
    </row>
    <row r="346" ht="15" customHeight="1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26" t="n"/>
    </row>
    <row r="347" ht="15" customHeight="1">
      <c r="A347" s="26" t="n"/>
      <c r="B347" s="26" t="n"/>
      <c r="C347" s="26" t="n"/>
      <c r="D347" s="26" t="n"/>
      <c r="E347" s="26" t="n"/>
      <c r="F347" s="26" t="n"/>
      <c r="G347" s="26" t="n"/>
      <c r="H347" s="26" t="n"/>
      <c r="I347" s="26" t="n"/>
    </row>
    <row r="348" ht="15" customHeight="1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26" t="n"/>
    </row>
    <row r="349" ht="15" customHeight="1">
      <c r="A349" s="26" t="n"/>
      <c r="B349" s="26" t="n"/>
      <c r="C349" s="26" t="n"/>
      <c r="D349" s="26" t="n"/>
      <c r="E349" s="26" t="n"/>
      <c r="F349" s="26" t="n"/>
      <c r="G349" s="26" t="n"/>
      <c r="H349" s="26" t="n"/>
      <c r="I349" s="26" t="n"/>
    </row>
    <row r="350" ht="15" customHeight="1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26" t="n"/>
    </row>
    <row r="351" ht="15" customHeight="1">
      <c r="A351" s="26" t="n"/>
      <c r="B351" s="26" t="n"/>
      <c r="C351" s="26" t="n"/>
      <c r="D351" s="26" t="n"/>
      <c r="E351" s="26" t="n"/>
      <c r="F351" s="26" t="n"/>
      <c r="G351" s="26" t="n"/>
      <c r="H351" s="26" t="n"/>
      <c r="I351" s="26" t="n"/>
    </row>
    <row r="352" ht="15" customHeight="1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26" t="n"/>
    </row>
    <row r="353" ht="15" customHeight="1">
      <c r="A353" s="26" t="n"/>
      <c r="B353" s="26" t="n"/>
      <c r="C353" s="26" t="n"/>
      <c r="D353" s="26" t="n"/>
      <c r="E353" s="26" t="n"/>
      <c r="F353" s="26" t="n"/>
      <c r="G353" s="26" t="n"/>
      <c r="H353" s="26" t="n"/>
      <c r="I353" s="26" t="n"/>
    </row>
    <row r="354" ht="15" customHeight="1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26" t="n"/>
    </row>
    <row r="355" ht="15" customHeight="1">
      <c r="A355" s="26" t="n"/>
      <c r="B355" s="26" t="n"/>
      <c r="C355" s="26" t="n"/>
      <c r="D355" s="26" t="n"/>
      <c r="E355" s="26" t="n"/>
      <c r="F355" s="26" t="n"/>
      <c r="G355" s="26" t="n"/>
      <c r="H355" s="26" t="n"/>
      <c r="I355" s="26" t="n"/>
    </row>
    <row r="356" ht="15" customHeight="1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26" t="n"/>
    </row>
    <row r="357" ht="15" customHeight="1">
      <c r="A357" s="26" t="n"/>
      <c r="B357" s="26" t="n"/>
      <c r="C357" s="26" t="n"/>
      <c r="D357" s="26" t="n"/>
      <c r="E357" s="26" t="n"/>
      <c r="F357" s="26" t="n"/>
      <c r="G357" s="26" t="n"/>
      <c r="H357" s="26" t="n"/>
      <c r="I357" s="26" t="n"/>
    </row>
    <row r="358" ht="15" customHeight="1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26" t="n"/>
    </row>
    <row r="359" ht="15" customHeight="1">
      <c r="A359" s="26" t="n"/>
      <c r="B359" s="26" t="n"/>
      <c r="C359" s="26" t="n"/>
      <c r="D359" s="26" t="n"/>
      <c r="E359" s="26" t="n"/>
      <c r="F359" s="26" t="n"/>
      <c r="G359" s="26" t="n"/>
      <c r="H359" s="26" t="n"/>
      <c r="I359" s="26" t="n"/>
    </row>
    <row r="360" ht="15" customHeight="1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 t="n"/>
    </row>
    <row r="361" ht="15" customHeight="1">
      <c r="A361" s="26" t="n"/>
      <c r="B361" s="26" t="n"/>
      <c r="C361" s="26" t="n"/>
      <c r="D361" s="26" t="n"/>
      <c r="E361" s="26" t="n"/>
      <c r="F361" s="26" t="n"/>
      <c r="G361" s="26" t="n"/>
      <c r="H361" s="26" t="n"/>
      <c r="I361" s="26" t="n"/>
    </row>
    <row r="362" ht="15" customHeight="1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26" t="n"/>
    </row>
    <row r="363" ht="15" customHeight="1">
      <c r="A363" s="26" t="n"/>
      <c r="B363" s="26" t="n"/>
      <c r="C363" s="26" t="n"/>
      <c r="D363" s="26" t="n"/>
      <c r="E363" s="26" t="n"/>
      <c r="F363" s="26" t="n"/>
      <c r="G363" s="26" t="n"/>
      <c r="H363" s="26" t="n"/>
      <c r="I363" s="26" t="n"/>
    </row>
    <row r="364" ht="15" customHeight="1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26" t="n"/>
    </row>
    <row r="365" ht="15" customHeight="1">
      <c r="A365" s="26" t="n"/>
      <c r="B365" s="26" t="n"/>
      <c r="C365" s="26" t="n"/>
      <c r="D365" s="26" t="n"/>
      <c r="E365" s="26" t="n"/>
      <c r="F365" s="26" t="n"/>
      <c r="G365" s="26" t="n"/>
      <c r="H365" s="26" t="n"/>
      <c r="I365" s="26" t="n"/>
    </row>
    <row r="366" ht="15" customHeight="1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 t="n"/>
    </row>
    <row r="367" ht="15" customHeight="1">
      <c r="A367" s="26" t="n"/>
      <c r="B367" s="26" t="n"/>
      <c r="C367" s="26" t="n"/>
      <c r="D367" s="26" t="n"/>
      <c r="E367" s="26" t="n"/>
      <c r="F367" s="26" t="n"/>
      <c r="G367" s="26" t="n"/>
      <c r="H367" s="26" t="n"/>
      <c r="I367" s="26" t="n"/>
    </row>
    <row r="368" ht="15" customHeight="1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26" t="n"/>
    </row>
    <row r="369" ht="15" customHeight="1">
      <c r="A369" s="26" t="n"/>
      <c r="B369" s="26" t="n"/>
      <c r="C369" s="26" t="n"/>
      <c r="D369" s="26" t="n"/>
      <c r="E369" s="26" t="n"/>
      <c r="F369" s="26" t="n"/>
      <c r="G369" s="26" t="n"/>
      <c r="H369" s="26" t="n"/>
      <c r="I369" s="26" t="n"/>
    </row>
    <row r="370" ht="15" customHeight="1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26" t="n"/>
    </row>
    <row r="371" ht="15" customHeight="1">
      <c r="A371" s="26" t="n"/>
      <c r="B371" s="26" t="n"/>
      <c r="C371" s="26" t="n"/>
      <c r="D371" s="26" t="n"/>
      <c r="E371" s="26" t="n"/>
      <c r="F371" s="26" t="n"/>
      <c r="G371" s="26" t="n"/>
      <c r="H371" s="26" t="n"/>
      <c r="I371" s="26" t="n"/>
    </row>
    <row r="372" ht="15" customHeight="1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26" t="n"/>
    </row>
    <row r="373" ht="15" customHeight="1">
      <c r="A373" s="26" t="n"/>
      <c r="B373" s="26" t="n"/>
      <c r="C373" s="26" t="n"/>
      <c r="D373" s="26" t="n"/>
      <c r="E373" s="26" t="n"/>
      <c r="F373" s="26" t="n"/>
      <c r="G373" s="26" t="n"/>
      <c r="H373" s="26" t="n"/>
      <c r="I373" s="26" t="n"/>
    </row>
    <row r="374" ht="15" customHeight="1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26" t="n"/>
    </row>
    <row r="375" ht="15" customHeight="1">
      <c r="A375" s="26" t="n"/>
      <c r="B375" s="26" t="n"/>
      <c r="C375" s="26" t="n"/>
      <c r="D375" s="26" t="n"/>
      <c r="E375" s="26" t="n"/>
      <c r="F375" s="26" t="n"/>
      <c r="G375" s="26" t="n"/>
      <c r="H375" s="26" t="n"/>
      <c r="I375" s="26" t="n"/>
    </row>
    <row r="376" ht="15" customHeight="1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26" t="n"/>
    </row>
    <row r="377" ht="15" customHeight="1">
      <c r="A377" s="26" t="n"/>
      <c r="B377" s="26" t="n"/>
      <c r="C377" s="26" t="n"/>
      <c r="D377" s="26" t="n"/>
      <c r="E377" s="26" t="n"/>
      <c r="F377" s="26" t="n"/>
      <c r="G377" s="26" t="n"/>
      <c r="H377" s="26" t="n"/>
      <c r="I377" s="26" t="n"/>
    </row>
    <row r="378" ht="15" customHeight="1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26" t="n"/>
    </row>
    <row r="379" ht="15" customHeight="1">
      <c r="A379" s="26" t="n"/>
      <c r="B379" s="26" t="n"/>
      <c r="C379" s="26" t="n"/>
      <c r="D379" s="26" t="n"/>
      <c r="E379" s="26" t="n"/>
      <c r="F379" s="26" t="n"/>
      <c r="G379" s="26" t="n"/>
      <c r="H379" s="26" t="n"/>
      <c r="I379" s="26" t="n"/>
    </row>
    <row r="380" ht="15" customHeight="1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 t="n"/>
    </row>
    <row r="381" ht="15" customHeight="1">
      <c r="A381" s="26" t="n"/>
      <c r="B381" s="26" t="n"/>
      <c r="C381" s="26" t="n"/>
      <c r="D381" s="26" t="n"/>
      <c r="E381" s="26" t="n"/>
      <c r="F381" s="26" t="n"/>
      <c r="G381" s="26" t="n"/>
      <c r="H381" s="26" t="n"/>
      <c r="I381" s="26" t="n"/>
    </row>
    <row r="382" ht="15" customHeight="1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26" t="n"/>
    </row>
    <row r="383" ht="15" customHeight="1">
      <c r="A383" s="26" t="n"/>
      <c r="B383" s="26" t="n"/>
      <c r="C383" s="26" t="n"/>
      <c r="D383" s="26" t="n"/>
      <c r="E383" s="26" t="n"/>
      <c r="F383" s="26" t="n"/>
      <c r="G383" s="26" t="n"/>
      <c r="H383" s="26" t="n"/>
      <c r="I383" s="26" t="n"/>
    </row>
    <row r="384" ht="15" customHeight="1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26" t="n"/>
    </row>
    <row r="385" ht="15" customHeight="1">
      <c r="A385" s="26" t="n"/>
      <c r="B385" s="26" t="n"/>
      <c r="C385" s="26" t="n"/>
      <c r="D385" s="26" t="n"/>
      <c r="E385" s="26" t="n"/>
      <c r="F385" s="26" t="n"/>
      <c r="G385" s="26" t="n"/>
      <c r="H385" s="26" t="n"/>
      <c r="I385" s="26" t="n"/>
    </row>
    <row r="386" ht="15" customHeight="1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26" t="n"/>
    </row>
    <row r="387" ht="15" customHeight="1">
      <c r="A387" s="26" t="n"/>
      <c r="B387" s="26" t="n"/>
      <c r="C387" s="26" t="n"/>
      <c r="D387" s="26" t="n"/>
      <c r="E387" s="26" t="n"/>
      <c r="F387" s="26" t="n"/>
      <c r="G387" s="26" t="n"/>
      <c r="H387" s="26" t="n"/>
      <c r="I387" s="26" t="n"/>
    </row>
    <row r="388" ht="15" customHeight="1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26" t="n"/>
    </row>
    <row r="389" ht="15" customHeight="1">
      <c r="A389" s="26" t="n"/>
      <c r="B389" s="26" t="n"/>
      <c r="C389" s="26" t="n"/>
      <c r="D389" s="26" t="n"/>
      <c r="E389" s="26" t="n"/>
      <c r="F389" s="26" t="n"/>
      <c r="G389" s="26" t="n"/>
      <c r="H389" s="26" t="n"/>
      <c r="I389" s="26" t="n"/>
    </row>
    <row r="390" ht="15" customHeight="1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 t="n"/>
    </row>
    <row r="391" ht="15" customHeight="1">
      <c r="A391" s="26" t="n"/>
      <c r="B391" s="26" t="n"/>
      <c r="C391" s="26" t="n"/>
      <c r="D391" s="26" t="n"/>
      <c r="E391" s="26" t="n"/>
      <c r="F391" s="26" t="n"/>
      <c r="G391" s="26" t="n"/>
      <c r="H391" s="26" t="n"/>
      <c r="I391" s="26" t="n"/>
    </row>
    <row r="392" ht="15" customHeight="1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26" t="n"/>
    </row>
    <row r="393" ht="15" customHeight="1">
      <c r="A393" s="26" t="n"/>
      <c r="B393" s="26" t="n"/>
      <c r="C393" s="26" t="n"/>
      <c r="D393" s="26" t="n"/>
      <c r="E393" s="26" t="n"/>
      <c r="F393" s="26" t="n"/>
      <c r="G393" s="26" t="n"/>
      <c r="H393" s="26" t="n"/>
      <c r="I393" s="26" t="n"/>
    </row>
    <row r="394" ht="15" customHeight="1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26" t="n"/>
    </row>
    <row r="395" ht="15" customHeight="1">
      <c r="A395" s="26" t="n"/>
      <c r="B395" s="26" t="n"/>
      <c r="C395" s="26" t="n"/>
      <c r="D395" s="26" t="n"/>
      <c r="E395" s="26" t="n"/>
      <c r="F395" s="26" t="n"/>
      <c r="G395" s="26" t="n"/>
      <c r="H395" s="26" t="n"/>
      <c r="I395" s="26" t="n"/>
    </row>
    <row r="396" ht="15" customHeight="1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26" t="n"/>
    </row>
    <row r="397" ht="15" customHeight="1">
      <c r="A397" s="26" t="n"/>
      <c r="B397" s="26" t="n"/>
      <c r="C397" s="26" t="n"/>
      <c r="D397" s="26" t="n"/>
      <c r="E397" s="26" t="n"/>
      <c r="F397" s="26" t="n"/>
      <c r="G397" s="26" t="n"/>
      <c r="H397" s="26" t="n"/>
      <c r="I397" s="26" t="n"/>
    </row>
    <row r="398" ht="15" customHeight="1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26" t="n"/>
    </row>
    <row r="399" ht="15" customHeight="1">
      <c r="A399" s="26" t="n"/>
      <c r="B399" s="26" t="n"/>
      <c r="C399" s="26" t="n"/>
      <c r="D399" s="26" t="n"/>
      <c r="E399" s="26" t="n"/>
      <c r="F399" s="26" t="n"/>
      <c r="G399" s="26" t="n"/>
      <c r="H399" s="26" t="n"/>
      <c r="I399" s="26" t="n"/>
    </row>
    <row r="400" ht="15" customHeight="1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26" t="n"/>
    </row>
    <row r="401" ht="15" customHeight="1">
      <c r="A401" s="26" t="n"/>
      <c r="B401" s="26" t="n"/>
      <c r="C401" s="26" t="n"/>
      <c r="D401" s="26" t="n"/>
      <c r="E401" s="26" t="n"/>
      <c r="F401" s="26" t="n"/>
      <c r="G401" s="26" t="n"/>
      <c r="H401" s="26" t="n"/>
      <c r="I401" s="26" t="n"/>
    </row>
    <row r="402" ht="15" customHeight="1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 t="n"/>
    </row>
    <row r="403" ht="15" customHeight="1">
      <c r="A403" s="26" t="n"/>
      <c r="B403" s="26" t="n"/>
      <c r="C403" s="26" t="n"/>
      <c r="D403" s="26" t="n"/>
      <c r="E403" s="26" t="n"/>
      <c r="F403" s="26" t="n"/>
      <c r="G403" s="26" t="n"/>
      <c r="H403" s="26" t="n"/>
      <c r="I403" s="26" t="n"/>
    </row>
    <row r="404" ht="15" customHeight="1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26" t="n"/>
    </row>
    <row r="405" ht="15" customHeight="1">
      <c r="A405" s="26" t="n"/>
      <c r="B405" s="26" t="n"/>
      <c r="C405" s="26" t="n"/>
      <c r="D405" s="26" t="n"/>
      <c r="E405" s="26" t="n"/>
      <c r="F405" s="26" t="n"/>
      <c r="G405" s="26" t="n"/>
      <c r="H405" s="26" t="n"/>
      <c r="I405" s="26" t="n"/>
    </row>
    <row r="406" ht="15" customHeight="1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26" t="n"/>
    </row>
    <row r="407" ht="15" customHeight="1">
      <c r="A407" s="26" t="n"/>
      <c r="B407" s="26" t="n"/>
      <c r="C407" s="26" t="n"/>
      <c r="D407" s="26" t="n"/>
      <c r="E407" s="26" t="n"/>
      <c r="F407" s="26" t="n"/>
      <c r="G407" s="26" t="n"/>
      <c r="H407" s="26" t="n"/>
      <c r="I407" s="26" t="n"/>
    </row>
    <row r="408" ht="15" customHeight="1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26" t="n"/>
    </row>
    <row r="409" ht="15" customHeight="1">
      <c r="A409" s="26" t="n"/>
      <c r="B409" s="26" t="n"/>
      <c r="C409" s="26" t="n"/>
      <c r="D409" s="26" t="n"/>
      <c r="E409" s="26" t="n"/>
      <c r="F409" s="26" t="n"/>
      <c r="G409" s="26" t="n"/>
      <c r="H409" s="26" t="n"/>
      <c r="I409" s="26" t="n"/>
    </row>
    <row r="410" ht="15" customHeight="1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26" t="n"/>
    </row>
    <row r="411" ht="15" customHeight="1">
      <c r="A411" s="26" t="n"/>
      <c r="B411" s="26" t="n"/>
      <c r="C411" s="26" t="n"/>
      <c r="D411" s="26" t="n"/>
      <c r="E411" s="26" t="n"/>
      <c r="F411" s="26" t="n"/>
      <c r="G411" s="26" t="n"/>
      <c r="H411" s="26" t="n"/>
      <c r="I411" s="26" t="n"/>
    </row>
    <row r="412" ht="15" customHeight="1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26" t="n"/>
    </row>
    <row r="413" ht="15" customHeight="1">
      <c r="A413" s="26" t="n"/>
      <c r="B413" s="26" t="n"/>
      <c r="C413" s="26" t="n"/>
      <c r="D413" s="26" t="n"/>
      <c r="E413" s="26" t="n"/>
      <c r="F413" s="26" t="n"/>
      <c r="G413" s="26" t="n"/>
      <c r="H413" s="26" t="n"/>
      <c r="I413" s="26" t="n"/>
    </row>
    <row r="414" ht="15" customHeight="1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26" t="n"/>
    </row>
    <row r="415" ht="15" customHeight="1">
      <c r="A415" s="26" t="n"/>
      <c r="B415" s="26" t="n"/>
      <c r="C415" s="26" t="n"/>
      <c r="D415" s="26" t="n"/>
      <c r="E415" s="26" t="n"/>
      <c r="F415" s="26" t="n"/>
      <c r="G415" s="26" t="n"/>
      <c r="H415" s="26" t="n"/>
      <c r="I415" s="26" t="n"/>
    </row>
    <row r="416" ht="15" customHeight="1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26" t="n"/>
    </row>
    <row r="417" ht="15" customHeight="1">
      <c r="A417" s="26" t="n"/>
      <c r="B417" s="26" t="n"/>
      <c r="C417" s="26" t="n"/>
      <c r="D417" s="26" t="n"/>
      <c r="E417" s="26" t="n"/>
      <c r="F417" s="26" t="n"/>
      <c r="G417" s="26" t="n"/>
      <c r="H417" s="26" t="n"/>
      <c r="I417" s="26" t="n"/>
    </row>
    <row r="418" ht="15" customHeight="1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 t="n"/>
    </row>
    <row r="419" ht="15" customHeight="1">
      <c r="A419" s="26" t="n"/>
      <c r="B419" s="26" t="n"/>
      <c r="C419" s="26" t="n"/>
      <c r="D419" s="26" t="n"/>
      <c r="E419" s="26" t="n"/>
      <c r="F419" s="26" t="n"/>
      <c r="G419" s="26" t="n"/>
      <c r="H419" s="26" t="n"/>
      <c r="I419" s="26" t="n"/>
    </row>
    <row r="420" ht="15" customHeight="1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26" t="n"/>
    </row>
    <row r="421" ht="15" customHeight="1">
      <c r="A421" s="26" t="n"/>
      <c r="B421" s="26" t="n"/>
      <c r="C421" s="26" t="n"/>
      <c r="D421" s="26" t="n"/>
      <c r="E421" s="26" t="n"/>
      <c r="F421" s="26" t="n"/>
      <c r="G421" s="26" t="n"/>
      <c r="H421" s="26" t="n"/>
      <c r="I421" s="26" t="n"/>
    </row>
    <row r="422" ht="15" customHeight="1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26" t="n"/>
    </row>
    <row r="423" ht="15" customHeight="1">
      <c r="A423" s="26" t="n"/>
      <c r="B423" s="26" t="n"/>
      <c r="C423" s="26" t="n"/>
      <c r="D423" s="26" t="n"/>
      <c r="E423" s="26" t="n"/>
      <c r="F423" s="26" t="n"/>
      <c r="G423" s="26" t="n"/>
      <c r="H423" s="26" t="n"/>
      <c r="I423" s="26" t="n"/>
    </row>
    <row r="424" ht="15" customHeight="1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 t="n"/>
    </row>
    <row r="425" ht="15" customHeight="1">
      <c r="A425" s="26" t="n"/>
      <c r="B425" s="26" t="n"/>
      <c r="C425" s="26" t="n"/>
      <c r="D425" s="26" t="n"/>
      <c r="E425" s="26" t="n"/>
      <c r="F425" s="26" t="n"/>
      <c r="G425" s="26" t="n"/>
      <c r="H425" s="26" t="n"/>
      <c r="I425" s="26" t="n"/>
    </row>
    <row r="426" ht="15" customHeight="1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26" t="n"/>
    </row>
    <row r="427" ht="15" customHeight="1">
      <c r="A427" s="26" t="n"/>
      <c r="B427" s="26" t="n"/>
      <c r="C427" s="26" t="n"/>
      <c r="D427" s="26" t="n"/>
      <c r="E427" s="26" t="n"/>
      <c r="F427" s="26" t="n"/>
      <c r="G427" s="26" t="n"/>
      <c r="H427" s="26" t="n"/>
      <c r="I427" s="26" t="n"/>
    </row>
    <row r="428" ht="15" customHeight="1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26" t="n"/>
    </row>
    <row r="429" ht="15" customHeight="1">
      <c r="A429" s="26" t="n"/>
      <c r="B429" s="26" t="n"/>
      <c r="C429" s="26" t="n"/>
      <c r="D429" s="26" t="n"/>
      <c r="E429" s="26" t="n"/>
      <c r="F429" s="26" t="n"/>
      <c r="G429" s="26" t="n"/>
      <c r="H429" s="26" t="n"/>
      <c r="I429" s="26" t="n"/>
    </row>
    <row r="430" ht="15" customHeight="1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26" t="n"/>
    </row>
    <row r="431" ht="15" customHeight="1">
      <c r="A431" s="26" t="n"/>
      <c r="B431" s="26" t="n"/>
      <c r="C431" s="26" t="n"/>
      <c r="D431" s="26" t="n"/>
      <c r="E431" s="26" t="n"/>
      <c r="F431" s="26" t="n"/>
      <c r="G431" s="26" t="n"/>
      <c r="H431" s="26" t="n"/>
      <c r="I431" s="26" t="n"/>
    </row>
    <row r="432" ht="15" customHeight="1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26" t="n"/>
    </row>
    <row r="433" ht="15" customHeight="1">
      <c r="A433" s="26" t="n"/>
      <c r="B433" s="26" t="n"/>
      <c r="C433" s="26" t="n"/>
      <c r="D433" s="26" t="n"/>
      <c r="E433" s="26" t="n"/>
      <c r="F433" s="26" t="n"/>
      <c r="G433" s="26" t="n"/>
      <c r="H433" s="26" t="n"/>
      <c r="I433" s="26" t="n"/>
    </row>
    <row r="434" ht="15" customHeight="1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26" t="n"/>
    </row>
    <row r="435" ht="15" customHeight="1">
      <c r="A435" s="26" t="n"/>
      <c r="B435" s="26" t="n"/>
      <c r="C435" s="26" t="n"/>
      <c r="D435" s="26" t="n"/>
      <c r="E435" s="26" t="n"/>
      <c r="F435" s="26" t="n"/>
      <c r="G435" s="26" t="n"/>
      <c r="H435" s="26" t="n"/>
      <c r="I435" s="26" t="n"/>
    </row>
    <row r="436" ht="15" customHeight="1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26" t="n"/>
    </row>
    <row r="437" ht="15" customHeight="1">
      <c r="A437" s="26" t="n"/>
      <c r="B437" s="26" t="n"/>
      <c r="C437" s="26" t="n"/>
      <c r="D437" s="26" t="n"/>
      <c r="E437" s="26" t="n"/>
      <c r="F437" s="26" t="n"/>
      <c r="G437" s="26" t="n"/>
      <c r="H437" s="26" t="n"/>
      <c r="I437" s="26" t="n"/>
    </row>
    <row r="438" ht="15" customHeight="1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26" t="n"/>
    </row>
    <row r="439" ht="15" customHeight="1">
      <c r="A439" s="26" t="n"/>
      <c r="B439" s="26" t="n"/>
      <c r="C439" s="26" t="n"/>
      <c r="D439" s="26" t="n"/>
      <c r="E439" s="26" t="n"/>
      <c r="F439" s="26" t="n"/>
      <c r="G439" s="26" t="n"/>
      <c r="H439" s="26" t="n"/>
      <c r="I439" s="26" t="n"/>
    </row>
    <row r="440" ht="15" customHeight="1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26" t="n"/>
    </row>
    <row r="441" ht="15" customHeight="1">
      <c r="A441" s="26" t="n"/>
      <c r="B441" s="26" t="n"/>
      <c r="C441" s="26" t="n"/>
      <c r="D441" s="26" t="n"/>
      <c r="E441" s="26" t="n"/>
      <c r="F441" s="26" t="n"/>
      <c r="G441" s="26" t="n"/>
      <c r="H441" s="26" t="n"/>
      <c r="I441" s="26" t="n"/>
    </row>
    <row r="442" ht="15" customHeight="1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26" t="n"/>
    </row>
    <row r="443" ht="15" customHeight="1">
      <c r="A443" s="26" t="n"/>
      <c r="B443" s="26" t="n"/>
      <c r="C443" s="26" t="n"/>
      <c r="D443" s="26" t="n"/>
      <c r="E443" s="26" t="n"/>
      <c r="F443" s="26" t="n"/>
      <c r="G443" s="26" t="n"/>
      <c r="H443" s="26" t="n"/>
      <c r="I443" s="26" t="n"/>
    </row>
    <row r="444" ht="15" customHeight="1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26" t="n"/>
    </row>
    <row r="445" ht="15" customHeight="1">
      <c r="A445" s="26" t="n"/>
      <c r="B445" s="26" t="n"/>
      <c r="C445" s="26" t="n"/>
      <c r="D445" s="26" t="n"/>
      <c r="E445" s="26" t="n"/>
      <c r="F445" s="26" t="n"/>
      <c r="G445" s="26" t="n"/>
      <c r="H445" s="26" t="n"/>
      <c r="I445" s="26" t="n"/>
    </row>
    <row r="446" ht="15" customHeight="1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26" t="n"/>
    </row>
    <row r="447" ht="15" customHeight="1">
      <c r="A447" s="26" t="n"/>
      <c r="B447" s="26" t="n"/>
      <c r="C447" s="26" t="n"/>
      <c r="D447" s="26" t="n"/>
      <c r="E447" s="26" t="n"/>
      <c r="F447" s="26" t="n"/>
      <c r="G447" s="26" t="n"/>
      <c r="H447" s="26" t="n"/>
      <c r="I447" s="26" t="n"/>
    </row>
    <row r="448" ht="15" customHeight="1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 t="n"/>
    </row>
    <row r="449" ht="15" customHeight="1">
      <c r="A449" s="26" t="n"/>
      <c r="B449" s="26" t="n"/>
      <c r="C449" s="26" t="n"/>
      <c r="D449" s="26" t="n"/>
      <c r="E449" s="26" t="n"/>
      <c r="F449" s="26" t="n"/>
      <c r="G449" s="26" t="n"/>
      <c r="H449" s="26" t="n"/>
      <c r="I449" s="26" t="n"/>
    </row>
    <row r="450" ht="15" customHeight="1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26" t="n"/>
    </row>
    <row r="451" ht="15" customHeight="1">
      <c r="A451" s="26" t="n"/>
      <c r="B451" s="26" t="n"/>
      <c r="C451" s="26" t="n"/>
      <c r="D451" s="26" t="n"/>
      <c r="E451" s="26" t="n"/>
      <c r="F451" s="26" t="n"/>
      <c r="G451" s="26" t="n"/>
      <c r="H451" s="26" t="n"/>
      <c r="I451" s="26" t="n"/>
    </row>
    <row r="452" ht="15" customHeight="1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26" t="n"/>
    </row>
    <row r="453" ht="15" customHeight="1">
      <c r="A453" s="26" t="n"/>
      <c r="B453" s="26" t="n"/>
      <c r="C453" s="26" t="n"/>
      <c r="D453" s="26" t="n"/>
      <c r="E453" s="26" t="n"/>
      <c r="F453" s="26" t="n"/>
      <c r="G453" s="26" t="n"/>
      <c r="H453" s="26" t="n"/>
      <c r="I453" s="26" t="n"/>
    </row>
    <row r="454" ht="15" customHeight="1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 t="n"/>
    </row>
    <row r="455" ht="15" customHeight="1">
      <c r="A455" s="26" t="n"/>
      <c r="B455" s="26" t="n"/>
      <c r="C455" s="26" t="n"/>
      <c r="D455" s="26" t="n"/>
      <c r="E455" s="26" t="n"/>
      <c r="F455" s="26" t="n"/>
      <c r="G455" s="26" t="n"/>
      <c r="H455" s="26" t="n"/>
      <c r="I455" s="26" t="n"/>
    </row>
    <row r="456" ht="15" customHeight="1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26" t="n"/>
    </row>
    <row r="457" ht="15" customHeight="1">
      <c r="A457" s="26" t="n"/>
      <c r="B457" s="26" t="n"/>
      <c r="C457" s="26" t="n"/>
      <c r="D457" s="26" t="n"/>
      <c r="E457" s="26" t="n"/>
      <c r="F457" s="26" t="n"/>
      <c r="G457" s="26" t="n"/>
      <c r="H457" s="26" t="n"/>
      <c r="I457" s="26" t="n"/>
    </row>
    <row r="458" ht="15" customHeight="1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26" t="n"/>
    </row>
    <row r="459" ht="15" customHeight="1">
      <c r="A459" s="26" t="n"/>
      <c r="B459" s="26" t="n"/>
      <c r="C459" s="26" t="n"/>
      <c r="D459" s="26" t="n"/>
      <c r="E459" s="26" t="n"/>
      <c r="F459" s="26" t="n"/>
      <c r="G459" s="26" t="n"/>
      <c r="H459" s="26" t="n"/>
      <c r="I459" s="26" t="n"/>
    </row>
    <row r="460" ht="15" customHeight="1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26" t="n"/>
    </row>
    <row r="461" ht="15" customHeight="1">
      <c r="A461" s="26" t="n"/>
      <c r="B461" s="26" t="n"/>
      <c r="C461" s="26" t="n"/>
      <c r="D461" s="26" t="n"/>
      <c r="E461" s="26" t="n"/>
      <c r="F461" s="26" t="n"/>
      <c r="G461" s="26" t="n"/>
      <c r="H461" s="26" t="n"/>
      <c r="I461" s="26" t="n"/>
    </row>
    <row r="462" ht="15" customHeight="1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26" t="n"/>
    </row>
    <row r="463" ht="15" customHeight="1">
      <c r="A463" s="26" t="n"/>
      <c r="B463" s="26" t="n"/>
      <c r="C463" s="26" t="n"/>
      <c r="D463" s="26" t="n"/>
      <c r="E463" s="26" t="n"/>
      <c r="F463" s="26" t="n"/>
      <c r="G463" s="26" t="n"/>
      <c r="H463" s="26" t="n"/>
      <c r="I463" s="26" t="n"/>
    </row>
    <row r="464" ht="15" customHeight="1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26" t="n"/>
    </row>
    <row r="465" ht="15" customHeight="1">
      <c r="A465" s="26" t="n"/>
      <c r="B465" s="26" t="n"/>
      <c r="C465" s="26" t="n"/>
      <c r="D465" s="26" t="n"/>
      <c r="E465" s="26" t="n"/>
      <c r="F465" s="26" t="n"/>
      <c r="G465" s="26" t="n"/>
      <c r="H465" s="26" t="n"/>
      <c r="I465" s="26" t="n"/>
    </row>
    <row r="466" ht="15" customHeight="1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26" t="n"/>
    </row>
    <row r="467" ht="15" customHeight="1">
      <c r="A467" s="26" t="n"/>
      <c r="B467" s="26" t="n"/>
      <c r="C467" s="26" t="n"/>
      <c r="D467" s="26" t="n"/>
      <c r="E467" s="26" t="n"/>
      <c r="F467" s="26" t="n"/>
      <c r="G467" s="26" t="n"/>
      <c r="H467" s="26" t="n"/>
      <c r="I467" s="26" t="n"/>
    </row>
    <row r="468" ht="15" customHeight="1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 t="n"/>
    </row>
    <row r="469" ht="15" customHeight="1">
      <c r="A469" s="26" t="n"/>
      <c r="B469" s="26" t="n"/>
      <c r="C469" s="26" t="n"/>
      <c r="D469" s="26" t="n"/>
      <c r="E469" s="26" t="n"/>
      <c r="F469" s="26" t="n"/>
      <c r="G469" s="26" t="n"/>
      <c r="H469" s="26" t="n"/>
      <c r="I469" s="26" t="n"/>
    </row>
    <row r="470" ht="15" customHeight="1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26" t="n"/>
    </row>
    <row r="471" ht="15" customHeight="1">
      <c r="A471" s="26" t="n"/>
      <c r="B471" s="26" t="n"/>
      <c r="C471" s="26" t="n"/>
      <c r="D471" s="26" t="n"/>
      <c r="E471" s="26" t="n"/>
      <c r="F471" s="26" t="n"/>
      <c r="G471" s="26" t="n"/>
      <c r="H471" s="26" t="n"/>
      <c r="I471" s="26" t="n"/>
    </row>
    <row r="472" ht="15" customHeight="1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26" t="n"/>
    </row>
    <row r="473" ht="15" customHeight="1">
      <c r="A473" s="26" t="n"/>
      <c r="B473" s="26" t="n"/>
      <c r="C473" s="26" t="n"/>
      <c r="D473" s="26" t="n"/>
      <c r="E473" s="26" t="n"/>
      <c r="F473" s="26" t="n"/>
      <c r="G473" s="26" t="n"/>
      <c r="H473" s="26" t="n"/>
      <c r="I473" s="26" t="n"/>
    </row>
    <row r="474" ht="15" customHeight="1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26" t="n"/>
    </row>
    <row r="475" ht="15" customHeight="1">
      <c r="A475" s="26" t="n"/>
      <c r="B475" s="26" t="n"/>
      <c r="C475" s="26" t="n"/>
      <c r="D475" s="26" t="n"/>
      <c r="E475" s="26" t="n"/>
      <c r="F475" s="26" t="n"/>
      <c r="G475" s="26" t="n"/>
      <c r="H475" s="26" t="n"/>
      <c r="I475" s="26" t="n"/>
    </row>
    <row r="476" ht="15" customHeight="1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 t="n"/>
    </row>
    <row r="477" ht="15" customHeight="1">
      <c r="A477" s="26" t="n"/>
      <c r="B477" s="26" t="n"/>
      <c r="C477" s="26" t="n"/>
      <c r="D477" s="26" t="n"/>
      <c r="E477" s="26" t="n"/>
      <c r="F477" s="26" t="n"/>
      <c r="G477" s="26" t="n"/>
      <c r="H477" s="26" t="n"/>
      <c r="I477" s="26" t="n"/>
    </row>
    <row r="478" ht="15" customHeight="1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 t="n"/>
    </row>
    <row r="479" ht="15" customHeight="1">
      <c r="A479" s="26" t="n"/>
      <c r="B479" s="26" t="n"/>
      <c r="C479" s="26" t="n"/>
      <c r="D479" s="26" t="n"/>
      <c r="E479" s="26" t="n"/>
      <c r="F479" s="26" t="n"/>
      <c r="G479" s="26" t="n"/>
      <c r="H479" s="26" t="n"/>
      <c r="I479" s="26" t="n"/>
    </row>
    <row r="480" ht="15" customHeight="1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26" t="n"/>
    </row>
    <row r="481" ht="15" customHeight="1">
      <c r="A481" s="26" t="n"/>
      <c r="B481" s="26" t="n"/>
      <c r="C481" s="26" t="n"/>
      <c r="D481" s="26" t="n"/>
      <c r="E481" s="26" t="n"/>
      <c r="F481" s="26" t="n"/>
      <c r="G481" s="26" t="n"/>
      <c r="H481" s="26" t="n"/>
      <c r="I481" s="26" t="n"/>
    </row>
    <row r="482" ht="15" customHeight="1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26" t="n"/>
    </row>
    <row r="483" ht="15" customHeight="1">
      <c r="A483" s="26" t="n"/>
      <c r="B483" s="26" t="n"/>
      <c r="C483" s="26" t="n"/>
      <c r="D483" s="26" t="n"/>
      <c r="E483" s="26" t="n"/>
      <c r="F483" s="26" t="n"/>
      <c r="G483" s="26" t="n"/>
      <c r="H483" s="26" t="n"/>
      <c r="I483" s="26" t="n"/>
    </row>
    <row r="484" ht="15" customHeight="1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26" t="n"/>
    </row>
    <row r="485" ht="15" customHeight="1">
      <c r="A485" s="26" t="n"/>
      <c r="B485" s="26" t="n"/>
      <c r="C485" s="26" t="n"/>
      <c r="D485" s="26" t="n"/>
      <c r="E485" s="26" t="n"/>
      <c r="F485" s="26" t="n"/>
      <c r="G485" s="26" t="n"/>
      <c r="H485" s="26" t="n"/>
      <c r="I485" s="26" t="n"/>
    </row>
    <row r="486" ht="15" customHeight="1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26" t="n"/>
    </row>
    <row r="487" ht="15" customHeight="1">
      <c r="A487" s="26" t="n"/>
      <c r="B487" s="26" t="n"/>
      <c r="C487" s="26" t="n"/>
      <c r="D487" s="26" t="n"/>
      <c r="E487" s="26" t="n"/>
      <c r="F487" s="26" t="n"/>
      <c r="G487" s="26" t="n"/>
      <c r="H487" s="26" t="n"/>
      <c r="I487" s="26" t="n"/>
    </row>
    <row r="488" ht="15" customHeight="1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26" t="n"/>
    </row>
    <row r="489" ht="15" customHeight="1">
      <c r="A489" s="26" t="n"/>
      <c r="B489" s="26" t="n"/>
      <c r="C489" s="26" t="n"/>
      <c r="D489" s="26" t="n"/>
      <c r="E489" s="26" t="n"/>
      <c r="F489" s="26" t="n"/>
      <c r="G489" s="26" t="n"/>
      <c r="H489" s="26" t="n"/>
      <c r="I489" s="26" t="n"/>
    </row>
    <row r="490" ht="15" customHeight="1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26" t="n"/>
    </row>
    <row r="491" ht="15" customHeight="1">
      <c r="A491" s="26" t="n"/>
      <c r="B491" s="26" t="n"/>
      <c r="C491" s="26" t="n"/>
      <c r="D491" s="26" t="n"/>
      <c r="E491" s="26" t="n"/>
      <c r="F491" s="26" t="n"/>
      <c r="G491" s="26" t="n"/>
      <c r="H491" s="26" t="n"/>
      <c r="I491" s="26" t="n"/>
    </row>
    <row r="492" ht="15" customHeight="1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26" t="n"/>
    </row>
    <row r="493" ht="15" customHeight="1">
      <c r="A493" s="26" t="n"/>
      <c r="B493" s="26" t="n"/>
      <c r="C493" s="26" t="n"/>
      <c r="D493" s="26" t="n"/>
      <c r="E493" s="26" t="n"/>
      <c r="F493" s="26" t="n"/>
      <c r="G493" s="26" t="n"/>
      <c r="H493" s="26" t="n"/>
      <c r="I493" s="26" t="n"/>
    </row>
    <row r="494" ht="15" customHeight="1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26" t="n"/>
    </row>
    <row r="495" ht="15" customHeight="1">
      <c r="A495" s="26" t="n"/>
      <c r="B495" s="26" t="n"/>
      <c r="C495" s="26" t="n"/>
      <c r="D495" s="26" t="n"/>
      <c r="E495" s="26" t="n"/>
      <c r="F495" s="26" t="n"/>
      <c r="G495" s="26" t="n"/>
      <c r="H495" s="26" t="n"/>
      <c r="I495" s="26" t="n"/>
    </row>
    <row r="496" ht="15" customHeight="1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26" t="n"/>
    </row>
    <row r="497" ht="15" customHeight="1">
      <c r="A497" s="26" t="n"/>
      <c r="B497" s="26" t="n"/>
      <c r="C497" s="26" t="n"/>
      <c r="D497" s="26" t="n"/>
      <c r="E497" s="26" t="n"/>
      <c r="F497" s="26" t="n"/>
      <c r="G497" s="26" t="n"/>
      <c r="H497" s="26" t="n"/>
      <c r="I497" s="26" t="n"/>
    </row>
    <row r="498" ht="15" customHeight="1">
      <c r="A498" s="26" t="n"/>
      <c r="B498" s="26" t="n"/>
      <c r="C498" s="26" t="n"/>
      <c r="D498" s="26" t="n"/>
      <c r="E498" s="26" t="n"/>
      <c r="F498" s="26" t="n"/>
      <c r="G498" s="26" t="n"/>
      <c r="H498" s="26" t="n"/>
      <c r="I498" s="26" t="n"/>
    </row>
    <row r="499" ht="15" customHeight="1">
      <c r="A499" s="26" t="n"/>
      <c r="B499" s="26" t="n"/>
      <c r="C499" s="26" t="n"/>
      <c r="D499" s="26" t="n"/>
      <c r="E499" s="26" t="n"/>
      <c r="F499" s="26" t="n"/>
      <c r="G499" s="26" t="n"/>
      <c r="H499" s="26" t="n"/>
      <c r="I499" s="26" t="n"/>
    </row>
    <row r="500" ht="15" customHeight="1">
      <c r="A500" s="26" t="n"/>
      <c r="B500" s="26" t="n"/>
      <c r="C500" s="26" t="n"/>
      <c r="D500" s="26" t="n"/>
      <c r="E500" s="26" t="n"/>
      <c r="F500" s="26" t="n"/>
      <c r="G500" s="26" t="n"/>
      <c r="H500" s="26" t="n"/>
      <c r="I500" s="26" t="n"/>
    </row>
    <row r="501" ht="15" customHeight="1">
      <c r="A501" s="26" t="n"/>
      <c r="B501" s="26" t="n"/>
      <c r="C501" s="26" t="n"/>
      <c r="D501" s="26" t="n"/>
      <c r="E501" s="26" t="n"/>
      <c r="F501" s="26" t="n"/>
      <c r="G501" s="26" t="n"/>
      <c r="H501" s="26" t="n"/>
      <c r="I501" s="26" t="n"/>
    </row>
    <row r="502" ht="15" customHeight="1">
      <c r="A502" s="26" t="n"/>
      <c r="B502" s="26" t="n"/>
      <c r="C502" s="26" t="n"/>
      <c r="D502" s="26" t="n"/>
      <c r="E502" s="26" t="n"/>
      <c r="F502" s="26" t="n"/>
      <c r="G502" s="26" t="n"/>
      <c r="H502" s="26" t="n"/>
      <c r="I502" s="26" t="n"/>
    </row>
    <row r="503" ht="15" customHeight="1">
      <c r="A503" s="26" t="n"/>
      <c r="B503" s="26" t="n"/>
      <c r="C503" s="26" t="n"/>
      <c r="D503" s="26" t="n"/>
      <c r="E503" s="26" t="n"/>
      <c r="F503" s="26" t="n"/>
      <c r="G503" s="26" t="n"/>
      <c r="H503" s="26" t="n"/>
      <c r="I503" s="26" t="n"/>
    </row>
    <row r="504" ht="15" customHeight="1">
      <c r="A504" s="26" t="n"/>
      <c r="B504" s="26" t="n"/>
      <c r="C504" s="26" t="n"/>
      <c r="D504" s="26" t="n"/>
      <c r="E504" s="26" t="n"/>
      <c r="F504" s="26" t="n"/>
      <c r="G504" s="26" t="n"/>
      <c r="H504" s="26" t="n"/>
      <c r="I504" s="26" t="n"/>
    </row>
    <row r="505" ht="15" customHeight="1">
      <c r="A505" s="26" t="n"/>
      <c r="B505" s="26" t="n"/>
      <c r="C505" s="26" t="n"/>
      <c r="D505" s="26" t="n"/>
      <c r="E505" s="26" t="n"/>
      <c r="F505" s="26" t="n"/>
      <c r="G505" s="26" t="n"/>
      <c r="H505" s="26" t="n"/>
      <c r="I505" s="26" t="n"/>
    </row>
    <row r="506" ht="15" customHeight="1">
      <c r="A506" s="26" t="n"/>
      <c r="B506" s="26" t="n"/>
      <c r="C506" s="26" t="n"/>
      <c r="D506" s="26" t="n"/>
      <c r="E506" s="26" t="n"/>
      <c r="F506" s="26" t="n"/>
      <c r="G506" s="26" t="n"/>
      <c r="H506" s="26" t="n"/>
      <c r="I506" s="26" t="n"/>
    </row>
    <row r="507" ht="15" customHeight="1">
      <c r="A507" s="26" t="n"/>
      <c r="B507" s="26" t="n"/>
      <c r="C507" s="26" t="n"/>
      <c r="D507" s="26" t="n"/>
      <c r="E507" s="26" t="n"/>
      <c r="F507" s="26" t="n"/>
      <c r="G507" s="26" t="n"/>
      <c r="H507" s="26" t="n"/>
      <c r="I507" s="26" t="n"/>
    </row>
    <row r="508" ht="15" customHeight="1">
      <c r="A508" s="26" t="n"/>
      <c r="B508" s="26" t="n"/>
      <c r="C508" s="26" t="n"/>
      <c r="D508" s="26" t="n"/>
      <c r="E508" s="26" t="n"/>
      <c r="F508" s="26" t="n"/>
      <c r="G508" s="26" t="n"/>
      <c r="H508" s="26" t="n"/>
      <c r="I508" s="26" t="n"/>
    </row>
    <row r="509" ht="15" customHeight="1">
      <c r="A509" s="26" t="n"/>
      <c r="B509" s="26" t="n"/>
      <c r="C509" s="26" t="n"/>
      <c r="D509" s="26" t="n"/>
      <c r="E509" s="26" t="n"/>
      <c r="F509" s="26" t="n"/>
      <c r="G509" s="26" t="n"/>
      <c r="H509" s="26" t="n"/>
      <c r="I509" s="26" t="n"/>
    </row>
    <row r="510" ht="15" customHeight="1">
      <c r="A510" s="26" t="n"/>
      <c r="B510" s="26" t="n"/>
      <c r="C510" s="26" t="n"/>
      <c r="D510" s="26" t="n"/>
      <c r="E510" s="26" t="n"/>
      <c r="F510" s="26" t="n"/>
      <c r="G510" s="26" t="n"/>
      <c r="H510" s="26" t="n"/>
      <c r="I510" s="26" t="n"/>
    </row>
    <row r="511" ht="15" customHeight="1">
      <c r="A511" s="26" t="n"/>
      <c r="B511" s="26" t="n"/>
      <c r="C511" s="26" t="n"/>
      <c r="D511" s="26" t="n"/>
      <c r="E511" s="26" t="n"/>
      <c r="F511" s="26" t="n"/>
      <c r="G511" s="26" t="n"/>
      <c r="H511" s="26" t="n"/>
      <c r="I511" s="26" t="n"/>
    </row>
    <row r="512" ht="15" customHeight="1">
      <c r="A512" s="26" t="n"/>
      <c r="B512" s="26" t="n"/>
      <c r="C512" s="26" t="n"/>
      <c r="D512" s="26" t="n"/>
      <c r="E512" s="26" t="n"/>
      <c r="F512" s="26" t="n"/>
      <c r="G512" s="26" t="n"/>
      <c r="H512" s="26" t="n"/>
      <c r="I512" s="26" t="n"/>
    </row>
    <row r="513" ht="15" customHeight="1">
      <c r="A513" s="26" t="n"/>
      <c r="B513" s="26" t="n"/>
      <c r="C513" s="26" t="n"/>
      <c r="D513" s="26" t="n"/>
      <c r="E513" s="26" t="n"/>
      <c r="F513" s="26" t="n"/>
      <c r="G513" s="26" t="n"/>
      <c r="H513" s="26" t="n"/>
      <c r="I513" s="26" t="n"/>
    </row>
    <row r="514" ht="15" customHeight="1">
      <c r="A514" s="26" t="n"/>
      <c r="B514" s="26" t="n"/>
      <c r="C514" s="26" t="n"/>
      <c r="D514" s="26" t="n"/>
      <c r="E514" s="26" t="n"/>
      <c r="F514" s="26" t="n"/>
      <c r="G514" s="26" t="n"/>
      <c r="H514" s="26" t="n"/>
      <c r="I514" s="26" t="n"/>
    </row>
    <row r="515" ht="15" customHeight="1">
      <c r="A515" s="26" t="n"/>
      <c r="B515" s="26" t="n"/>
      <c r="C515" s="26" t="n"/>
      <c r="D515" s="26" t="n"/>
      <c r="E515" s="26" t="n"/>
      <c r="F515" s="26" t="n"/>
      <c r="G515" s="26" t="n"/>
      <c r="H515" s="26" t="n"/>
      <c r="I515" s="26" t="n"/>
    </row>
    <row r="516" ht="15" customHeight="1">
      <c r="A516" s="26" t="n"/>
      <c r="B516" s="26" t="n"/>
      <c r="C516" s="26" t="n"/>
      <c r="D516" s="26" t="n"/>
      <c r="E516" s="26" t="n"/>
      <c r="F516" s="26" t="n"/>
      <c r="G516" s="26" t="n"/>
      <c r="H516" s="26" t="n"/>
      <c r="I516" s="26" t="n"/>
    </row>
    <row r="517" ht="15" customHeight="1">
      <c r="A517" s="26" t="n"/>
      <c r="B517" s="26" t="n"/>
      <c r="C517" s="26" t="n"/>
      <c r="D517" s="26" t="n"/>
      <c r="E517" s="26" t="n"/>
      <c r="F517" s="26" t="n"/>
      <c r="G517" s="26" t="n"/>
      <c r="H517" s="26" t="n"/>
      <c r="I517" s="26" t="n"/>
    </row>
    <row r="518" ht="15" customHeight="1">
      <c r="A518" s="26" t="n"/>
      <c r="B518" s="26" t="n"/>
      <c r="C518" s="26" t="n"/>
      <c r="D518" s="26" t="n"/>
      <c r="E518" s="26" t="n"/>
      <c r="F518" s="26" t="n"/>
      <c r="G518" s="26" t="n"/>
      <c r="H518" s="26" t="n"/>
      <c r="I518" s="26" t="n"/>
    </row>
    <row r="519" ht="15" customHeight="1">
      <c r="A519" s="26" t="n"/>
      <c r="B519" s="26" t="n"/>
      <c r="C519" s="26" t="n"/>
      <c r="D519" s="26" t="n"/>
      <c r="E519" s="26" t="n"/>
      <c r="F519" s="26" t="n"/>
      <c r="G519" s="26" t="n"/>
      <c r="H519" s="26" t="n"/>
      <c r="I519" s="26" t="n"/>
    </row>
    <row r="520" ht="15" customHeight="1">
      <c r="A520" s="26" t="n"/>
      <c r="B520" s="26" t="n"/>
      <c r="C520" s="26" t="n"/>
      <c r="D520" s="26" t="n"/>
      <c r="E520" s="26" t="n"/>
      <c r="F520" s="26" t="n"/>
      <c r="G520" s="26" t="n"/>
      <c r="H520" s="26" t="n"/>
      <c r="I520" s="26" t="n"/>
    </row>
    <row r="521" ht="15" customHeight="1">
      <c r="A521" s="26" t="n"/>
      <c r="B521" s="26" t="n"/>
      <c r="C521" s="26" t="n"/>
      <c r="D521" s="26" t="n"/>
      <c r="E521" s="26" t="n"/>
      <c r="F521" s="26" t="n"/>
      <c r="G521" s="26" t="n"/>
      <c r="H521" s="26" t="n"/>
      <c r="I521" s="26" t="n"/>
    </row>
    <row r="522" ht="15" customHeight="1">
      <c r="A522" s="26" t="n"/>
      <c r="B522" s="26" t="n"/>
      <c r="C522" s="26" t="n"/>
      <c r="D522" s="26" t="n"/>
      <c r="E522" s="26" t="n"/>
      <c r="F522" s="26" t="n"/>
      <c r="G522" s="26" t="n"/>
      <c r="H522" s="26" t="n"/>
      <c r="I522" s="26" t="n"/>
    </row>
    <row r="523" ht="15" customHeight="1">
      <c r="A523" s="26" t="n"/>
      <c r="B523" s="26" t="n"/>
      <c r="C523" s="26" t="n"/>
      <c r="D523" s="26" t="n"/>
      <c r="E523" s="26" t="n"/>
      <c r="F523" s="26" t="n"/>
      <c r="G523" s="26" t="n"/>
      <c r="H523" s="26" t="n"/>
      <c r="I523" s="26" t="n"/>
    </row>
    <row r="524" ht="15" customHeight="1">
      <c r="A524" s="26" t="n"/>
      <c r="B524" s="26" t="n"/>
      <c r="C524" s="26" t="n"/>
      <c r="D524" s="26" t="n"/>
      <c r="E524" s="26" t="n"/>
      <c r="F524" s="26" t="n"/>
      <c r="G524" s="26" t="n"/>
      <c r="H524" s="26" t="n"/>
      <c r="I524" s="26" t="n"/>
    </row>
    <row r="525" ht="15" customHeight="1">
      <c r="A525" s="26" t="n"/>
      <c r="B525" s="26" t="n"/>
      <c r="C525" s="26" t="n"/>
      <c r="D525" s="26" t="n"/>
      <c r="E525" s="26" t="n"/>
      <c r="F525" s="26" t="n"/>
      <c r="G525" s="26" t="n"/>
      <c r="H525" s="26" t="n"/>
      <c r="I525" s="26" t="n"/>
    </row>
    <row r="526" ht="15" customHeight="1">
      <c r="A526" s="26" t="n"/>
      <c r="B526" s="26" t="n"/>
      <c r="C526" s="26" t="n"/>
      <c r="D526" s="26" t="n"/>
      <c r="E526" s="26" t="n"/>
      <c r="F526" s="26" t="n"/>
      <c r="G526" s="26" t="n"/>
      <c r="H526" s="26" t="n"/>
      <c r="I526" s="26" t="n"/>
    </row>
    <row r="527" ht="15" customHeight="1">
      <c r="A527" s="26" t="n"/>
      <c r="B527" s="26" t="n"/>
      <c r="C527" s="26" t="n"/>
      <c r="D527" s="26" t="n"/>
      <c r="E527" s="26" t="n"/>
      <c r="F527" s="26" t="n"/>
      <c r="G527" s="26" t="n"/>
      <c r="H527" s="26" t="n"/>
      <c r="I527" s="26" t="n"/>
    </row>
    <row r="528" ht="15" customHeight="1">
      <c r="A528" s="26" t="n"/>
      <c r="B528" s="26" t="n"/>
      <c r="C528" s="26" t="n"/>
      <c r="D528" s="26" t="n"/>
      <c r="E528" s="26" t="n"/>
      <c r="F528" s="26" t="n"/>
      <c r="G528" s="26" t="n"/>
      <c r="H528" s="26" t="n"/>
      <c r="I528" s="26" t="n"/>
    </row>
    <row r="529" ht="15" customHeight="1">
      <c r="A529" s="26" t="n"/>
      <c r="B529" s="26" t="n"/>
      <c r="C529" s="26" t="n"/>
      <c r="D529" s="26" t="n"/>
      <c r="E529" s="26" t="n"/>
      <c r="F529" s="26" t="n"/>
      <c r="G529" s="26" t="n"/>
      <c r="H529" s="26" t="n"/>
      <c r="I529" s="26" t="n"/>
    </row>
    <row r="530" ht="15" customHeight="1">
      <c r="A530" s="26" t="n"/>
      <c r="B530" s="26" t="n"/>
      <c r="C530" s="26" t="n"/>
      <c r="D530" s="26" t="n"/>
      <c r="E530" s="26" t="n"/>
      <c r="F530" s="26" t="n"/>
      <c r="G530" s="26" t="n"/>
      <c r="H530" s="26" t="n"/>
      <c r="I530" s="26" t="n"/>
    </row>
    <row r="531" ht="15" customHeight="1">
      <c r="A531" s="26" t="n"/>
      <c r="B531" s="26" t="n"/>
      <c r="C531" s="26" t="n"/>
      <c r="D531" s="26" t="n"/>
      <c r="E531" s="26" t="n"/>
      <c r="F531" s="26" t="n"/>
      <c r="G531" s="26" t="n"/>
      <c r="H531" s="26" t="n"/>
      <c r="I531" s="26" t="n"/>
    </row>
    <row r="532" ht="15" customHeight="1">
      <c r="A532" s="26" t="n"/>
      <c r="B532" s="26" t="n"/>
      <c r="C532" s="26" t="n"/>
      <c r="D532" s="26" t="n"/>
      <c r="E532" s="26" t="n"/>
      <c r="F532" s="26" t="n"/>
      <c r="G532" s="26" t="n"/>
      <c r="H532" s="26" t="n"/>
      <c r="I532" s="26" t="n"/>
    </row>
    <row r="533" ht="15" customHeight="1">
      <c r="A533" s="26" t="n"/>
      <c r="B533" s="26" t="n"/>
      <c r="C533" s="26" t="n"/>
      <c r="D533" s="26" t="n"/>
      <c r="E533" s="26" t="n"/>
      <c r="F533" s="26" t="n"/>
      <c r="G533" s="26" t="n"/>
      <c r="H533" s="26" t="n"/>
      <c r="I533" s="26" t="n"/>
    </row>
    <row r="534" ht="15" customHeight="1">
      <c r="A534" s="26" t="n"/>
      <c r="B534" s="26" t="n"/>
      <c r="C534" s="26" t="n"/>
      <c r="D534" s="26" t="n"/>
      <c r="E534" s="26" t="n"/>
      <c r="F534" s="26" t="n"/>
      <c r="G534" s="26" t="n"/>
      <c r="H534" s="26" t="n"/>
      <c r="I534" s="26" t="n"/>
    </row>
    <row r="535" ht="15" customHeight="1">
      <c r="A535" s="26" t="n"/>
      <c r="B535" s="26" t="n"/>
      <c r="C535" s="26" t="n"/>
      <c r="D535" s="26" t="n"/>
      <c r="E535" s="26" t="n"/>
      <c r="F535" s="26" t="n"/>
      <c r="G535" s="26" t="n"/>
      <c r="H535" s="26" t="n"/>
      <c r="I535" s="26" t="n"/>
    </row>
    <row r="536" ht="15" customHeight="1">
      <c r="A536" s="26" t="n"/>
      <c r="B536" s="26" t="n"/>
      <c r="C536" s="26" t="n"/>
      <c r="D536" s="26" t="n"/>
      <c r="E536" s="26" t="n"/>
      <c r="F536" s="26" t="n"/>
      <c r="G536" s="26" t="n"/>
      <c r="H536" s="26" t="n"/>
      <c r="I536" s="26" t="n"/>
    </row>
    <row r="537" ht="15" customHeight="1">
      <c r="A537" s="26" t="n"/>
      <c r="B537" s="26" t="n"/>
      <c r="C537" s="26" t="n"/>
      <c r="D537" s="26" t="n"/>
      <c r="E537" s="26" t="n"/>
      <c r="F537" s="26" t="n"/>
      <c r="G537" s="26" t="n"/>
      <c r="H537" s="26" t="n"/>
      <c r="I537" s="26" t="n"/>
    </row>
    <row r="538" ht="15" customHeight="1">
      <c r="A538" s="26" t="n"/>
      <c r="B538" s="26" t="n"/>
      <c r="C538" s="26" t="n"/>
      <c r="D538" s="26" t="n"/>
      <c r="E538" s="26" t="n"/>
      <c r="F538" s="26" t="n"/>
      <c r="G538" s="26" t="n"/>
      <c r="H538" s="26" t="n"/>
      <c r="I538" s="26" t="n"/>
    </row>
    <row r="539" ht="15" customHeight="1">
      <c r="A539" s="26" t="n"/>
      <c r="B539" s="26" t="n"/>
      <c r="C539" s="26" t="n"/>
      <c r="D539" s="26" t="n"/>
      <c r="E539" s="26" t="n"/>
      <c r="F539" s="26" t="n"/>
      <c r="G539" s="26" t="n"/>
      <c r="H539" s="26" t="n"/>
      <c r="I539" s="26" t="n"/>
    </row>
    <row r="540" ht="15" customHeight="1">
      <c r="A540" s="26" t="n"/>
      <c r="B540" s="26" t="n"/>
      <c r="C540" s="26" t="n"/>
      <c r="D540" s="26" t="n"/>
      <c r="E540" s="26" t="n"/>
      <c r="F540" s="26" t="n"/>
      <c r="G540" s="26" t="n"/>
      <c r="H540" s="26" t="n"/>
      <c r="I540" s="26" t="n"/>
    </row>
    <row r="541" ht="15" customHeight="1">
      <c r="A541" s="26" t="n"/>
      <c r="B541" s="26" t="n"/>
      <c r="C541" s="26" t="n"/>
      <c r="D541" s="26" t="n"/>
      <c r="E541" s="26" t="n"/>
      <c r="F541" s="26" t="n"/>
      <c r="G541" s="26" t="n"/>
      <c r="H541" s="26" t="n"/>
      <c r="I541" s="26" t="n"/>
    </row>
    <row r="542" ht="15" customHeight="1">
      <c r="A542" s="26" t="n"/>
      <c r="B542" s="26" t="n"/>
      <c r="C542" s="26" t="n"/>
      <c r="D542" s="26" t="n"/>
      <c r="E542" s="26" t="n"/>
      <c r="F542" s="26" t="n"/>
      <c r="G542" s="26" t="n"/>
      <c r="H542" s="26" t="n"/>
      <c r="I542" s="26" t="n"/>
    </row>
    <row r="543" ht="15" customHeight="1">
      <c r="A543" s="26" t="n"/>
      <c r="B543" s="26" t="n"/>
      <c r="C543" s="26" t="n"/>
      <c r="D543" s="26" t="n"/>
      <c r="E543" s="26" t="n"/>
      <c r="F543" s="26" t="n"/>
      <c r="G543" s="26" t="n"/>
      <c r="H543" s="26" t="n"/>
      <c r="I543" s="26" t="n"/>
    </row>
    <row r="544" ht="15" customHeight="1">
      <c r="A544" s="26" t="n"/>
      <c r="B544" s="26" t="n"/>
      <c r="C544" s="26" t="n"/>
      <c r="D544" s="26" t="n"/>
      <c r="E544" s="26" t="n"/>
      <c r="F544" s="26" t="n"/>
      <c r="G544" s="26" t="n"/>
      <c r="H544" s="26" t="n"/>
      <c r="I544" s="26" t="n"/>
    </row>
    <row r="545" ht="15" customHeight="1">
      <c r="A545" s="26" t="n"/>
      <c r="B545" s="26" t="n"/>
      <c r="C545" s="26" t="n"/>
      <c r="D545" s="26" t="n"/>
      <c r="E545" s="26" t="n"/>
      <c r="F545" s="26" t="n"/>
      <c r="G545" s="26" t="n"/>
      <c r="H545" s="26" t="n"/>
      <c r="I545" s="26" t="n"/>
    </row>
    <row r="546" ht="15" customHeight="1">
      <c r="A546" s="26" t="n"/>
      <c r="B546" s="26" t="n"/>
      <c r="C546" s="26" t="n"/>
      <c r="D546" s="26" t="n"/>
      <c r="E546" s="26" t="n"/>
      <c r="F546" s="26" t="n"/>
      <c r="G546" s="26" t="n"/>
      <c r="H546" s="26" t="n"/>
      <c r="I546" s="26" t="n"/>
    </row>
    <row r="547" ht="15" customHeight="1">
      <c r="A547" s="26" t="n"/>
      <c r="B547" s="26" t="n"/>
      <c r="C547" s="26" t="n"/>
      <c r="D547" s="26" t="n"/>
      <c r="E547" s="26" t="n"/>
      <c r="F547" s="26" t="n"/>
      <c r="G547" s="26" t="n"/>
      <c r="H547" s="26" t="n"/>
      <c r="I547" s="26" t="n"/>
    </row>
    <row r="548" ht="15" customHeight="1">
      <c r="A548" s="26" t="n"/>
      <c r="B548" s="26" t="n"/>
      <c r="C548" s="26" t="n"/>
      <c r="D548" s="26" t="n"/>
      <c r="E548" s="26" t="n"/>
      <c r="F548" s="26" t="n"/>
      <c r="G548" s="26" t="n"/>
      <c r="H548" s="26" t="n"/>
      <c r="I548" s="26" t="n"/>
    </row>
    <row r="549" ht="15" customHeight="1">
      <c r="A549" s="26" t="n"/>
      <c r="B549" s="26" t="n"/>
      <c r="C549" s="26" t="n"/>
      <c r="D549" s="26" t="n"/>
      <c r="E549" s="26" t="n"/>
      <c r="F549" s="26" t="n"/>
      <c r="G549" s="26" t="n"/>
      <c r="H549" s="26" t="n"/>
      <c r="I549" s="26" t="n"/>
    </row>
    <row r="550" ht="15" customHeight="1">
      <c r="A550" s="26" t="n"/>
      <c r="B550" s="26" t="n"/>
      <c r="C550" s="26" t="n"/>
      <c r="D550" s="26" t="n"/>
      <c r="E550" s="26" t="n"/>
      <c r="F550" s="26" t="n"/>
      <c r="G550" s="26" t="n"/>
      <c r="H550" s="26" t="n"/>
      <c r="I550" s="26" t="n"/>
    </row>
    <row r="551" ht="15" customHeight="1">
      <c r="A551" s="26" t="n"/>
      <c r="B551" s="26" t="n"/>
      <c r="C551" s="26" t="n"/>
      <c r="D551" s="26" t="n"/>
      <c r="E551" s="26" t="n"/>
      <c r="F551" s="26" t="n"/>
      <c r="G551" s="26" t="n"/>
      <c r="H551" s="26" t="n"/>
      <c r="I551" s="26" t="n"/>
    </row>
    <row r="552" ht="15" customHeight="1">
      <c r="A552" s="26" t="n"/>
      <c r="B552" s="26" t="n"/>
      <c r="C552" s="26" t="n"/>
      <c r="D552" s="26" t="n"/>
      <c r="E552" s="26" t="n"/>
      <c r="F552" s="26" t="n"/>
      <c r="G552" s="26" t="n"/>
      <c r="H552" s="26" t="n"/>
      <c r="I552" s="26" t="n"/>
    </row>
    <row r="553" ht="15" customHeight="1">
      <c r="A553" s="26" t="n"/>
      <c r="B553" s="26" t="n"/>
      <c r="C553" s="26" t="n"/>
      <c r="D553" s="26" t="n"/>
      <c r="E553" s="26" t="n"/>
      <c r="F553" s="26" t="n"/>
      <c r="G553" s="26" t="n"/>
      <c r="H553" s="26" t="n"/>
      <c r="I553" s="26" t="n"/>
    </row>
    <row r="554" ht="15" customHeight="1">
      <c r="A554" s="26" t="n"/>
      <c r="B554" s="26" t="n"/>
      <c r="C554" s="26" t="n"/>
      <c r="D554" s="26" t="n"/>
      <c r="E554" s="26" t="n"/>
      <c r="F554" s="26" t="n"/>
      <c r="G554" s="26" t="n"/>
      <c r="H554" s="26" t="n"/>
      <c r="I554" s="26" t="n"/>
    </row>
    <row r="555" ht="15" customHeight="1">
      <c r="A555" s="26" t="n"/>
      <c r="B555" s="26" t="n"/>
      <c r="C555" s="26" t="n"/>
      <c r="D555" s="26" t="n"/>
      <c r="E555" s="26" t="n"/>
      <c r="F555" s="26" t="n"/>
      <c r="G555" s="26" t="n"/>
      <c r="H555" s="26" t="n"/>
      <c r="I555" s="26" t="n"/>
    </row>
    <row r="556" ht="15" customHeight="1">
      <c r="A556" s="26" t="n"/>
      <c r="B556" s="26" t="n"/>
      <c r="C556" s="26" t="n"/>
      <c r="D556" s="26" t="n"/>
      <c r="E556" s="26" t="n"/>
      <c r="F556" s="26" t="n"/>
      <c r="G556" s="26" t="n"/>
      <c r="H556" s="26" t="n"/>
      <c r="I556" s="26" t="n"/>
    </row>
    <row r="557" ht="15" customHeight="1">
      <c r="A557" s="26" t="n"/>
      <c r="B557" s="26" t="n"/>
      <c r="C557" s="26" t="n"/>
      <c r="D557" s="26" t="n"/>
      <c r="E557" s="26" t="n"/>
      <c r="F557" s="26" t="n"/>
      <c r="G557" s="26" t="n"/>
      <c r="H557" s="26" t="n"/>
      <c r="I557" s="26" t="n"/>
    </row>
    <row r="558" ht="15" customHeight="1">
      <c r="A558" s="26" t="n"/>
      <c r="B558" s="26" t="n"/>
      <c r="C558" s="26" t="n"/>
      <c r="D558" s="26" t="n"/>
      <c r="E558" s="26" t="n"/>
      <c r="F558" s="26" t="n"/>
      <c r="G558" s="26" t="n"/>
      <c r="H558" s="26" t="n"/>
      <c r="I558" s="26" t="n"/>
    </row>
    <row r="559" ht="15" customHeight="1">
      <c r="A559" s="26" t="n"/>
      <c r="B559" s="26" t="n"/>
      <c r="C559" s="26" t="n"/>
      <c r="D559" s="26" t="n"/>
      <c r="E559" s="26" t="n"/>
      <c r="F559" s="26" t="n"/>
      <c r="G559" s="26" t="n"/>
      <c r="H559" s="26" t="n"/>
      <c r="I559" s="26" t="n"/>
    </row>
    <row r="560" ht="15" customHeight="1">
      <c r="A560" s="26" t="n"/>
      <c r="B560" s="26" t="n"/>
      <c r="C560" s="26" t="n"/>
      <c r="D560" s="26" t="n"/>
      <c r="E560" s="26" t="n"/>
      <c r="F560" s="26" t="n"/>
      <c r="G560" s="26" t="n"/>
      <c r="H560" s="26" t="n"/>
      <c r="I560" s="26" t="n"/>
    </row>
    <row r="561" ht="15" customHeight="1">
      <c r="A561" s="26" t="n"/>
      <c r="B561" s="26" t="n"/>
      <c r="C561" s="26" t="n"/>
      <c r="D561" s="26" t="n"/>
      <c r="E561" s="26" t="n"/>
      <c r="F561" s="26" t="n"/>
      <c r="G561" s="26" t="n"/>
      <c r="H561" s="26" t="n"/>
      <c r="I561" s="26" t="n"/>
    </row>
    <row r="562" ht="15" customHeight="1">
      <c r="A562" s="26" t="n"/>
      <c r="B562" s="26" t="n"/>
      <c r="C562" s="26" t="n"/>
      <c r="D562" s="26" t="n"/>
      <c r="E562" s="26" t="n"/>
      <c r="F562" s="26" t="n"/>
      <c r="G562" s="26" t="n"/>
      <c r="H562" s="26" t="n"/>
      <c r="I562" s="26" t="n"/>
    </row>
    <row r="563" ht="15" customHeight="1">
      <c r="A563" s="26" t="n"/>
      <c r="B563" s="26" t="n"/>
      <c r="C563" s="26" t="n"/>
      <c r="D563" s="26" t="n"/>
      <c r="E563" s="26" t="n"/>
      <c r="F563" s="26" t="n"/>
      <c r="G563" s="26" t="n"/>
      <c r="H563" s="26" t="n"/>
      <c r="I563" s="26" t="n"/>
    </row>
    <row r="564" ht="15" customHeight="1">
      <c r="A564" s="26" t="n"/>
      <c r="B564" s="26" t="n"/>
      <c r="C564" s="26" t="n"/>
      <c r="D564" s="26" t="n"/>
      <c r="E564" s="26" t="n"/>
      <c r="F564" s="26" t="n"/>
      <c r="G564" s="26" t="n"/>
      <c r="H564" s="26" t="n"/>
      <c r="I564" s="26" t="n"/>
    </row>
    <row r="565" ht="15" customHeight="1">
      <c r="A565" s="26" t="n"/>
      <c r="B565" s="26" t="n"/>
      <c r="C565" s="26" t="n"/>
      <c r="D565" s="26" t="n"/>
      <c r="E565" s="26" t="n"/>
      <c r="F565" s="26" t="n"/>
      <c r="G565" s="26" t="n"/>
      <c r="H565" s="26" t="n"/>
      <c r="I565" s="26" t="n"/>
    </row>
    <row r="566" ht="15" customHeight="1">
      <c r="A566" s="26" t="n"/>
      <c r="B566" s="26" t="n"/>
      <c r="C566" s="26" t="n"/>
      <c r="D566" s="26" t="n"/>
      <c r="E566" s="26" t="n"/>
      <c r="F566" s="26" t="n"/>
      <c r="G566" s="26" t="n"/>
      <c r="H566" s="26" t="n"/>
      <c r="I566" s="26" t="n"/>
    </row>
    <row r="567" ht="15" customHeight="1">
      <c r="A567" s="26" t="n"/>
      <c r="B567" s="26" t="n"/>
      <c r="C567" s="26" t="n"/>
      <c r="D567" s="26" t="n"/>
      <c r="E567" s="26" t="n"/>
      <c r="F567" s="26" t="n"/>
      <c r="G567" s="26" t="n"/>
      <c r="H567" s="26" t="n"/>
      <c r="I567" s="26" t="n"/>
    </row>
    <row r="568" ht="15" customHeight="1">
      <c r="A568" s="26" t="n"/>
      <c r="B568" s="26" t="n"/>
      <c r="C568" s="26" t="n"/>
      <c r="D568" s="26" t="n"/>
      <c r="E568" s="26" t="n"/>
      <c r="F568" s="26" t="n"/>
      <c r="G568" s="26" t="n"/>
      <c r="H568" s="26" t="n"/>
      <c r="I568" s="26" t="n"/>
    </row>
    <row r="569" ht="15" customHeight="1">
      <c r="A569" s="26" t="n"/>
      <c r="B569" s="26" t="n"/>
      <c r="C569" s="26" t="n"/>
      <c r="D569" s="26" t="n"/>
      <c r="E569" s="26" t="n"/>
      <c r="F569" s="26" t="n"/>
      <c r="G569" s="26" t="n"/>
      <c r="H569" s="26" t="n"/>
      <c r="I569" s="26" t="n"/>
    </row>
    <row r="570" ht="15" customHeight="1">
      <c r="A570" s="26" t="n"/>
      <c r="B570" s="26" t="n"/>
      <c r="C570" s="26" t="n"/>
      <c r="D570" s="26" t="n"/>
      <c r="E570" s="26" t="n"/>
      <c r="F570" s="26" t="n"/>
      <c r="G570" s="26" t="n"/>
      <c r="H570" s="26" t="n"/>
      <c r="I570" s="26" t="n"/>
    </row>
    <row r="571" ht="15" customHeight="1">
      <c r="A571" s="26" t="n"/>
      <c r="B571" s="26" t="n"/>
      <c r="C571" s="26" t="n"/>
      <c r="D571" s="26" t="n"/>
      <c r="E571" s="26" t="n"/>
      <c r="F571" s="26" t="n"/>
      <c r="G571" s="26" t="n"/>
      <c r="H571" s="26" t="n"/>
      <c r="I571" s="26" t="n"/>
    </row>
    <row r="572" ht="15" customHeight="1">
      <c r="A572" s="26" t="n"/>
      <c r="B572" s="26" t="n"/>
      <c r="C572" s="26" t="n"/>
      <c r="D572" s="26" t="n"/>
      <c r="E572" s="26" t="n"/>
      <c r="F572" s="26" t="n"/>
      <c r="G572" s="26" t="n"/>
      <c r="H572" s="26" t="n"/>
      <c r="I572" s="26" t="n"/>
    </row>
    <row r="573" ht="15" customHeight="1">
      <c r="A573" s="26" t="n"/>
      <c r="B573" s="26" t="n"/>
      <c r="C573" s="26" t="n"/>
      <c r="D573" s="26" t="n"/>
      <c r="E573" s="26" t="n"/>
      <c r="F573" s="26" t="n"/>
      <c r="G573" s="26" t="n"/>
      <c r="H573" s="26" t="n"/>
      <c r="I573" s="26" t="n"/>
    </row>
    <row r="574" ht="15" customHeight="1">
      <c r="A574" s="26" t="n"/>
      <c r="B574" s="26" t="n"/>
      <c r="C574" s="26" t="n"/>
      <c r="D574" s="26" t="n"/>
      <c r="E574" s="26" t="n"/>
      <c r="F574" s="26" t="n"/>
      <c r="G574" s="26" t="n"/>
      <c r="H574" s="26" t="n"/>
      <c r="I574" s="26" t="n"/>
    </row>
    <row r="575" ht="15" customHeight="1">
      <c r="A575" s="26" t="n"/>
      <c r="B575" s="26" t="n"/>
      <c r="C575" s="26" t="n"/>
      <c r="D575" s="26" t="n"/>
      <c r="E575" s="26" t="n"/>
      <c r="F575" s="26" t="n"/>
      <c r="G575" s="26" t="n"/>
      <c r="H575" s="26" t="n"/>
      <c r="I575" s="26" t="n"/>
    </row>
    <row r="576" ht="15" customHeight="1">
      <c r="A576" s="26" t="n"/>
      <c r="B576" s="26" t="n"/>
      <c r="C576" s="26" t="n"/>
      <c r="D576" s="26" t="n"/>
      <c r="E576" s="26" t="n"/>
      <c r="F576" s="26" t="n"/>
      <c r="G576" s="26" t="n"/>
      <c r="H576" s="26" t="n"/>
      <c r="I576" s="26" t="n"/>
    </row>
    <row r="577" ht="15" customHeight="1">
      <c r="A577" s="26" t="n"/>
      <c r="B577" s="26" t="n"/>
      <c r="C577" s="26" t="n"/>
      <c r="D577" s="26" t="n"/>
      <c r="E577" s="26" t="n"/>
      <c r="F577" s="26" t="n"/>
      <c r="G577" s="26" t="n"/>
      <c r="H577" s="26" t="n"/>
      <c r="I577" s="26" t="n"/>
    </row>
    <row r="578" ht="15" customHeight="1">
      <c r="A578" s="26" t="n"/>
      <c r="B578" s="26" t="n"/>
      <c r="C578" s="26" t="n"/>
      <c r="D578" s="26" t="n"/>
      <c r="E578" s="26" t="n"/>
      <c r="F578" s="26" t="n"/>
      <c r="G578" s="26" t="n"/>
      <c r="H578" s="26" t="n"/>
      <c r="I578" s="26" t="n"/>
    </row>
    <row r="579" ht="15" customHeight="1">
      <c r="A579" s="26" t="n"/>
      <c r="B579" s="26" t="n"/>
      <c r="C579" s="26" t="n"/>
      <c r="D579" s="26" t="n"/>
      <c r="E579" s="26" t="n"/>
      <c r="F579" s="26" t="n"/>
      <c r="G579" s="26" t="n"/>
      <c r="H579" s="26" t="n"/>
      <c r="I579" s="26" t="n"/>
    </row>
    <row r="580" ht="15" customHeight="1">
      <c r="A580" s="26" t="n"/>
      <c r="B580" s="26" t="n"/>
      <c r="C580" s="26" t="n"/>
      <c r="D580" s="26" t="n"/>
      <c r="E580" s="26" t="n"/>
      <c r="F580" s="26" t="n"/>
      <c r="G580" s="26" t="n"/>
      <c r="H580" s="26" t="n"/>
      <c r="I580" s="26" t="n"/>
    </row>
    <row r="581" ht="15" customHeight="1">
      <c r="A581" s="26" t="n"/>
      <c r="B581" s="26" t="n"/>
      <c r="C581" s="26" t="n"/>
      <c r="D581" s="26" t="n"/>
      <c r="E581" s="26" t="n"/>
      <c r="F581" s="26" t="n"/>
      <c r="G581" s="26" t="n"/>
      <c r="H581" s="26" t="n"/>
      <c r="I581" s="26" t="n"/>
    </row>
    <row r="582" ht="15" customHeight="1">
      <c r="A582" s="26" t="n"/>
      <c r="B582" s="26" t="n"/>
      <c r="C582" s="26" t="n"/>
      <c r="D582" s="26" t="n"/>
      <c r="E582" s="26" t="n"/>
      <c r="F582" s="26" t="n"/>
      <c r="G582" s="26" t="n"/>
      <c r="H582" s="26" t="n"/>
      <c r="I582" s="26" t="n"/>
    </row>
    <row r="583" ht="15" customHeight="1">
      <c r="A583" s="26" t="n"/>
      <c r="B583" s="26" t="n"/>
      <c r="C583" s="26" t="n"/>
      <c r="D583" s="26" t="n"/>
      <c r="E583" s="26" t="n"/>
      <c r="F583" s="26" t="n"/>
      <c r="G583" s="26" t="n"/>
      <c r="H583" s="26" t="n"/>
      <c r="I583" s="26" t="n"/>
    </row>
    <row r="584" ht="15" customHeight="1">
      <c r="A584" s="26" t="n"/>
      <c r="B584" s="26" t="n"/>
      <c r="C584" s="26" t="n"/>
      <c r="D584" s="26" t="n"/>
      <c r="E584" s="26" t="n"/>
      <c r="F584" s="26" t="n"/>
      <c r="G584" s="26" t="n"/>
      <c r="H584" s="26" t="n"/>
      <c r="I584" s="26" t="n"/>
    </row>
    <row r="585" ht="15" customHeight="1">
      <c r="A585" s="26" t="n"/>
      <c r="B585" s="26" t="n"/>
      <c r="C585" s="26" t="n"/>
      <c r="D585" s="26" t="n"/>
      <c r="E585" s="26" t="n"/>
      <c r="F585" s="26" t="n"/>
      <c r="G585" s="26" t="n"/>
      <c r="H585" s="26" t="n"/>
      <c r="I585" s="26" t="n"/>
    </row>
    <row r="586" ht="15" customHeight="1">
      <c r="A586" s="26" t="n"/>
      <c r="B586" s="26" t="n"/>
      <c r="C586" s="26" t="n"/>
      <c r="D586" s="26" t="n"/>
      <c r="E586" s="26" t="n"/>
      <c r="F586" s="26" t="n"/>
      <c r="G586" s="26" t="n"/>
      <c r="H586" s="26" t="n"/>
      <c r="I586" s="26" t="n"/>
    </row>
    <row r="587" ht="15" customHeight="1">
      <c r="A587" s="26" t="n"/>
      <c r="B587" s="26" t="n"/>
      <c r="C587" s="26" t="n"/>
      <c r="D587" s="26" t="n"/>
      <c r="E587" s="26" t="n"/>
      <c r="F587" s="26" t="n"/>
      <c r="G587" s="26" t="n"/>
      <c r="H587" s="26" t="n"/>
      <c r="I587" s="26" t="n"/>
    </row>
    <row r="588" ht="15" customHeight="1">
      <c r="A588" s="26" t="n"/>
      <c r="B588" s="26" t="n"/>
      <c r="C588" s="26" t="n"/>
      <c r="D588" s="26" t="n"/>
      <c r="E588" s="26" t="n"/>
      <c r="F588" s="26" t="n"/>
      <c r="G588" s="26" t="n"/>
      <c r="H588" s="26" t="n"/>
      <c r="I588" s="26" t="n"/>
    </row>
    <row r="589" ht="15" customHeight="1">
      <c r="A589" s="26" t="n"/>
      <c r="B589" s="26" t="n"/>
      <c r="C589" s="26" t="n"/>
      <c r="D589" s="26" t="n"/>
      <c r="E589" s="26" t="n"/>
      <c r="F589" s="26" t="n"/>
      <c r="G589" s="26" t="n"/>
      <c r="H589" s="26" t="n"/>
      <c r="I589" s="26" t="n"/>
    </row>
    <row r="590" ht="15" customHeight="1">
      <c r="A590" s="26" t="n"/>
      <c r="B590" s="26" t="n"/>
      <c r="C590" s="26" t="n"/>
      <c r="D590" s="26" t="n"/>
      <c r="E590" s="26" t="n"/>
      <c r="F590" s="26" t="n"/>
      <c r="G590" s="26" t="n"/>
      <c r="H590" s="26" t="n"/>
      <c r="I590" s="26" t="n"/>
    </row>
    <row r="591" ht="15" customHeight="1">
      <c r="A591" s="26" t="n"/>
      <c r="B591" s="26" t="n"/>
      <c r="C591" s="26" t="n"/>
      <c r="D591" s="26" t="n"/>
      <c r="E591" s="26" t="n"/>
      <c r="F591" s="26" t="n"/>
      <c r="G591" s="26" t="n"/>
      <c r="H591" s="26" t="n"/>
      <c r="I591" s="26" t="n"/>
    </row>
    <row r="592" ht="15" customHeight="1">
      <c r="A592" s="26" t="n"/>
      <c r="B592" s="26" t="n"/>
      <c r="C592" s="26" t="n"/>
      <c r="D592" s="26" t="n"/>
      <c r="E592" s="26" t="n"/>
      <c r="F592" s="26" t="n"/>
      <c r="G592" s="26" t="n"/>
      <c r="H592" s="26" t="n"/>
      <c r="I592" s="26" t="n"/>
    </row>
    <row r="593" ht="15" customHeight="1">
      <c r="A593" s="26" t="n"/>
      <c r="B593" s="26" t="n"/>
      <c r="C593" s="26" t="n"/>
      <c r="D593" s="26" t="n"/>
      <c r="E593" s="26" t="n"/>
      <c r="F593" s="26" t="n"/>
      <c r="G593" s="26" t="n"/>
      <c r="H593" s="26" t="n"/>
      <c r="I593" s="26" t="n"/>
    </row>
    <row r="594" ht="15" customHeight="1">
      <c r="A594" s="26" t="n"/>
      <c r="B594" s="26" t="n"/>
      <c r="C594" s="26" t="n"/>
      <c r="D594" s="26" t="n"/>
      <c r="E594" s="26" t="n"/>
      <c r="F594" s="26" t="n"/>
      <c r="G594" s="26" t="n"/>
      <c r="H594" s="26" t="n"/>
      <c r="I594" s="26" t="n"/>
    </row>
    <row r="595" ht="15" customHeight="1">
      <c r="A595" s="26" t="n"/>
      <c r="B595" s="26" t="n"/>
      <c r="C595" s="26" t="n"/>
      <c r="D595" s="26" t="n"/>
      <c r="E595" s="26" t="n"/>
      <c r="F595" s="26" t="n"/>
      <c r="G595" s="26" t="n"/>
      <c r="H595" s="26" t="n"/>
      <c r="I595" s="26" t="n"/>
    </row>
    <row r="596" ht="15" customHeight="1">
      <c r="A596" s="26" t="n"/>
      <c r="B596" s="26" t="n"/>
      <c r="C596" s="26" t="n"/>
      <c r="D596" s="26" t="n"/>
      <c r="E596" s="26" t="n"/>
      <c r="F596" s="26" t="n"/>
      <c r="G596" s="26" t="n"/>
      <c r="H596" s="26" t="n"/>
      <c r="I596" s="26" t="n"/>
    </row>
    <row r="597" ht="15" customHeight="1">
      <c r="A597" s="26" t="n"/>
      <c r="B597" s="26" t="n"/>
      <c r="C597" s="26" t="n"/>
      <c r="D597" s="26" t="n"/>
      <c r="E597" s="26" t="n"/>
      <c r="F597" s="26" t="n"/>
      <c r="G597" s="26" t="n"/>
      <c r="H597" s="26" t="n"/>
      <c r="I597" s="26" t="n"/>
    </row>
    <row r="598" ht="15" customHeight="1">
      <c r="A598" s="26" t="n"/>
      <c r="B598" s="26" t="n"/>
      <c r="C598" s="26" t="n"/>
      <c r="D598" s="26" t="n"/>
      <c r="E598" s="26" t="n"/>
      <c r="F598" s="26" t="n"/>
      <c r="G598" s="26" t="n"/>
      <c r="H598" s="26" t="n"/>
      <c r="I598" s="26" t="n"/>
    </row>
    <row r="599" ht="15" customHeight="1">
      <c r="A599" s="26" t="n"/>
      <c r="B599" s="26" t="n"/>
      <c r="C599" s="26" t="n"/>
      <c r="D599" s="26" t="n"/>
      <c r="E599" s="26" t="n"/>
      <c r="F599" s="26" t="n"/>
      <c r="G599" s="26" t="n"/>
      <c r="H599" s="26" t="n"/>
      <c r="I599" s="26" t="n"/>
    </row>
    <row r="600" ht="15" customHeight="1">
      <c r="A600" s="26" t="n"/>
      <c r="B600" s="26" t="n"/>
      <c r="C600" s="26" t="n"/>
      <c r="D600" s="26" t="n"/>
      <c r="E600" s="26" t="n"/>
      <c r="F600" s="26" t="n"/>
      <c r="G600" s="26" t="n"/>
      <c r="H600" s="26" t="n"/>
      <c r="I600" s="26" t="n"/>
    </row>
    <row r="601" ht="15" customHeight="1">
      <c r="A601" s="26" t="n"/>
      <c r="B601" s="26" t="n"/>
      <c r="C601" s="26" t="n"/>
      <c r="D601" s="26" t="n"/>
      <c r="E601" s="26" t="n"/>
      <c r="F601" s="26" t="n"/>
      <c r="G601" s="26" t="n"/>
      <c r="H601" s="26" t="n"/>
      <c r="I601" s="26" t="n"/>
    </row>
    <row r="602" ht="15" customHeight="1">
      <c r="A602" s="26" t="n"/>
      <c r="B602" s="26" t="n"/>
      <c r="C602" s="26" t="n"/>
      <c r="D602" s="26" t="n"/>
      <c r="E602" s="26" t="n"/>
      <c r="F602" s="26" t="n"/>
      <c r="G602" s="26" t="n"/>
      <c r="H602" s="26" t="n"/>
      <c r="I602" s="26" t="n"/>
    </row>
    <row r="603" ht="15" customHeight="1">
      <c r="A603" s="26" t="n"/>
      <c r="B603" s="26" t="n"/>
      <c r="C603" s="26" t="n"/>
      <c r="D603" s="26" t="n"/>
      <c r="E603" s="26" t="n"/>
      <c r="F603" s="26" t="n"/>
      <c r="G603" s="26" t="n"/>
      <c r="H603" s="26" t="n"/>
      <c r="I603" s="26" t="n"/>
    </row>
    <row r="604" ht="15" customHeight="1">
      <c r="A604" s="26" t="n"/>
      <c r="B604" s="26" t="n"/>
      <c r="C604" s="26" t="n"/>
      <c r="D604" s="26" t="n"/>
      <c r="E604" s="26" t="n"/>
      <c r="F604" s="26" t="n"/>
      <c r="G604" s="26" t="n"/>
      <c r="H604" s="26" t="n"/>
      <c r="I604" s="26" t="n"/>
    </row>
    <row r="605" ht="15" customHeight="1">
      <c r="A605" s="26" t="n"/>
      <c r="B605" s="26" t="n"/>
      <c r="C605" s="26" t="n"/>
      <c r="D605" s="26" t="n"/>
      <c r="E605" s="26" t="n"/>
      <c r="F605" s="26" t="n"/>
      <c r="G605" s="26" t="n"/>
      <c r="H605" s="26" t="n"/>
      <c r="I605" s="26" t="n"/>
    </row>
    <row r="606" ht="15" customHeight="1">
      <c r="A606" s="26" t="n"/>
      <c r="B606" s="26" t="n"/>
      <c r="C606" s="26" t="n"/>
      <c r="D606" s="26" t="n"/>
      <c r="E606" s="26" t="n"/>
      <c r="F606" s="26" t="n"/>
      <c r="G606" s="26" t="n"/>
      <c r="H606" s="26" t="n"/>
      <c r="I606" s="26" t="n"/>
    </row>
    <row r="607" ht="15" customHeight="1">
      <c r="A607" s="26" t="n"/>
      <c r="B607" s="26" t="n"/>
      <c r="C607" s="26" t="n"/>
      <c r="D607" s="26" t="n"/>
      <c r="E607" s="26" t="n"/>
      <c r="F607" s="26" t="n"/>
      <c r="G607" s="26" t="n"/>
      <c r="H607" s="26" t="n"/>
      <c r="I607" s="26" t="n"/>
    </row>
    <row r="608" ht="15" customHeight="1">
      <c r="A608" s="26" t="n"/>
      <c r="B608" s="26" t="n"/>
      <c r="C608" s="26" t="n"/>
      <c r="D608" s="26" t="n"/>
      <c r="E608" s="26" t="n"/>
      <c r="F608" s="26" t="n"/>
      <c r="G608" s="26" t="n"/>
      <c r="H608" s="26" t="n"/>
      <c r="I608" s="26" t="n"/>
    </row>
    <row r="609" ht="15" customHeight="1">
      <c r="A609" s="26" t="n"/>
      <c r="B609" s="26" t="n"/>
      <c r="C609" s="26" t="n"/>
      <c r="D609" s="26" t="n"/>
      <c r="E609" s="26" t="n"/>
      <c r="F609" s="26" t="n"/>
      <c r="G609" s="26" t="n"/>
      <c r="H609" s="26" t="n"/>
      <c r="I609" s="26" t="n"/>
    </row>
    <row r="610" ht="15" customHeight="1">
      <c r="A610" s="26" t="n"/>
      <c r="B610" s="26" t="n"/>
      <c r="C610" s="26" t="n"/>
      <c r="D610" s="26" t="n"/>
      <c r="E610" s="26" t="n"/>
      <c r="F610" s="26" t="n"/>
      <c r="G610" s="26" t="n"/>
      <c r="H610" s="26" t="n"/>
      <c r="I610" s="26" t="n"/>
    </row>
    <row r="611" ht="15" customHeight="1">
      <c r="A611" s="26" t="n"/>
      <c r="B611" s="26" t="n"/>
      <c r="C611" s="26" t="n"/>
      <c r="D611" s="26" t="n"/>
      <c r="E611" s="26" t="n"/>
      <c r="F611" s="26" t="n"/>
      <c r="G611" s="26" t="n"/>
      <c r="H611" s="26" t="n"/>
      <c r="I611" s="26" t="n"/>
    </row>
    <row r="612" ht="15" customHeight="1">
      <c r="A612" s="26" t="n"/>
      <c r="B612" s="26" t="n"/>
      <c r="C612" s="26" t="n"/>
      <c r="D612" s="26" t="n"/>
      <c r="E612" s="26" t="n"/>
      <c r="F612" s="26" t="n"/>
      <c r="G612" s="26" t="n"/>
      <c r="H612" s="26" t="n"/>
      <c r="I612" s="26" t="n"/>
    </row>
    <row r="613" ht="15" customHeight="1">
      <c r="A613" s="26" t="n"/>
      <c r="B613" s="26" t="n"/>
      <c r="C613" s="26" t="n"/>
      <c r="D613" s="26" t="n"/>
      <c r="E613" s="26" t="n"/>
      <c r="F613" s="26" t="n"/>
      <c r="G613" s="26" t="n"/>
      <c r="H613" s="26" t="n"/>
      <c r="I613" s="26" t="n"/>
    </row>
    <row r="614" ht="15" customHeight="1">
      <c r="A614" s="26" t="n"/>
      <c r="B614" s="26" t="n"/>
      <c r="C614" s="26" t="n"/>
      <c r="D614" s="26" t="n"/>
      <c r="E614" s="26" t="n"/>
      <c r="F614" s="26" t="n"/>
      <c r="G614" s="26" t="n"/>
      <c r="H614" s="26" t="n"/>
      <c r="I614" s="26" t="n"/>
    </row>
    <row r="615" ht="15" customHeight="1">
      <c r="A615" s="26" t="n"/>
      <c r="B615" s="26" t="n"/>
      <c r="C615" s="26" t="n"/>
      <c r="D615" s="26" t="n"/>
      <c r="E615" s="26" t="n"/>
      <c r="F615" s="26" t="n"/>
      <c r="G615" s="26" t="n"/>
      <c r="H615" s="26" t="n"/>
      <c r="I615" s="26" t="n"/>
    </row>
    <row r="616" ht="15" customHeight="1">
      <c r="A616" s="26" t="n"/>
      <c r="B616" s="26" t="n"/>
      <c r="C616" s="26" t="n"/>
      <c r="D616" s="26" t="n"/>
      <c r="E616" s="26" t="n"/>
      <c r="F616" s="26" t="n"/>
      <c r="G616" s="26" t="n"/>
      <c r="H616" s="26" t="n"/>
      <c r="I616" s="26" t="n"/>
    </row>
    <row r="617" ht="15" customHeight="1">
      <c r="A617" s="26" t="n"/>
      <c r="B617" s="26" t="n"/>
      <c r="C617" s="26" t="n"/>
      <c r="D617" s="26" t="n"/>
      <c r="E617" s="26" t="n"/>
      <c r="F617" s="26" t="n"/>
      <c r="G617" s="26" t="n"/>
      <c r="H617" s="26" t="n"/>
      <c r="I617" s="26" t="n"/>
    </row>
    <row r="618" ht="15" customHeight="1">
      <c r="A618" s="26" t="n"/>
      <c r="B618" s="26" t="n"/>
      <c r="C618" s="26" t="n"/>
      <c r="D618" s="26" t="n"/>
      <c r="E618" s="26" t="n"/>
      <c r="F618" s="26" t="n"/>
      <c r="G618" s="26" t="n"/>
      <c r="H618" s="26" t="n"/>
      <c r="I618" s="26" t="n"/>
    </row>
    <row r="619" ht="15" customHeight="1">
      <c r="A619" s="26" t="n"/>
      <c r="B619" s="26" t="n"/>
      <c r="C619" s="26" t="n"/>
      <c r="D619" s="26" t="n"/>
      <c r="E619" s="26" t="n"/>
      <c r="F619" s="26" t="n"/>
      <c r="G619" s="26" t="n"/>
      <c r="H619" s="26" t="n"/>
      <c r="I619" s="26" t="n"/>
    </row>
    <row r="620" ht="15" customHeight="1">
      <c r="A620" s="26" t="n"/>
      <c r="B620" s="26" t="n"/>
      <c r="C620" s="26" t="n"/>
      <c r="D620" s="26" t="n"/>
      <c r="E620" s="26" t="n"/>
      <c r="F620" s="26" t="n"/>
      <c r="G620" s="26" t="n"/>
      <c r="H620" s="26" t="n"/>
      <c r="I620" s="26" t="n"/>
    </row>
    <row r="621" ht="15" customHeight="1">
      <c r="A621" s="26" t="n"/>
      <c r="B621" s="26" t="n"/>
      <c r="C621" s="26" t="n"/>
      <c r="D621" s="26" t="n"/>
      <c r="E621" s="26" t="n"/>
      <c r="F621" s="26" t="n"/>
      <c r="G621" s="26" t="n"/>
      <c r="H621" s="26" t="n"/>
      <c r="I621" s="26" t="n"/>
    </row>
    <row r="622" ht="15" customHeight="1">
      <c r="A622" s="26" t="n"/>
      <c r="B622" s="26" t="n"/>
      <c r="C622" s="26" t="n"/>
      <c r="D622" s="26" t="n"/>
      <c r="E622" s="26" t="n"/>
      <c r="F622" s="26" t="n"/>
      <c r="G622" s="26" t="n"/>
      <c r="H622" s="26" t="n"/>
      <c r="I622" s="26" t="n"/>
    </row>
    <row r="623" ht="15" customHeight="1">
      <c r="A623" s="26" t="n"/>
      <c r="B623" s="26" t="n"/>
      <c r="C623" s="26" t="n"/>
      <c r="D623" s="26" t="n"/>
      <c r="E623" s="26" t="n"/>
      <c r="F623" s="26" t="n"/>
      <c r="G623" s="26" t="n"/>
      <c r="H623" s="26" t="n"/>
      <c r="I623" s="26" t="n"/>
    </row>
    <row r="624" ht="15" customHeight="1">
      <c r="A624" s="26" t="n"/>
      <c r="B624" s="26" t="n"/>
      <c r="C624" s="26" t="n"/>
      <c r="D624" s="26" t="n"/>
      <c r="E624" s="26" t="n"/>
      <c r="F624" s="26" t="n"/>
      <c r="G624" s="26" t="n"/>
      <c r="H624" s="26" t="n"/>
      <c r="I624" s="26" t="n"/>
    </row>
    <row r="625" ht="15" customHeight="1">
      <c r="A625" s="26" t="n"/>
      <c r="B625" s="26" t="n"/>
      <c r="C625" s="26" t="n"/>
      <c r="D625" s="26" t="n"/>
      <c r="E625" s="26" t="n"/>
      <c r="F625" s="26" t="n"/>
      <c r="G625" s="26" t="n"/>
      <c r="H625" s="26" t="n"/>
      <c r="I625" s="26" t="n"/>
    </row>
    <row r="626" ht="15" customHeight="1">
      <c r="A626" s="26" t="n"/>
      <c r="B626" s="26" t="n"/>
      <c r="C626" s="26" t="n"/>
      <c r="D626" s="26" t="n"/>
      <c r="E626" s="26" t="n"/>
      <c r="F626" s="26" t="n"/>
      <c r="G626" s="26" t="n"/>
      <c r="H626" s="26" t="n"/>
      <c r="I626" s="26" t="n"/>
    </row>
    <row r="627" ht="15" customHeight="1">
      <c r="A627" s="26" t="n"/>
      <c r="B627" s="26" t="n"/>
      <c r="C627" s="26" t="n"/>
      <c r="D627" s="26" t="n"/>
      <c r="E627" s="26" t="n"/>
      <c r="F627" s="26" t="n"/>
      <c r="G627" s="26" t="n"/>
      <c r="H627" s="26" t="n"/>
      <c r="I627" s="26" t="n"/>
    </row>
    <row r="628" ht="15" customHeight="1">
      <c r="A628" s="26" t="n"/>
      <c r="B628" s="26" t="n"/>
      <c r="C628" s="26" t="n"/>
      <c r="D628" s="26" t="n"/>
      <c r="E628" s="26" t="n"/>
      <c r="F628" s="26" t="n"/>
      <c r="G628" s="26" t="n"/>
      <c r="H628" s="26" t="n"/>
      <c r="I628" s="26" t="n"/>
    </row>
    <row r="629" ht="15" customHeight="1">
      <c r="A629" s="26" t="n"/>
      <c r="B629" s="26" t="n"/>
      <c r="C629" s="26" t="n"/>
      <c r="D629" s="26" t="n"/>
      <c r="E629" s="26" t="n"/>
      <c r="F629" s="26" t="n"/>
      <c r="G629" s="26" t="n"/>
      <c r="H629" s="26" t="n"/>
      <c r="I629" s="26" t="n"/>
    </row>
    <row r="630" ht="15" customHeight="1">
      <c r="A630" s="26" t="n"/>
      <c r="B630" s="26" t="n"/>
      <c r="C630" s="26" t="n"/>
      <c r="D630" s="26" t="n"/>
      <c r="E630" s="26" t="n"/>
      <c r="F630" s="26" t="n"/>
      <c r="G630" s="26" t="n"/>
      <c r="H630" s="26" t="n"/>
      <c r="I630" s="26" t="n"/>
    </row>
    <row r="631" ht="15" customHeight="1">
      <c r="A631" s="26" t="n"/>
      <c r="B631" s="26" t="n"/>
      <c r="C631" s="26" t="n"/>
      <c r="D631" s="26" t="n"/>
      <c r="E631" s="26" t="n"/>
      <c r="F631" s="26" t="n"/>
      <c r="G631" s="26" t="n"/>
      <c r="H631" s="26" t="n"/>
      <c r="I631" s="26" t="n"/>
    </row>
    <row r="632" ht="15" customHeight="1">
      <c r="A632" s="26" t="n"/>
      <c r="B632" s="26" t="n"/>
      <c r="C632" s="26" t="n"/>
      <c r="D632" s="26" t="n"/>
      <c r="E632" s="26" t="n"/>
      <c r="F632" s="26" t="n"/>
      <c r="G632" s="26" t="n"/>
      <c r="H632" s="26" t="n"/>
      <c r="I632" s="26" t="n"/>
    </row>
    <row r="633" ht="15" customHeight="1">
      <c r="A633" s="26" t="n"/>
      <c r="B633" s="26" t="n"/>
      <c r="C633" s="26" t="n"/>
      <c r="D633" s="26" t="n"/>
      <c r="E633" s="26" t="n"/>
      <c r="F633" s="26" t="n"/>
      <c r="G633" s="26" t="n"/>
      <c r="H633" s="26" t="n"/>
      <c r="I633" s="26" t="n"/>
    </row>
    <row r="634" ht="15" customHeight="1">
      <c r="A634" s="26" t="n"/>
      <c r="B634" s="26" t="n"/>
      <c r="C634" s="26" t="n"/>
      <c r="D634" s="26" t="n"/>
      <c r="E634" s="26" t="n"/>
      <c r="F634" s="26" t="n"/>
      <c r="G634" s="26" t="n"/>
      <c r="H634" s="26" t="n"/>
      <c r="I634" s="26" t="n"/>
    </row>
    <row r="635" ht="15" customHeight="1">
      <c r="A635" s="26" t="n"/>
      <c r="B635" s="26" t="n"/>
      <c r="C635" s="26" t="n"/>
      <c r="D635" s="26" t="n"/>
      <c r="E635" s="26" t="n"/>
      <c r="F635" s="26" t="n"/>
      <c r="G635" s="26" t="n"/>
      <c r="H635" s="26" t="n"/>
      <c r="I635" s="26" t="n"/>
    </row>
    <row r="636" ht="15" customHeight="1">
      <c r="A636" s="26" t="n"/>
      <c r="B636" s="26" t="n"/>
      <c r="C636" s="26" t="n"/>
      <c r="D636" s="26" t="n"/>
      <c r="E636" s="26" t="n"/>
      <c r="F636" s="26" t="n"/>
      <c r="G636" s="26" t="n"/>
      <c r="H636" s="26" t="n"/>
      <c r="I636" s="26" t="n"/>
    </row>
    <row r="637" ht="15" customHeight="1">
      <c r="A637" s="26" t="n"/>
      <c r="B637" s="26" t="n"/>
      <c r="C637" s="26" t="n"/>
      <c r="D637" s="26" t="n"/>
      <c r="E637" s="26" t="n"/>
      <c r="F637" s="26" t="n"/>
      <c r="G637" s="26" t="n"/>
      <c r="H637" s="26" t="n"/>
      <c r="I637" s="26" t="n"/>
    </row>
    <row r="638" ht="15" customHeight="1">
      <c r="A638" s="26" t="n"/>
      <c r="B638" s="26" t="n"/>
      <c r="C638" s="26" t="n"/>
      <c r="D638" s="26" t="n"/>
      <c r="E638" s="26" t="n"/>
      <c r="F638" s="26" t="n"/>
      <c r="G638" s="26" t="n"/>
      <c r="H638" s="26" t="n"/>
      <c r="I638" s="26" t="n"/>
    </row>
    <row r="639" ht="15" customHeight="1">
      <c r="A639" s="26" t="n"/>
      <c r="B639" s="26" t="n"/>
      <c r="C639" s="26" t="n"/>
      <c r="D639" s="26" t="n"/>
      <c r="E639" s="26" t="n"/>
      <c r="F639" s="26" t="n"/>
      <c r="G639" s="26" t="n"/>
      <c r="H639" s="26" t="n"/>
      <c r="I639" s="26" t="n"/>
    </row>
    <row r="640" ht="15" customHeight="1">
      <c r="A640" s="26" t="n"/>
      <c r="B640" s="26" t="n"/>
      <c r="C640" s="26" t="n"/>
      <c r="D640" s="26" t="n"/>
      <c r="E640" s="26" t="n"/>
      <c r="F640" s="26" t="n"/>
      <c r="G640" s="26" t="n"/>
      <c r="H640" s="26" t="n"/>
      <c r="I640" s="26" t="n"/>
    </row>
    <row r="641" ht="15" customHeight="1">
      <c r="A641" s="26" t="n"/>
      <c r="B641" s="26" t="n"/>
      <c r="C641" s="26" t="n"/>
      <c r="D641" s="26" t="n"/>
      <c r="E641" s="26" t="n"/>
      <c r="F641" s="26" t="n"/>
      <c r="G641" s="26" t="n"/>
      <c r="H641" s="26" t="n"/>
      <c r="I641" s="26" t="n"/>
    </row>
    <row r="642" ht="15" customHeight="1">
      <c r="A642" s="26" t="n"/>
      <c r="B642" s="26" t="n"/>
      <c r="C642" s="26" t="n"/>
      <c r="D642" s="26" t="n"/>
      <c r="E642" s="26" t="n"/>
      <c r="F642" s="26" t="n"/>
      <c r="G642" s="26" t="n"/>
      <c r="H642" s="26" t="n"/>
      <c r="I642" s="26" t="n"/>
    </row>
    <row r="643" ht="15" customHeight="1">
      <c r="A643" s="26" t="n"/>
      <c r="B643" s="26" t="n"/>
      <c r="C643" s="26" t="n"/>
      <c r="D643" s="26" t="n"/>
      <c r="E643" s="26" t="n"/>
      <c r="F643" s="26" t="n"/>
      <c r="G643" s="26" t="n"/>
      <c r="H643" s="26" t="n"/>
      <c r="I643" s="26" t="n"/>
    </row>
    <row r="644" ht="15" customHeight="1">
      <c r="A644" s="26" t="n"/>
      <c r="B644" s="26" t="n"/>
      <c r="C644" s="26" t="n"/>
      <c r="D644" s="26" t="n"/>
      <c r="E644" s="26" t="n"/>
      <c r="F644" s="26" t="n"/>
      <c r="G644" s="26" t="n"/>
      <c r="H644" s="26" t="n"/>
      <c r="I644" s="26" t="n"/>
    </row>
    <row r="645" ht="15" customHeight="1">
      <c r="A645" s="26" t="n"/>
      <c r="B645" s="26" t="n"/>
      <c r="C645" s="26" t="n"/>
      <c r="D645" s="26" t="n"/>
      <c r="E645" s="26" t="n"/>
      <c r="F645" s="26" t="n"/>
      <c r="G645" s="26" t="n"/>
      <c r="H645" s="26" t="n"/>
      <c r="I645" s="26" t="n"/>
    </row>
    <row r="646" ht="15" customHeight="1">
      <c r="A646" s="26" t="n"/>
      <c r="B646" s="26" t="n"/>
      <c r="C646" s="26" t="n"/>
      <c r="D646" s="26" t="n"/>
      <c r="E646" s="26" t="n"/>
      <c r="F646" s="26" t="n"/>
      <c r="G646" s="26" t="n"/>
      <c r="H646" s="26" t="n"/>
      <c r="I646" s="26" t="n"/>
    </row>
    <row r="647" ht="15" customHeight="1">
      <c r="A647" s="26" t="n"/>
      <c r="B647" s="26" t="n"/>
      <c r="C647" s="26" t="n"/>
      <c r="D647" s="26" t="n"/>
      <c r="E647" s="26" t="n"/>
      <c r="F647" s="26" t="n"/>
      <c r="G647" s="26" t="n"/>
      <c r="H647" s="26" t="n"/>
      <c r="I647" s="26" t="n"/>
    </row>
    <row r="648" ht="15" customHeight="1">
      <c r="A648" s="26" t="n"/>
      <c r="B648" s="26" t="n"/>
      <c r="C648" s="26" t="n"/>
      <c r="D648" s="26" t="n"/>
      <c r="E648" s="26" t="n"/>
      <c r="F648" s="26" t="n"/>
      <c r="G648" s="26" t="n"/>
      <c r="H648" s="26" t="n"/>
      <c r="I648" s="26" t="n"/>
    </row>
    <row r="649" ht="15" customHeight="1">
      <c r="A649" s="26" t="n"/>
      <c r="B649" s="26" t="n"/>
      <c r="C649" s="26" t="n"/>
      <c r="D649" s="26" t="n"/>
      <c r="E649" s="26" t="n"/>
      <c r="F649" s="26" t="n"/>
      <c r="G649" s="26" t="n"/>
      <c r="H649" s="26" t="n"/>
      <c r="I649" s="26" t="n"/>
    </row>
    <row r="650" ht="15" customHeight="1">
      <c r="A650" s="26" t="n"/>
      <c r="B650" s="26" t="n"/>
      <c r="C650" s="26" t="n"/>
      <c r="D650" s="26" t="n"/>
      <c r="E650" s="26" t="n"/>
      <c r="F650" s="26" t="n"/>
      <c r="G650" s="26" t="n"/>
      <c r="H650" s="26" t="n"/>
      <c r="I650" s="26" t="n"/>
    </row>
    <row r="651" ht="15" customHeight="1">
      <c r="A651" s="26" t="n"/>
      <c r="B651" s="26" t="n"/>
      <c r="C651" s="26" t="n"/>
      <c r="D651" s="26" t="n"/>
      <c r="E651" s="26" t="n"/>
      <c r="F651" s="26" t="n"/>
      <c r="G651" s="26" t="n"/>
      <c r="H651" s="26" t="n"/>
      <c r="I651" s="26" t="n"/>
    </row>
    <row r="652" ht="15" customHeight="1">
      <c r="A652" s="26" t="n"/>
      <c r="B652" s="26" t="n"/>
      <c r="C652" s="26" t="n"/>
      <c r="D652" s="26" t="n"/>
      <c r="E652" s="26" t="n"/>
      <c r="F652" s="26" t="n"/>
      <c r="G652" s="26" t="n"/>
      <c r="H652" s="26" t="n"/>
      <c r="I652" s="26" t="n"/>
    </row>
    <row r="653" ht="15" customHeight="1">
      <c r="A653" s="26" t="n"/>
      <c r="B653" s="26" t="n"/>
      <c r="C653" s="26" t="n"/>
      <c r="D653" s="26" t="n"/>
      <c r="E653" s="26" t="n"/>
      <c r="F653" s="26" t="n"/>
      <c r="G653" s="26" t="n"/>
      <c r="H653" s="26" t="n"/>
      <c r="I653" s="26" t="n"/>
    </row>
    <row r="654" ht="15" customHeight="1">
      <c r="A654" s="26" t="n"/>
      <c r="B654" s="26" t="n"/>
      <c r="C654" s="26" t="n"/>
      <c r="D654" s="26" t="n"/>
      <c r="E654" s="26" t="n"/>
      <c r="F654" s="26" t="n"/>
      <c r="G654" s="26" t="n"/>
      <c r="H654" s="26" t="n"/>
      <c r="I654" s="26" t="n"/>
    </row>
    <row r="655" ht="15" customHeight="1">
      <c r="A655" s="26" t="n"/>
      <c r="B655" s="26" t="n"/>
      <c r="C655" s="26" t="n"/>
      <c r="D655" s="26" t="n"/>
      <c r="E655" s="26" t="n"/>
      <c r="F655" s="26" t="n"/>
      <c r="G655" s="26" t="n"/>
      <c r="H655" s="26" t="n"/>
      <c r="I655" s="26" t="n"/>
    </row>
    <row r="656" ht="15" customHeight="1">
      <c r="A656" s="26" t="n"/>
      <c r="B656" s="26" t="n"/>
      <c r="C656" s="26" t="n"/>
      <c r="D656" s="26" t="n"/>
      <c r="E656" s="26" t="n"/>
      <c r="F656" s="26" t="n"/>
      <c r="G656" s="26" t="n"/>
      <c r="H656" s="26" t="n"/>
      <c r="I656" s="26" t="n"/>
    </row>
    <row r="657" ht="15" customHeight="1">
      <c r="A657" s="26" t="n"/>
      <c r="B657" s="26" t="n"/>
      <c r="C657" s="26" t="n"/>
      <c r="D657" s="26" t="n"/>
      <c r="E657" s="26" t="n"/>
      <c r="F657" s="26" t="n"/>
      <c r="G657" s="26" t="n"/>
      <c r="H657" s="26" t="n"/>
      <c r="I657" s="26" t="n"/>
    </row>
    <row r="658" ht="15" customHeight="1">
      <c r="A658" s="26" t="n"/>
      <c r="B658" s="26" t="n"/>
      <c r="C658" s="26" t="n"/>
      <c r="D658" s="26" t="n"/>
      <c r="E658" s="26" t="n"/>
      <c r="F658" s="26" t="n"/>
      <c r="G658" s="26" t="n"/>
      <c r="H658" s="26" t="n"/>
      <c r="I658" s="26" t="n"/>
    </row>
    <row r="659" ht="15" customHeight="1">
      <c r="A659" s="26" t="n"/>
      <c r="B659" s="26" t="n"/>
      <c r="C659" s="26" t="n"/>
      <c r="D659" s="26" t="n"/>
      <c r="E659" s="26" t="n"/>
      <c r="F659" s="26" t="n"/>
      <c r="G659" s="26" t="n"/>
      <c r="H659" s="26" t="n"/>
      <c r="I659" s="26" t="n"/>
    </row>
    <row r="660" ht="15" customHeight="1">
      <c r="A660" s="26" t="n"/>
      <c r="B660" s="26" t="n"/>
      <c r="C660" s="26" t="n"/>
      <c r="D660" s="26" t="n"/>
      <c r="E660" s="26" t="n"/>
      <c r="F660" s="26" t="n"/>
      <c r="G660" s="26" t="n"/>
      <c r="H660" s="26" t="n"/>
      <c r="I660" s="26" t="n"/>
    </row>
    <row r="661" ht="15" customHeight="1">
      <c r="A661" s="26" t="n"/>
      <c r="B661" s="26" t="n"/>
      <c r="C661" s="26" t="n"/>
      <c r="D661" s="26" t="n"/>
      <c r="E661" s="26" t="n"/>
      <c r="F661" s="26" t="n"/>
      <c r="G661" s="26" t="n"/>
      <c r="H661" s="26" t="n"/>
      <c r="I661" s="26" t="n"/>
    </row>
    <row r="662" ht="15" customHeight="1">
      <c r="A662" s="26" t="n"/>
      <c r="B662" s="26" t="n"/>
      <c r="C662" s="26" t="n"/>
      <c r="D662" s="26" t="n"/>
      <c r="E662" s="26" t="n"/>
      <c r="F662" s="26" t="n"/>
      <c r="G662" s="26" t="n"/>
      <c r="H662" s="26" t="n"/>
      <c r="I662" s="26" t="n"/>
    </row>
    <row r="663" ht="15" customHeight="1">
      <c r="A663" s="26" t="n"/>
      <c r="B663" s="26" t="n"/>
      <c r="C663" s="26" t="n"/>
      <c r="D663" s="26" t="n"/>
      <c r="E663" s="26" t="n"/>
      <c r="F663" s="26" t="n"/>
      <c r="G663" s="26" t="n"/>
      <c r="H663" s="26" t="n"/>
      <c r="I663" s="26" t="n"/>
    </row>
    <row r="664" ht="15" customHeight="1">
      <c r="A664" s="26" t="n"/>
      <c r="B664" s="26" t="n"/>
      <c r="C664" s="26" t="n"/>
      <c r="D664" s="26" t="n"/>
      <c r="E664" s="26" t="n"/>
      <c r="F664" s="26" t="n"/>
      <c r="G664" s="26" t="n"/>
      <c r="H664" s="26" t="n"/>
      <c r="I664" s="26" t="n"/>
    </row>
    <row r="665" ht="15" customHeight="1">
      <c r="A665" s="26" t="n"/>
      <c r="B665" s="26" t="n"/>
      <c r="C665" s="26" t="n"/>
      <c r="D665" s="26" t="n"/>
      <c r="E665" s="26" t="n"/>
      <c r="F665" s="26" t="n"/>
      <c r="G665" s="26" t="n"/>
      <c r="H665" s="26" t="n"/>
      <c r="I665" s="26" t="n"/>
    </row>
    <row r="666" ht="15" customHeight="1">
      <c r="A666" s="26" t="n"/>
      <c r="B666" s="26" t="n"/>
      <c r="C666" s="26" t="n"/>
      <c r="D666" s="26" t="n"/>
      <c r="E666" s="26" t="n"/>
      <c r="F666" s="26" t="n"/>
      <c r="G666" s="26" t="n"/>
      <c r="H666" s="26" t="n"/>
      <c r="I666" s="26" t="n"/>
    </row>
    <row r="667" ht="15" customHeight="1">
      <c r="A667" s="26" t="n"/>
      <c r="B667" s="26" t="n"/>
      <c r="C667" s="26" t="n"/>
      <c r="D667" s="26" t="n"/>
      <c r="E667" s="26" t="n"/>
      <c r="F667" s="26" t="n"/>
      <c r="G667" s="26" t="n"/>
      <c r="H667" s="26" t="n"/>
      <c r="I667" s="26" t="n"/>
    </row>
    <row r="668" ht="15" customHeight="1">
      <c r="A668" s="26" t="n"/>
      <c r="B668" s="26" t="n"/>
      <c r="C668" s="26" t="n"/>
      <c r="D668" s="26" t="n"/>
      <c r="E668" s="26" t="n"/>
      <c r="F668" s="26" t="n"/>
      <c r="G668" s="26" t="n"/>
      <c r="H668" s="26" t="n"/>
      <c r="I668" s="26" t="n"/>
    </row>
    <row r="669" ht="15" customHeight="1">
      <c r="A669" s="26" t="n"/>
      <c r="B669" s="26" t="n"/>
      <c r="C669" s="26" t="n"/>
      <c r="D669" s="26" t="n"/>
      <c r="E669" s="26" t="n"/>
      <c r="F669" s="26" t="n"/>
      <c r="G669" s="26" t="n"/>
      <c r="H669" s="26" t="n"/>
      <c r="I669" s="26" t="n"/>
    </row>
    <row r="670" ht="15" customHeight="1">
      <c r="A670" s="26" t="n"/>
      <c r="B670" s="26" t="n"/>
      <c r="C670" s="26" t="n"/>
      <c r="D670" s="26" t="n"/>
      <c r="E670" s="26" t="n"/>
      <c r="F670" s="26" t="n"/>
      <c r="G670" s="26" t="n"/>
      <c r="H670" s="26" t="n"/>
      <c r="I670" s="26" t="n"/>
    </row>
    <row r="671" ht="15" customHeight="1">
      <c r="A671" s="26" t="n"/>
      <c r="B671" s="26" t="n"/>
      <c r="C671" s="26" t="n"/>
      <c r="D671" s="26" t="n"/>
      <c r="E671" s="26" t="n"/>
      <c r="F671" s="26" t="n"/>
      <c r="G671" s="26" t="n"/>
      <c r="H671" s="26" t="n"/>
      <c r="I671" s="26" t="n"/>
    </row>
    <row r="672" ht="15" customHeight="1">
      <c r="A672" s="26" t="n"/>
      <c r="B672" s="26" t="n"/>
      <c r="C672" s="26" t="n"/>
      <c r="D672" s="26" t="n"/>
      <c r="E672" s="26" t="n"/>
      <c r="F672" s="26" t="n"/>
      <c r="G672" s="26" t="n"/>
      <c r="H672" s="26" t="n"/>
      <c r="I672" s="26" t="n"/>
    </row>
    <row r="673" ht="15" customHeight="1">
      <c r="A673" s="26" t="n"/>
      <c r="B673" s="26" t="n"/>
      <c r="C673" s="26" t="n"/>
      <c r="D673" s="26" t="n"/>
      <c r="E673" s="26" t="n"/>
      <c r="F673" s="26" t="n"/>
      <c r="G673" s="26" t="n"/>
      <c r="H673" s="26" t="n"/>
      <c r="I673" s="26" t="n"/>
    </row>
    <row r="674" ht="15" customHeight="1">
      <c r="A674" s="26" t="n"/>
      <c r="B674" s="26" t="n"/>
      <c r="C674" s="26" t="n"/>
      <c r="D674" s="26" t="n"/>
      <c r="E674" s="26" t="n"/>
      <c r="F674" s="26" t="n"/>
      <c r="G674" s="26" t="n"/>
      <c r="H674" s="26" t="n"/>
      <c r="I674" s="26" t="n"/>
    </row>
    <row r="675" ht="15" customHeight="1">
      <c r="A675" s="26" t="n"/>
      <c r="B675" s="26" t="n"/>
      <c r="C675" s="26" t="n"/>
      <c r="D675" s="26" t="n"/>
      <c r="E675" s="26" t="n"/>
      <c r="F675" s="26" t="n"/>
      <c r="G675" s="26" t="n"/>
      <c r="H675" s="26" t="n"/>
      <c r="I675" s="26" t="n"/>
    </row>
    <row r="676" ht="15" customHeight="1">
      <c r="A676" s="26" t="n"/>
      <c r="B676" s="26" t="n"/>
      <c r="C676" s="26" t="n"/>
      <c r="D676" s="26" t="n"/>
      <c r="E676" s="26" t="n"/>
      <c r="F676" s="26" t="n"/>
      <c r="G676" s="26" t="n"/>
      <c r="H676" s="26" t="n"/>
      <c r="I676" s="26" t="n"/>
    </row>
    <row r="677" ht="15" customHeight="1">
      <c r="A677" s="26" t="n"/>
      <c r="B677" s="26" t="n"/>
      <c r="C677" s="26" t="n"/>
      <c r="D677" s="26" t="n"/>
      <c r="E677" s="26" t="n"/>
      <c r="F677" s="26" t="n"/>
      <c r="G677" s="26" t="n"/>
      <c r="H677" s="26" t="n"/>
      <c r="I677" s="26" t="n"/>
    </row>
    <row r="678" ht="15" customHeight="1">
      <c r="A678" s="26" t="n"/>
      <c r="B678" s="26" t="n"/>
      <c r="C678" s="26" t="n"/>
      <c r="D678" s="26" t="n"/>
      <c r="E678" s="26" t="n"/>
      <c r="F678" s="26" t="n"/>
      <c r="G678" s="26" t="n"/>
      <c r="H678" s="26" t="n"/>
      <c r="I678" s="26" t="n"/>
    </row>
    <row r="679" ht="15" customHeight="1">
      <c r="A679" s="26" t="n"/>
      <c r="B679" s="26" t="n"/>
      <c r="C679" s="26" t="n"/>
      <c r="D679" s="26" t="n"/>
      <c r="E679" s="26" t="n"/>
      <c r="F679" s="26" t="n"/>
      <c r="G679" s="26" t="n"/>
      <c r="H679" s="26" t="n"/>
      <c r="I679" s="26" t="n"/>
    </row>
    <row r="680" ht="15" customHeight="1">
      <c r="A680" s="26" t="n"/>
      <c r="B680" s="26" t="n"/>
      <c r="C680" s="26" t="n"/>
      <c r="D680" s="26" t="n"/>
      <c r="E680" s="26" t="n"/>
      <c r="F680" s="26" t="n"/>
      <c r="G680" s="26" t="n"/>
      <c r="H680" s="26" t="n"/>
      <c r="I680" s="26" t="n"/>
    </row>
    <row r="681" ht="15" customHeight="1">
      <c r="A681" s="26" t="n"/>
      <c r="B681" s="26" t="n"/>
      <c r="C681" s="26" t="n"/>
      <c r="D681" s="26" t="n"/>
      <c r="E681" s="26" t="n"/>
      <c r="F681" s="26" t="n"/>
      <c r="G681" s="26" t="n"/>
      <c r="H681" s="26" t="n"/>
      <c r="I681" s="26" t="n"/>
    </row>
    <row r="682" ht="15" customHeight="1">
      <c r="A682" s="26" t="n"/>
      <c r="B682" s="26" t="n"/>
      <c r="C682" s="26" t="n"/>
      <c r="D682" s="26" t="n"/>
      <c r="E682" s="26" t="n"/>
      <c r="F682" s="26" t="n"/>
      <c r="G682" s="26" t="n"/>
      <c r="H682" s="26" t="n"/>
      <c r="I682" s="26" t="n"/>
    </row>
    <row r="683" ht="15" customHeight="1">
      <c r="A683" s="26" t="n"/>
      <c r="B683" s="26" t="n"/>
      <c r="C683" s="26" t="n"/>
      <c r="D683" s="26" t="n"/>
      <c r="E683" s="26" t="n"/>
      <c r="F683" s="26" t="n"/>
      <c r="G683" s="26" t="n"/>
      <c r="H683" s="26" t="n"/>
      <c r="I683" s="26" t="n"/>
    </row>
    <row r="684" ht="15" customHeight="1">
      <c r="A684" s="26" t="n"/>
      <c r="B684" s="26" t="n"/>
      <c r="C684" s="26" t="n"/>
      <c r="D684" s="26" t="n"/>
      <c r="E684" s="26" t="n"/>
      <c r="F684" s="26" t="n"/>
      <c r="G684" s="26" t="n"/>
      <c r="H684" s="26" t="n"/>
      <c r="I684" s="26" t="n"/>
    </row>
    <row r="685" ht="15" customHeight="1">
      <c r="A685" s="26" t="n"/>
      <c r="B685" s="26" t="n"/>
      <c r="C685" s="26" t="n"/>
      <c r="D685" s="26" t="n"/>
      <c r="E685" s="26" t="n"/>
      <c r="F685" s="26" t="n"/>
      <c r="G685" s="26" t="n"/>
      <c r="H685" s="26" t="n"/>
      <c r="I685" s="26" t="n"/>
    </row>
    <row r="686" ht="15" customHeight="1">
      <c r="A686" s="26" t="n"/>
      <c r="B686" s="26" t="n"/>
      <c r="C686" s="26" t="n"/>
      <c r="D686" s="26" t="n"/>
      <c r="E686" s="26" t="n"/>
      <c r="F686" s="26" t="n"/>
      <c r="G686" s="26" t="n"/>
      <c r="H686" s="26" t="n"/>
      <c r="I686" s="26" t="n"/>
    </row>
    <row r="687" ht="15" customHeight="1">
      <c r="A687" s="26" t="n"/>
      <c r="B687" s="26" t="n"/>
      <c r="C687" s="26" t="n"/>
      <c r="D687" s="26" t="n"/>
      <c r="E687" s="26" t="n"/>
      <c r="F687" s="26" t="n"/>
      <c r="G687" s="26" t="n"/>
      <c r="H687" s="26" t="n"/>
      <c r="I687" s="26" t="n"/>
    </row>
    <row r="688" ht="15" customHeight="1">
      <c r="A688" s="26" t="n"/>
      <c r="B688" s="26" t="n"/>
      <c r="C688" s="26" t="n"/>
      <c r="D688" s="26" t="n"/>
      <c r="E688" s="26" t="n"/>
      <c r="F688" s="26" t="n"/>
      <c r="G688" s="26" t="n"/>
      <c r="H688" s="26" t="n"/>
      <c r="I688" s="26" t="n"/>
    </row>
    <row r="689" ht="15" customHeight="1">
      <c r="A689" s="26" t="n"/>
      <c r="B689" s="26" t="n"/>
      <c r="C689" s="26" t="n"/>
      <c r="D689" s="26" t="n"/>
      <c r="E689" s="26" t="n"/>
      <c r="F689" s="26" t="n"/>
      <c r="G689" s="26" t="n"/>
      <c r="H689" s="26" t="n"/>
      <c r="I689" s="26" t="n"/>
    </row>
    <row r="690" ht="15" customHeight="1">
      <c r="A690" s="26" t="n"/>
      <c r="B690" s="26" t="n"/>
      <c r="C690" s="26" t="n"/>
      <c r="D690" s="26" t="n"/>
      <c r="E690" s="26" t="n"/>
      <c r="F690" s="26" t="n"/>
      <c r="G690" s="26" t="n"/>
      <c r="H690" s="26" t="n"/>
      <c r="I690" s="26" t="n"/>
    </row>
    <row r="691" ht="15" customHeight="1">
      <c r="A691" s="26" t="n"/>
      <c r="B691" s="26" t="n"/>
      <c r="C691" s="26" t="n"/>
      <c r="D691" s="26" t="n"/>
      <c r="E691" s="26" t="n"/>
      <c r="F691" s="26" t="n"/>
      <c r="G691" s="26" t="n"/>
      <c r="H691" s="26" t="n"/>
      <c r="I691" s="26" t="n"/>
    </row>
    <row r="692" ht="15" customHeight="1">
      <c r="A692" s="26" t="n"/>
      <c r="B692" s="26" t="n"/>
      <c r="C692" s="26" t="n"/>
      <c r="D692" s="26" t="n"/>
      <c r="E692" s="26" t="n"/>
      <c r="F692" s="26" t="n"/>
      <c r="G692" s="26" t="n"/>
      <c r="H692" s="26" t="n"/>
      <c r="I692" s="26" t="n"/>
    </row>
    <row r="693" ht="15" customHeight="1">
      <c r="A693" s="26" t="n"/>
      <c r="B693" s="26" t="n"/>
      <c r="C693" s="26" t="n"/>
      <c r="D693" s="26" t="n"/>
      <c r="E693" s="26" t="n"/>
      <c r="F693" s="26" t="n"/>
      <c r="G693" s="26" t="n"/>
      <c r="H693" s="26" t="n"/>
      <c r="I693" s="26" t="n"/>
    </row>
    <row r="694" ht="15" customHeight="1">
      <c r="A694" s="26" t="n"/>
      <c r="B694" s="26" t="n"/>
      <c r="C694" s="26" t="n"/>
      <c r="D694" s="26" t="n"/>
      <c r="E694" s="26" t="n"/>
      <c r="F694" s="26" t="n"/>
      <c r="G694" s="26" t="n"/>
      <c r="H694" s="26" t="n"/>
      <c r="I694" s="26" t="n"/>
    </row>
    <row r="695" ht="15" customHeight="1">
      <c r="A695" s="26" t="n"/>
      <c r="B695" s="26" t="n"/>
      <c r="C695" s="26" t="n"/>
      <c r="D695" s="26" t="n"/>
      <c r="E695" s="26" t="n"/>
      <c r="F695" s="26" t="n"/>
      <c r="G695" s="26" t="n"/>
      <c r="H695" s="26" t="n"/>
      <c r="I695" s="26" t="n"/>
    </row>
    <row r="696" ht="15" customHeight="1">
      <c r="A696" s="26" t="n"/>
      <c r="B696" s="26" t="n"/>
      <c r="C696" s="26" t="n"/>
      <c r="D696" s="26" t="n"/>
      <c r="E696" s="26" t="n"/>
      <c r="F696" s="26" t="n"/>
      <c r="G696" s="26" t="n"/>
      <c r="H696" s="26" t="n"/>
      <c r="I696" s="26" t="n"/>
    </row>
    <row r="697" ht="15" customHeight="1">
      <c r="A697" s="26" t="n"/>
      <c r="B697" s="26" t="n"/>
      <c r="C697" s="26" t="n"/>
      <c r="D697" s="26" t="n"/>
      <c r="E697" s="26" t="n"/>
      <c r="F697" s="26" t="n"/>
      <c r="G697" s="26" t="n"/>
      <c r="H697" s="26" t="n"/>
      <c r="I697" s="26" t="n"/>
    </row>
    <row r="698" ht="15" customHeight="1">
      <c r="A698" s="26" t="n"/>
      <c r="B698" s="26" t="n"/>
      <c r="C698" s="26" t="n"/>
      <c r="D698" s="26" t="n"/>
      <c r="E698" s="26" t="n"/>
      <c r="F698" s="26" t="n"/>
      <c r="G698" s="26" t="n"/>
      <c r="H698" s="26" t="n"/>
      <c r="I698" s="26" t="n"/>
    </row>
    <row r="699" ht="15" customHeight="1">
      <c r="A699" s="26" t="n"/>
      <c r="B699" s="26" t="n"/>
      <c r="C699" s="26" t="n"/>
      <c r="D699" s="26" t="n"/>
      <c r="E699" s="26" t="n"/>
      <c r="F699" s="26" t="n"/>
      <c r="G699" s="26" t="n"/>
      <c r="H699" s="26" t="n"/>
      <c r="I699" s="26" t="n"/>
    </row>
    <row r="700" ht="15" customHeight="1">
      <c r="A700" s="26" t="n"/>
      <c r="B700" s="26" t="n"/>
      <c r="C700" s="26" t="n"/>
      <c r="D700" s="26" t="n"/>
      <c r="E700" s="26" t="n"/>
      <c r="F700" s="26" t="n"/>
      <c r="G700" s="26" t="n"/>
      <c r="H700" s="26" t="n"/>
      <c r="I700" s="26" t="n"/>
    </row>
    <row r="701" ht="15" customHeight="1">
      <c r="A701" s="26" t="n"/>
      <c r="B701" s="26" t="n"/>
      <c r="C701" s="26" t="n"/>
      <c r="D701" s="26" t="n"/>
      <c r="E701" s="26" t="n"/>
      <c r="F701" s="26" t="n"/>
      <c r="G701" s="26" t="n"/>
      <c r="H701" s="26" t="n"/>
      <c r="I701" s="26" t="n"/>
    </row>
    <row r="702" ht="15" customHeight="1">
      <c r="A702" s="26" t="n"/>
      <c r="B702" s="26" t="n"/>
      <c r="C702" s="26" t="n"/>
      <c r="D702" s="26" t="n"/>
      <c r="E702" s="26" t="n"/>
      <c r="F702" s="26" t="n"/>
      <c r="G702" s="26" t="n"/>
      <c r="H702" s="26" t="n"/>
      <c r="I702" s="26" t="n"/>
    </row>
    <row r="703" ht="15" customHeight="1">
      <c r="A703" s="26" t="n"/>
      <c r="B703" s="26" t="n"/>
      <c r="C703" s="26" t="n"/>
      <c r="D703" s="26" t="n"/>
      <c r="E703" s="26" t="n"/>
      <c r="F703" s="26" t="n"/>
      <c r="G703" s="26" t="n"/>
      <c r="H703" s="26" t="n"/>
      <c r="I703" s="26" t="n"/>
    </row>
    <row r="704" ht="15" customHeight="1">
      <c r="A704" s="26" t="n"/>
      <c r="B704" s="26" t="n"/>
      <c r="C704" s="26" t="n"/>
      <c r="D704" s="26" t="n"/>
      <c r="E704" s="26" t="n"/>
      <c r="F704" s="26" t="n"/>
      <c r="G704" s="26" t="n"/>
      <c r="H704" s="26" t="n"/>
      <c r="I704" s="26" t="n"/>
    </row>
    <row r="705" ht="15" customHeight="1">
      <c r="A705" s="26" t="n"/>
      <c r="B705" s="26" t="n"/>
      <c r="C705" s="26" t="n"/>
      <c r="D705" s="26" t="n"/>
      <c r="E705" s="26" t="n"/>
      <c r="F705" s="26" t="n"/>
      <c r="G705" s="26" t="n"/>
      <c r="H705" s="26" t="n"/>
      <c r="I705" s="26" t="n"/>
    </row>
    <row r="706" ht="15" customHeight="1">
      <c r="A706" s="26" t="n"/>
      <c r="B706" s="26" t="n"/>
      <c r="C706" s="26" t="n"/>
      <c r="D706" s="26" t="n"/>
      <c r="E706" s="26" t="n"/>
      <c r="F706" s="26" t="n"/>
      <c r="G706" s="26" t="n"/>
      <c r="H706" s="26" t="n"/>
      <c r="I706" s="26" t="n"/>
    </row>
    <row r="707" ht="15" customHeight="1">
      <c r="A707" s="26" t="n"/>
      <c r="B707" s="26" t="n"/>
      <c r="C707" s="26" t="n"/>
      <c r="D707" s="26" t="n"/>
      <c r="E707" s="26" t="n"/>
      <c r="F707" s="26" t="n"/>
      <c r="G707" s="26" t="n"/>
      <c r="H707" s="26" t="n"/>
      <c r="I707" s="26" t="n"/>
    </row>
    <row r="708" ht="15" customHeight="1">
      <c r="A708" s="26" t="n"/>
      <c r="B708" s="26" t="n"/>
      <c r="C708" s="26" t="n"/>
      <c r="D708" s="26" t="n"/>
      <c r="E708" s="26" t="n"/>
      <c r="F708" s="26" t="n"/>
      <c r="G708" s="26" t="n"/>
      <c r="H708" s="26" t="n"/>
      <c r="I708" s="26" t="n"/>
    </row>
    <row r="709" ht="15" customHeight="1">
      <c r="A709" s="26" t="n"/>
      <c r="B709" s="26" t="n"/>
      <c r="C709" s="26" t="n"/>
      <c r="D709" s="26" t="n"/>
      <c r="E709" s="26" t="n"/>
      <c r="F709" s="26" t="n"/>
      <c r="G709" s="26" t="n"/>
      <c r="H709" s="26" t="n"/>
      <c r="I709" s="26" t="n"/>
    </row>
    <row r="710" ht="15" customHeight="1">
      <c r="A710" s="26" t="n"/>
      <c r="B710" s="26" t="n"/>
      <c r="C710" s="26" t="n"/>
      <c r="D710" s="26" t="n"/>
      <c r="E710" s="26" t="n"/>
      <c r="F710" s="26" t="n"/>
      <c r="G710" s="26" t="n"/>
      <c r="H710" s="26" t="n"/>
      <c r="I710" s="26" t="n"/>
    </row>
    <row r="711" ht="15" customHeight="1">
      <c r="A711" s="26" t="n"/>
      <c r="B711" s="26" t="n"/>
      <c r="C711" s="26" t="n"/>
      <c r="D711" s="26" t="n"/>
      <c r="E711" s="26" t="n"/>
      <c r="F711" s="26" t="n"/>
      <c r="G711" s="26" t="n"/>
      <c r="H711" s="26" t="n"/>
      <c r="I711" s="26" t="n"/>
    </row>
    <row r="712" ht="15" customHeight="1">
      <c r="A712" s="26" t="n"/>
      <c r="B712" s="26" t="n"/>
      <c r="C712" s="26" t="n"/>
      <c r="D712" s="26" t="n"/>
      <c r="E712" s="26" t="n"/>
      <c r="F712" s="26" t="n"/>
      <c r="G712" s="26" t="n"/>
      <c r="H712" s="26" t="n"/>
      <c r="I712" s="26" t="n"/>
    </row>
    <row r="713" ht="15" customHeight="1">
      <c r="A713" s="26" t="n"/>
      <c r="B713" s="26" t="n"/>
      <c r="C713" s="26" t="n"/>
      <c r="D713" s="26" t="n"/>
      <c r="E713" s="26" t="n"/>
      <c r="F713" s="26" t="n"/>
      <c r="G713" s="26" t="n"/>
      <c r="H713" s="26" t="n"/>
      <c r="I713" s="26" t="n"/>
    </row>
    <row r="714" ht="15" customHeight="1">
      <c r="A714" s="26" t="n"/>
      <c r="B714" s="26" t="n"/>
      <c r="C714" s="26" t="n"/>
      <c r="D714" s="26" t="n"/>
      <c r="E714" s="26" t="n"/>
      <c r="F714" s="26" t="n"/>
      <c r="G714" s="26" t="n"/>
      <c r="H714" s="26" t="n"/>
      <c r="I714" s="26" t="n"/>
    </row>
    <row r="715" ht="15" customHeight="1">
      <c r="A715" s="26" t="n"/>
      <c r="B715" s="26" t="n"/>
      <c r="C715" s="26" t="n"/>
      <c r="D715" s="26" t="n"/>
      <c r="E715" s="26" t="n"/>
      <c r="F715" s="26" t="n"/>
      <c r="G715" s="26" t="n"/>
      <c r="H715" s="26" t="n"/>
      <c r="I715" s="26" t="n"/>
    </row>
    <row r="716" ht="15" customHeight="1">
      <c r="A716" s="26" t="n"/>
      <c r="B716" s="26" t="n"/>
      <c r="C716" s="26" t="n"/>
      <c r="D716" s="26" t="n"/>
      <c r="E716" s="26" t="n"/>
      <c r="F716" s="26" t="n"/>
      <c r="G716" s="26" t="n"/>
      <c r="H716" s="26" t="n"/>
      <c r="I716" s="26" t="n"/>
    </row>
    <row r="717" ht="15" customHeight="1">
      <c r="A717" s="26" t="n"/>
      <c r="B717" s="26" t="n"/>
      <c r="C717" s="26" t="n"/>
      <c r="D717" s="26" t="n"/>
      <c r="E717" s="26" t="n"/>
      <c r="F717" s="26" t="n"/>
      <c r="G717" s="26" t="n"/>
      <c r="H717" s="26" t="n"/>
      <c r="I717" s="26" t="n"/>
    </row>
    <row r="718" ht="15" customHeight="1">
      <c r="A718" s="26" t="n"/>
      <c r="B718" s="26" t="n"/>
      <c r="C718" s="26" t="n"/>
      <c r="D718" s="26" t="n"/>
      <c r="E718" s="26" t="n"/>
      <c r="F718" s="26" t="n"/>
      <c r="G718" s="26" t="n"/>
      <c r="H718" s="26" t="n"/>
      <c r="I718" s="26" t="n"/>
    </row>
    <row r="719" ht="15" customHeight="1">
      <c r="A719" s="26" t="n"/>
      <c r="B719" s="26" t="n"/>
      <c r="C719" s="26" t="n"/>
      <c r="D719" s="26" t="n"/>
      <c r="E719" s="26" t="n"/>
      <c r="F719" s="26" t="n"/>
      <c r="G719" s="26" t="n"/>
      <c r="H719" s="26" t="n"/>
      <c r="I719" s="26" t="n"/>
    </row>
    <row r="720" ht="15" customHeight="1">
      <c r="A720" s="26" t="n"/>
      <c r="B720" s="26" t="n"/>
      <c r="C720" s="26" t="n"/>
      <c r="D720" s="26" t="n"/>
      <c r="E720" s="26" t="n"/>
      <c r="F720" s="26" t="n"/>
      <c r="G720" s="26" t="n"/>
      <c r="H720" s="26" t="n"/>
      <c r="I720" s="26" t="n"/>
    </row>
    <row r="721" ht="15" customHeight="1">
      <c r="A721" s="26" t="n"/>
      <c r="B721" s="26" t="n"/>
      <c r="C721" s="26" t="n"/>
      <c r="D721" s="26" t="n"/>
      <c r="E721" s="26" t="n"/>
      <c r="F721" s="26" t="n"/>
      <c r="G721" s="26" t="n"/>
      <c r="H721" s="26" t="n"/>
      <c r="I721" s="26" t="n"/>
    </row>
    <row r="722" ht="15" customHeight="1">
      <c r="A722" s="26" t="n"/>
      <c r="B722" s="26" t="n"/>
      <c r="C722" s="26" t="n"/>
      <c r="D722" s="26" t="n"/>
      <c r="E722" s="26" t="n"/>
      <c r="F722" s="26" t="n"/>
      <c r="G722" s="26" t="n"/>
      <c r="H722" s="26" t="n"/>
      <c r="I722" s="26" t="n"/>
    </row>
    <row r="723" ht="15" customHeight="1">
      <c r="A723" s="26" t="n"/>
      <c r="B723" s="26" t="n"/>
      <c r="C723" s="26" t="n"/>
      <c r="D723" s="26" t="n"/>
      <c r="E723" s="26" t="n"/>
      <c r="F723" s="26" t="n"/>
      <c r="G723" s="26" t="n"/>
      <c r="H723" s="26" t="n"/>
      <c r="I723" s="26" t="n"/>
    </row>
    <row r="724" ht="15" customHeight="1">
      <c r="A724" s="26" t="n"/>
      <c r="B724" s="26" t="n"/>
      <c r="C724" s="26" t="n"/>
      <c r="D724" s="26" t="n"/>
      <c r="E724" s="26" t="n"/>
      <c r="F724" s="26" t="n"/>
      <c r="G724" s="26" t="n"/>
      <c r="H724" s="26" t="n"/>
      <c r="I724" s="26" t="n"/>
    </row>
    <row r="725" ht="15" customHeight="1">
      <c r="A725" s="26" t="n"/>
      <c r="B725" s="26" t="n"/>
      <c r="C725" s="26" t="n"/>
      <c r="D725" s="26" t="n"/>
      <c r="E725" s="26" t="n"/>
      <c r="F725" s="26" t="n"/>
      <c r="G725" s="26" t="n"/>
      <c r="H725" s="26" t="n"/>
      <c r="I725" s="26" t="n"/>
    </row>
    <row r="726" ht="15" customHeight="1">
      <c r="A726" s="26" t="n"/>
      <c r="B726" s="26" t="n"/>
      <c r="C726" s="26" t="n"/>
      <c r="D726" s="26" t="n"/>
      <c r="E726" s="26" t="n"/>
      <c r="F726" s="26" t="n"/>
      <c r="G726" s="26" t="n"/>
      <c r="H726" s="26" t="n"/>
      <c r="I726" s="26" t="n"/>
    </row>
    <row r="727" ht="15" customHeight="1">
      <c r="A727" s="26" t="n"/>
      <c r="B727" s="26" t="n"/>
      <c r="C727" s="26" t="n"/>
      <c r="D727" s="26" t="n"/>
      <c r="E727" s="26" t="n"/>
      <c r="F727" s="26" t="n"/>
      <c r="G727" s="26" t="n"/>
      <c r="H727" s="26" t="n"/>
      <c r="I727" s="26" t="n"/>
    </row>
    <row r="728" ht="15" customHeight="1">
      <c r="A728" s="26" t="n"/>
      <c r="B728" s="26" t="n"/>
      <c r="C728" s="26" t="n"/>
      <c r="D728" s="26" t="n"/>
      <c r="E728" s="26" t="n"/>
      <c r="F728" s="26" t="n"/>
      <c r="G728" s="26" t="n"/>
      <c r="H728" s="26" t="n"/>
      <c r="I728" s="26" t="n"/>
    </row>
    <row r="729" ht="15" customHeight="1">
      <c r="A729" s="26" t="n"/>
      <c r="B729" s="26" t="n"/>
      <c r="C729" s="26" t="n"/>
      <c r="D729" s="26" t="n"/>
      <c r="E729" s="26" t="n"/>
      <c r="F729" s="26" t="n"/>
      <c r="G729" s="26" t="n"/>
      <c r="H729" s="26" t="n"/>
      <c r="I729" s="26" t="n"/>
    </row>
    <row r="730" ht="15" customHeight="1">
      <c r="A730" s="26" t="n"/>
      <c r="B730" s="26" t="n"/>
      <c r="C730" s="26" t="n"/>
      <c r="D730" s="26" t="n"/>
      <c r="E730" s="26" t="n"/>
      <c r="F730" s="26" t="n"/>
      <c r="G730" s="26" t="n"/>
      <c r="H730" s="26" t="n"/>
      <c r="I730" s="26" t="n"/>
    </row>
    <row r="731" ht="15" customHeight="1">
      <c r="A731" s="26" t="n"/>
      <c r="B731" s="26" t="n"/>
      <c r="C731" s="26" t="n"/>
      <c r="D731" s="26" t="n"/>
      <c r="E731" s="26" t="n"/>
      <c r="F731" s="26" t="n"/>
      <c r="G731" s="26" t="n"/>
      <c r="H731" s="26" t="n"/>
      <c r="I731" s="26" t="n"/>
    </row>
    <row r="732" ht="15" customHeight="1">
      <c r="A732" s="26" t="n"/>
      <c r="B732" s="26" t="n"/>
      <c r="C732" s="26" t="n"/>
      <c r="D732" s="26" t="n"/>
      <c r="E732" s="26" t="n"/>
      <c r="F732" s="26" t="n"/>
      <c r="G732" s="26" t="n"/>
      <c r="H732" s="26" t="n"/>
      <c r="I732" s="26" t="n"/>
    </row>
    <row r="733" ht="15" customHeight="1">
      <c r="A733" s="26" t="n"/>
      <c r="B733" s="26" t="n"/>
      <c r="C733" s="26" t="n"/>
      <c r="D733" s="26" t="n"/>
      <c r="E733" s="26" t="n"/>
      <c r="F733" s="26" t="n"/>
      <c r="G733" s="26" t="n"/>
      <c r="H733" s="26" t="n"/>
      <c r="I733" s="26" t="n"/>
    </row>
    <row r="734" ht="15" customHeight="1">
      <c r="A734" s="26" t="n"/>
      <c r="B734" s="26" t="n"/>
      <c r="C734" s="26" t="n"/>
      <c r="D734" s="26" t="n"/>
      <c r="E734" s="26" t="n"/>
      <c r="F734" s="26" t="n"/>
      <c r="G734" s="26" t="n"/>
      <c r="H734" s="26" t="n"/>
      <c r="I734" s="26" t="n"/>
    </row>
    <row r="735" ht="15" customHeight="1">
      <c r="A735" s="26" t="n"/>
      <c r="B735" s="26" t="n"/>
      <c r="C735" s="26" t="n"/>
      <c r="D735" s="26" t="n"/>
      <c r="E735" s="26" t="n"/>
      <c r="F735" s="26" t="n"/>
      <c r="G735" s="26" t="n"/>
      <c r="H735" s="26" t="n"/>
      <c r="I735" s="26" t="n"/>
    </row>
    <row r="736" ht="15" customHeight="1">
      <c r="A736" s="26" t="n"/>
      <c r="B736" s="26" t="n"/>
      <c r="C736" s="26" t="n"/>
      <c r="D736" s="26" t="n"/>
      <c r="E736" s="26" t="n"/>
      <c r="F736" s="26" t="n"/>
      <c r="G736" s="26" t="n"/>
      <c r="H736" s="26" t="n"/>
      <c r="I736" s="26" t="n"/>
    </row>
    <row r="737" ht="15" customHeight="1">
      <c r="A737" s="26" t="n"/>
      <c r="B737" s="26" t="n"/>
      <c r="C737" s="26" t="n"/>
      <c r="D737" s="26" t="n"/>
      <c r="E737" s="26" t="n"/>
      <c r="F737" s="26" t="n"/>
      <c r="G737" s="26" t="n"/>
      <c r="H737" s="26" t="n"/>
      <c r="I737" s="26" t="n"/>
    </row>
    <row r="738" ht="15" customHeight="1">
      <c r="A738" s="26" t="n"/>
      <c r="B738" s="26" t="n"/>
      <c r="C738" s="26" t="n"/>
      <c r="D738" s="26" t="n"/>
      <c r="E738" s="26" t="n"/>
      <c r="F738" s="26" t="n"/>
      <c r="G738" s="26" t="n"/>
      <c r="H738" s="26" t="n"/>
      <c r="I738" s="26" t="n"/>
    </row>
    <row r="739" ht="15" customHeight="1">
      <c r="A739" s="26" t="n"/>
      <c r="B739" s="26" t="n"/>
      <c r="C739" s="26" t="n"/>
      <c r="D739" s="26" t="n"/>
      <c r="E739" s="26" t="n"/>
      <c r="F739" s="26" t="n"/>
      <c r="G739" s="26" t="n"/>
      <c r="H739" s="26" t="n"/>
      <c r="I739" s="26" t="n"/>
    </row>
    <row r="740" ht="15" customHeight="1">
      <c r="A740" s="26" t="n"/>
      <c r="B740" s="26" t="n"/>
      <c r="C740" s="26" t="n"/>
      <c r="D740" s="26" t="n"/>
      <c r="E740" s="26" t="n"/>
      <c r="F740" s="26" t="n"/>
      <c r="G740" s="26" t="n"/>
      <c r="H740" s="26" t="n"/>
      <c r="I740" s="26" t="n"/>
    </row>
    <row r="741" ht="15" customHeight="1">
      <c r="A741" s="26" t="n"/>
      <c r="B741" s="26" t="n"/>
      <c r="C741" s="26" t="n"/>
      <c r="D741" s="26" t="n"/>
      <c r="E741" s="26" t="n"/>
      <c r="F741" s="26" t="n"/>
      <c r="G741" s="26" t="n"/>
      <c r="H741" s="26" t="n"/>
      <c r="I741" s="26" t="n"/>
    </row>
    <row r="742" ht="15" customHeight="1">
      <c r="A742" s="26" t="n"/>
      <c r="B742" s="26" t="n"/>
      <c r="C742" s="26" t="n"/>
      <c r="D742" s="26" t="n"/>
      <c r="E742" s="26" t="n"/>
      <c r="F742" s="26" t="n"/>
      <c r="G742" s="26" t="n"/>
      <c r="H742" s="26" t="n"/>
      <c r="I742" s="26" t="n"/>
    </row>
    <row r="743" ht="15" customHeight="1">
      <c r="A743" s="26" t="n"/>
      <c r="B743" s="26" t="n"/>
      <c r="C743" s="26" t="n"/>
      <c r="D743" s="26" t="n"/>
      <c r="E743" s="26" t="n"/>
      <c r="F743" s="26" t="n"/>
      <c r="G743" s="26" t="n"/>
      <c r="H743" s="26" t="n"/>
      <c r="I743" s="26" t="n"/>
    </row>
    <row r="744" ht="15" customHeight="1">
      <c r="A744" s="26" t="n"/>
      <c r="B744" s="26" t="n"/>
      <c r="C744" s="26" t="n"/>
      <c r="D744" s="26" t="n"/>
      <c r="E744" s="26" t="n"/>
      <c r="F744" s="26" t="n"/>
      <c r="G744" s="26" t="n"/>
      <c r="H744" s="26" t="n"/>
      <c r="I744" s="26" t="n"/>
    </row>
    <row r="745" ht="15" customHeight="1">
      <c r="A745" s="26" t="n"/>
      <c r="B745" s="26" t="n"/>
      <c r="C745" s="26" t="n"/>
      <c r="D745" s="26" t="n"/>
      <c r="E745" s="26" t="n"/>
      <c r="F745" s="26" t="n"/>
      <c r="G745" s="26" t="n"/>
      <c r="H745" s="26" t="n"/>
      <c r="I745" s="26" t="n"/>
    </row>
    <row r="746" ht="15" customHeight="1">
      <c r="A746" s="26" t="n"/>
      <c r="B746" s="26" t="n"/>
      <c r="C746" s="26" t="n"/>
      <c r="D746" s="26" t="n"/>
      <c r="E746" s="26" t="n"/>
      <c r="F746" s="26" t="n"/>
      <c r="G746" s="26" t="n"/>
      <c r="H746" s="26" t="n"/>
      <c r="I746" s="26" t="n"/>
    </row>
    <row r="747" ht="15" customHeight="1">
      <c r="A747" s="26" t="n"/>
      <c r="B747" s="26" t="n"/>
      <c r="C747" s="26" t="n"/>
      <c r="D747" s="26" t="n"/>
      <c r="E747" s="26" t="n"/>
      <c r="F747" s="26" t="n"/>
      <c r="G747" s="26" t="n"/>
      <c r="H747" s="26" t="n"/>
      <c r="I747" s="26" t="n"/>
    </row>
    <row r="748" ht="15" customHeight="1">
      <c r="A748" s="26" t="n"/>
      <c r="B748" s="26" t="n"/>
      <c r="C748" s="26" t="n"/>
      <c r="D748" s="26" t="n"/>
      <c r="E748" s="26" t="n"/>
      <c r="F748" s="26" t="n"/>
      <c r="G748" s="26" t="n"/>
      <c r="H748" s="26" t="n"/>
      <c r="I748" s="26" t="n"/>
    </row>
    <row r="749" ht="15" customHeight="1">
      <c r="A749" s="26" t="n"/>
      <c r="B749" s="26" t="n"/>
      <c r="C749" s="26" t="n"/>
      <c r="D749" s="26" t="n"/>
      <c r="E749" s="26" t="n"/>
      <c r="F749" s="26" t="n"/>
      <c r="G749" s="26" t="n"/>
      <c r="H749" s="26" t="n"/>
      <c r="I749" s="26" t="n"/>
    </row>
    <row r="750" ht="15" customHeight="1">
      <c r="A750" s="26" t="n"/>
      <c r="B750" s="26" t="n"/>
      <c r="C750" s="26" t="n"/>
      <c r="D750" s="26" t="n"/>
      <c r="E750" s="26" t="n"/>
      <c r="F750" s="26" t="n"/>
      <c r="G750" s="26" t="n"/>
      <c r="H750" s="26" t="n"/>
      <c r="I750" s="26" t="n"/>
    </row>
    <row r="751" ht="15" customHeight="1">
      <c r="A751" s="26" t="n"/>
      <c r="B751" s="26" t="n"/>
      <c r="C751" s="26" t="n"/>
      <c r="D751" s="26" t="n"/>
      <c r="E751" s="26" t="n"/>
      <c r="F751" s="26" t="n"/>
      <c r="G751" s="26" t="n"/>
      <c r="H751" s="26" t="n"/>
      <c r="I751" s="26" t="n"/>
    </row>
    <row r="752" ht="15" customHeight="1">
      <c r="A752" s="26" t="n"/>
      <c r="B752" s="26" t="n"/>
      <c r="C752" s="26" t="n"/>
      <c r="D752" s="26" t="n"/>
      <c r="E752" s="26" t="n"/>
      <c r="F752" s="26" t="n"/>
      <c r="G752" s="26" t="n"/>
      <c r="H752" s="26" t="n"/>
      <c r="I752" s="26" t="n"/>
    </row>
    <row r="753" ht="15" customHeight="1">
      <c r="A753" s="26" t="n"/>
      <c r="B753" s="26" t="n"/>
      <c r="C753" s="26" t="n"/>
      <c r="D753" s="26" t="n"/>
      <c r="E753" s="26" t="n"/>
      <c r="F753" s="26" t="n"/>
      <c r="G753" s="26" t="n"/>
      <c r="H753" s="26" t="n"/>
      <c r="I753" s="26" t="n"/>
    </row>
    <row r="754" ht="15" customHeight="1">
      <c r="A754" s="26" t="n"/>
      <c r="B754" s="26" t="n"/>
      <c r="C754" s="26" t="n"/>
      <c r="D754" s="26" t="n"/>
      <c r="E754" s="26" t="n"/>
      <c r="F754" s="26" t="n"/>
      <c r="G754" s="26" t="n"/>
      <c r="H754" s="26" t="n"/>
      <c r="I754" s="26" t="n"/>
    </row>
    <row r="755" ht="15" customHeight="1">
      <c r="A755" s="26" t="n"/>
      <c r="B755" s="26" t="n"/>
      <c r="C755" s="26" t="n"/>
      <c r="D755" s="26" t="n"/>
      <c r="E755" s="26" t="n"/>
      <c r="F755" s="26" t="n"/>
      <c r="G755" s="26" t="n"/>
      <c r="H755" s="26" t="n"/>
      <c r="I755" s="26" t="n"/>
    </row>
    <row r="756" ht="15" customHeight="1">
      <c r="A756" s="26" t="n"/>
      <c r="B756" s="26" t="n"/>
      <c r="C756" s="26" t="n"/>
      <c r="D756" s="26" t="n"/>
      <c r="E756" s="26" t="n"/>
      <c r="F756" s="26" t="n"/>
      <c r="G756" s="26" t="n"/>
      <c r="H756" s="26" t="n"/>
      <c r="I756" s="26" t="n"/>
    </row>
    <row r="757" ht="15" customHeight="1">
      <c r="A757" s="26" t="n"/>
      <c r="B757" s="26" t="n"/>
      <c r="C757" s="26" t="n"/>
      <c r="D757" s="26" t="n"/>
      <c r="E757" s="26" t="n"/>
      <c r="F757" s="26" t="n"/>
      <c r="G757" s="26" t="n"/>
      <c r="H757" s="26" t="n"/>
      <c r="I757" s="26" t="n"/>
    </row>
    <row r="758" ht="15" customHeight="1">
      <c r="A758" s="26" t="n"/>
      <c r="B758" s="26" t="n"/>
      <c r="C758" s="26" t="n"/>
      <c r="D758" s="26" t="n"/>
      <c r="E758" s="26" t="n"/>
      <c r="F758" s="26" t="n"/>
      <c r="G758" s="26" t="n"/>
      <c r="H758" s="26" t="n"/>
      <c r="I758" s="26" t="n"/>
    </row>
    <row r="759" ht="15" customHeight="1">
      <c r="A759" s="26" t="n"/>
      <c r="B759" s="26" t="n"/>
      <c r="C759" s="26" t="n"/>
      <c r="D759" s="26" t="n"/>
      <c r="E759" s="26" t="n"/>
      <c r="F759" s="26" t="n"/>
      <c r="G759" s="26" t="n"/>
      <c r="H759" s="26" t="n"/>
      <c r="I759" s="26" t="n"/>
    </row>
    <row r="760" ht="15" customHeight="1">
      <c r="A760" s="26" t="n"/>
      <c r="B760" s="26" t="n"/>
      <c r="C760" s="26" t="n"/>
      <c r="D760" s="26" t="n"/>
      <c r="E760" s="26" t="n"/>
      <c r="F760" s="26" t="n"/>
      <c r="G760" s="26" t="n"/>
      <c r="H760" s="26" t="n"/>
      <c r="I760" s="26" t="n"/>
    </row>
    <row r="761" ht="15" customHeight="1">
      <c r="A761" s="26" t="n"/>
      <c r="B761" s="26" t="n"/>
      <c r="C761" s="26" t="n"/>
      <c r="D761" s="26" t="n"/>
      <c r="E761" s="26" t="n"/>
      <c r="F761" s="26" t="n"/>
      <c r="G761" s="26" t="n"/>
      <c r="H761" s="26" t="n"/>
      <c r="I761" s="26" t="n"/>
    </row>
    <row r="762" ht="15" customHeight="1">
      <c r="A762" s="26" t="n"/>
      <c r="B762" s="26" t="n"/>
      <c r="C762" s="26" t="n"/>
      <c r="D762" s="26" t="n"/>
      <c r="E762" s="26" t="n"/>
      <c r="F762" s="26" t="n"/>
      <c r="G762" s="26" t="n"/>
      <c r="H762" s="26" t="n"/>
      <c r="I762" s="26" t="n"/>
    </row>
    <row r="763" ht="15" customHeight="1">
      <c r="A763" s="26" t="n"/>
      <c r="B763" s="26" t="n"/>
      <c r="C763" s="26" t="n"/>
      <c r="D763" s="26" t="n"/>
      <c r="E763" s="26" t="n"/>
      <c r="F763" s="26" t="n"/>
      <c r="G763" s="26" t="n"/>
      <c r="H763" s="26" t="n"/>
      <c r="I763" s="26" t="n"/>
    </row>
    <row r="764" ht="15" customHeight="1">
      <c r="A764" s="26" t="n"/>
      <c r="B764" s="26" t="n"/>
      <c r="C764" s="26" t="n"/>
      <c r="D764" s="26" t="n"/>
      <c r="E764" s="26" t="n"/>
      <c r="F764" s="26" t="n"/>
      <c r="G764" s="26" t="n"/>
      <c r="H764" s="26" t="n"/>
      <c r="I764" s="26" t="n"/>
    </row>
    <row r="765" ht="15" customHeight="1">
      <c r="A765" s="26" t="n"/>
      <c r="B765" s="26" t="n"/>
      <c r="C765" s="26" t="n"/>
      <c r="D765" s="26" t="n"/>
      <c r="E765" s="26" t="n"/>
      <c r="F765" s="26" t="n"/>
      <c r="G765" s="26" t="n"/>
      <c r="H765" s="26" t="n"/>
      <c r="I765" s="26" t="n"/>
    </row>
    <row r="766" ht="15" customHeight="1">
      <c r="A766" s="26" t="n"/>
      <c r="B766" s="26" t="n"/>
      <c r="C766" s="26" t="n"/>
      <c r="D766" s="26" t="n"/>
      <c r="E766" s="26" t="n"/>
      <c r="F766" s="26" t="n"/>
      <c r="G766" s="26" t="n"/>
      <c r="H766" s="26" t="n"/>
      <c r="I766" s="26" t="n"/>
    </row>
    <row r="767" ht="15" customHeight="1">
      <c r="A767" s="26" t="n"/>
      <c r="B767" s="26" t="n"/>
      <c r="C767" s="26" t="n"/>
      <c r="D767" s="26" t="n"/>
      <c r="E767" s="26" t="n"/>
      <c r="F767" s="26" t="n"/>
      <c r="G767" s="26" t="n"/>
      <c r="H767" s="26" t="n"/>
      <c r="I767" s="26" t="n"/>
    </row>
    <row r="768" ht="15" customHeight="1">
      <c r="A768" s="26" t="n"/>
      <c r="B768" s="26" t="n"/>
      <c r="C768" s="26" t="n"/>
      <c r="D768" s="26" t="n"/>
      <c r="E768" s="26" t="n"/>
      <c r="F768" s="26" t="n"/>
      <c r="G768" s="26" t="n"/>
      <c r="H768" s="26" t="n"/>
      <c r="I768" s="26" t="n"/>
    </row>
    <row r="769" ht="15" customHeight="1">
      <c r="A769" s="26" t="n"/>
      <c r="B769" s="26" t="n"/>
      <c r="C769" s="26" t="n"/>
      <c r="D769" s="26" t="n"/>
      <c r="E769" s="26" t="n"/>
      <c r="F769" s="26" t="n"/>
      <c r="G769" s="26" t="n"/>
      <c r="H769" s="26" t="n"/>
      <c r="I769" s="26" t="n"/>
    </row>
    <row r="770" ht="15" customHeight="1">
      <c r="A770" s="26" t="n"/>
      <c r="B770" s="26" t="n"/>
      <c r="C770" s="26" t="n"/>
      <c r="D770" s="26" t="n"/>
      <c r="E770" s="26" t="n"/>
      <c r="F770" s="26" t="n"/>
      <c r="G770" s="26" t="n"/>
      <c r="H770" s="26" t="n"/>
      <c r="I770" s="26" t="n"/>
    </row>
    <row r="771" ht="15" customHeight="1">
      <c r="A771" s="26" t="n"/>
      <c r="B771" s="26" t="n"/>
      <c r="C771" s="26" t="n"/>
      <c r="D771" s="26" t="n"/>
      <c r="E771" s="26" t="n"/>
      <c r="F771" s="26" t="n"/>
      <c r="G771" s="26" t="n"/>
      <c r="H771" s="26" t="n"/>
      <c r="I771" s="26" t="n"/>
    </row>
    <row r="772" ht="15" customHeight="1">
      <c r="A772" s="26" t="n"/>
      <c r="B772" s="26" t="n"/>
      <c r="C772" s="26" t="n"/>
      <c r="D772" s="26" t="n"/>
      <c r="E772" s="26" t="n"/>
      <c r="F772" s="26" t="n"/>
      <c r="G772" s="26" t="n"/>
      <c r="H772" s="26" t="n"/>
      <c r="I772" s="26" t="n"/>
    </row>
    <row r="773" ht="15" customHeight="1">
      <c r="A773" s="26" t="n"/>
      <c r="B773" s="26" t="n"/>
      <c r="C773" s="26" t="n"/>
      <c r="D773" s="26" t="n"/>
      <c r="E773" s="26" t="n"/>
      <c r="F773" s="26" t="n"/>
      <c r="G773" s="26" t="n"/>
      <c r="H773" s="26" t="n"/>
      <c r="I773" s="26" t="n"/>
    </row>
    <row r="774" ht="15" customHeight="1">
      <c r="A774" s="26" t="n"/>
      <c r="B774" s="26" t="n"/>
      <c r="C774" s="26" t="n"/>
      <c r="D774" s="26" t="n"/>
      <c r="E774" s="26" t="n"/>
      <c r="F774" s="26" t="n"/>
      <c r="G774" s="26" t="n"/>
      <c r="H774" s="26" t="n"/>
      <c r="I774" s="26" t="n"/>
    </row>
    <row r="775" ht="15" customHeight="1">
      <c r="A775" s="26" t="n"/>
      <c r="B775" s="26" t="n"/>
      <c r="C775" s="26" t="n"/>
      <c r="D775" s="26" t="n"/>
      <c r="E775" s="26" t="n"/>
      <c r="F775" s="26" t="n"/>
      <c r="G775" s="26" t="n"/>
      <c r="H775" s="26" t="n"/>
      <c r="I775" s="26" t="n"/>
    </row>
    <row r="776" ht="15" customHeight="1">
      <c r="A776" s="26" t="n"/>
      <c r="B776" s="26" t="n"/>
      <c r="C776" s="26" t="n"/>
      <c r="D776" s="26" t="n"/>
      <c r="E776" s="26" t="n"/>
      <c r="F776" s="26" t="n"/>
      <c r="G776" s="26" t="n"/>
      <c r="H776" s="26" t="n"/>
      <c r="I776" s="26" t="n"/>
    </row>
    <row r="777" ht="15" customHeight="1">
      <c r="A777" s="26" t="n"/>
      <c r="B777" s="26" t="n"/>
      <c r="C777" s="26" t="n"/>
      <c r="D777" s="26" t="n"/>
      <c r="E777" s="26" t="n"/>
      <c r="F777" s="26" t="n"/>
      <c r="G777" s="26" t="n"/>
      <c r="H777" s="26" t="n"/>
      <c r="I777" s="26" t="n"/>
    </row>
    <row r="778" ht="15" customHeight="1">
      <c r="A778" s="26" t="n"/>
      <c r="B778" s="26" t="n"/>
      <c r="C778" s="26" t="n"/>
      <c r="D778" s="26" t="n"/>
      <c r="E778" s="26" t="n"/>
      <c r="F778" s="26" t="n"/>
      <c r="G778" s="26" t="n"/>
      <c r="H778" s="26" t="n"/>
      <c r="I778" s="26" t="n"/>
    </row>
    <row r="779" ht="15" customHeight="1">
      <c r="A779" s="26" t="n"/>
      <c r="B779" s="26" t="n"/>
      <c r="C779" s="26" t="n"/>
      <c r="D779" s="26" t="n"/>
      <c r="E779" s="26" t="n"/>
      <c r="F779" s="26" t="n"/>
      <c r="G779" s="26" t="n"/>
      <c r="H779" s="26" t="n"/>
      <c r="I779" s="26" t="n"/>
    </row>
    <row r="780" ht="15" customHeight="1">
      <c r="A780" s="26" t="n"/>
      <c r="B780" s="26" t="n"/>
      <c r="C780" s="26" t="n"/>
      <c r="D780" s="26" t="n"/>
      <c r="E780" s="26" t="n"/>
      <c r="F780" s="26" t="n"/>
      <c r="G780" s="26" t="n"/>
      <c r="H780" s="26" t="n"/>
      <c r="I780" s="26" t="n"/>
    </row>
    <row r="781" ht="15" customHeight="1">
      <c r="A781" s="26" t="n"/>
      <c r="B781" s="26" t="n"/>
      <c r="C781" s="26" t="n"/>
      <c r="D781" s="26" t="n"/>
      <c r="E781" s="26" t="n"/>
      <c r="F781" s="26" t="n"/>
      <c r="G781" s="26" t="n"/>
      <c r="H781" s="26" t="n"/>
      <c r="I781" s="26" t="n"/>
    </row>
    <row r="782" ht="15" customHeight="1">
      <c r="A782" s="26" t="n"/>
      <c r="B782" s="26" t="n"/>
      <c r="C782" s="26" t="n"/>
      <c r="D782" s="26" t="n"/>
      <c r="E782" s="26" t="n"/>
      <c r="F782" s="26" t="n"/>
      <c r="G782" s="26" t="n"/>
      <c r="H782" s="26" t="n"/>
      <c r="I782" s="26" t="n"/>
    </row>
    <row r="783" ht="15" customHeight="1">
      <c r="A783" s="26" t="n"/>
      <c r="B783" s="26" t="n"/>
      <c r="C783" s="26" t="n"/>
      <c r="D783" s="26" t="n"/>
      <c r="E783" s="26" t="n"/>
      <c r="F783" s="26" t="n"/>
      <c r="G783" s="26" t="n"/>
      <c r="H783" s="26" t="n"/>
      <c r="I783" s="26" t="n"/>
    </row>
    <row r="784" ht="15" customHeight="1">
      <c r="A784" s="26" t="n"/>
      <c r="B784" s="26" t="n"/>
      <c r="C784" s="26" t="n"/>
      <c r="D784" s="26" t="n"/>
      <c r="E784" s="26" t="n"/>
      <c r="F784" s="26" t="n"/>
      <c r="G784" s="26" t="n"/>
      <c r="H784" s="26" t="n"/>
      <c r="I784" s="26" t="n"/>
    </row>
    <row r="785" ht="15" customHeight="1">
      <c r="A785" s="26" t="n"/>
      <c r="B785" s="26" t="n"/>
      <c r="C785" s="26" t="n"/>
      <c r="D785" s="26" t="n"/>
      <c r="E785" s="26" t="n"/>
      <c r="F785" s="26" t="n"/>
      <c r="G785" s="26" t="n"/>
      <c r="H785" s="26" t="n"/>
      <c r="I785" s="26" t="n"/>
    </row>
    <row r="786" ht="15" customHeight="1">
      <c r="A786" s="26" t="n"/>
      <c r="B786" s="26" t="n"/>
      <c r="C786" s="26" t="n"/>
      <c r="D786" s="26" t="n"/>
      <c r="E786" s="26" t="n"/>
      <c r="F786" s="26" t="n"/>
      <c r="G786" s="26" t="n"/>
      <c r="H786" s="26" t="n"/>
      <c r="I786" s="26" t="n"/>
    </row>
    <row r="787" ht="15" customHeight="1">
      <c r="A787" s="26" t="n"/>
      <c r="B787" s="26" t="n"/>
      <c r="C787" s="26" t="n"/>
      <c r="D787" s="26" t="n"/>
      <c r="E787" s="26" t="n"/>
      <c r="F787" s="26" t="n"/>
      <c r="G787" s="26" t="n"/>
      <c r="H787" s="26" t="n"/>
      <c r="I787" s="26" t="n"/>
    </row>
    <row r="788" ht="15" customHeight="1">
      <c r="A788" s="26" t="n"/>
      <c r="B788" s="26" t="n"/>
      <c r="C788" s="26" t="n"/>
      <c r="D788" s="26" t="n"/>
      <c r="E788" s="26" t="n"/>
      <c r="F788" s="26" t="n"/>
      <c r="G788" s="26" t="n"/>
      <c r="H788" s="26" t="n"/>
      <c r="I788" s="26" t="n"/>
    </row>
    <row r="789" ht="15" customHeight="1">
      <c r="A789" s="26" t="n"/>
      <c r="B789" s="26" t="n"/>
      <c r="C789" s="26" t="n"/>
      <c r="D789" s="26" t="n"/>
      <c r="E789" s="26" t="n"/>
      <c r="F789" s="26" t="n"/>
      <c r="G789" s="26" t="n"/>
      <c r="H789" s="26" t="n"/>
      <c r="I789" s="26" t="n"/>
    </row>
    <row r="790" ht="15" customHeight="1">
      <c r="A790" s="26" t="n"/>
      <c r="B790" s="26" t="n"/>
      <c r="C790" s="26" t="n"/>
      <c r="D790" s="26" t="n"/>
      <c r="E790" s="26" t="n"/>
      <c r="F790" s="26" t="n"/>
      <c r="G790" s="26" t="n"/>
      <c r="H790" s="26" t="n"/>
      <c r="I790" s="26" t="n"/>
    </row>
    <row r="791" ht="15" customHeight="1">
      <c r="A791" s="26" t="n"/>
      <c r="B791" s="26" t="n"/>
      <c r="C791" s="26" t="n"/>
      <c r="D791" s="26" t="n"/>
      <c r="E791" s="26" t="n"/>
      <c r="F791" s="26" t="n"/>
      <c r="G791" s="26" t="n"/>
      <c r="H791" s="26" t="n"/>
      <c r="I791" s="26" t="n"/>
    </row>
    <row r="792" ht="15" customHeight="1">
      <c r="A792" s="26" t="n"/>
      <c r="B792" s="26" t="n"/>
      <c r="C792" s="26" t="n"/>
      <c r="D792" s="26" t="n"/>
      <c r="E792" s="26" t="n"/>
      <c r="F792" s="26" t="n"/>
      <c r="G792" s="26" t="n"/>
      <c r="H792" s="26" t="n"/>
      <c r="I792" s="26" t="n"/>
    </row>
    <row r="793" ht="15" customHeight="1">
      <c r="A793" s="26" t="n"/>
      <c r="B793" s="26" t="n"/>
      <c r="C793" s="26" t="n"/>
      <c r="D793" s="26" t="n"/>
      <c r="E793" s="26" t="n"/>
      <c r="F793" s="26" t="n"/>
      <c r="G793" s="26" t="n"/>
      <c r="H793" s="26" t="n"/>
      <c r="I793" s="26" t="n"/>
    </row>
    <row r="794" ht="15" customHeight="1">
      <c r="A794" s="26" t="n"/>
      <c r="B794" s="26" t="n"/>
      <c r="C794" s="26" t="n"/>
      <c r="D794" s="26" t="n"/>
      <c r="E794" s="26" t="n"/>
      <c r="F794" s="26" t="n"/>
      <c r="G794" s="26" t="n"/>
      <c r="H794" s="26" t="n"/>
      <c r="I794" s="26" t="n"/>
    </row>
    <row r="795" ht="15" customHeight="1">
      <c r="A795" s="26" t="n"/>
      <c r="B795" s="26" t="n"/>
      <c r="C795" s="26" t="n"/>
      <c r="D795" s="26" t="n"/>
      <c r="E795" s="26" t="n"/>
      <c r="F795" s="26" t="n"/>
      <c r="G795" s="26" t="n"/>
      <c r="H795" s="26" t="n"/>
      <c r="I795" s="26" t="n"/>
    </row>
    <row r="796" ht="15" customHeight="1">
      <c r="A796" s="26" t="n"/>
      <c r="B796" s="26" t="n"/>
      <c r="C796" s="26" t="n"/>
      <c r="D796" s="26" t="n"/>
      <c r="E796" s="26" t="n"/>
      <c r="F796" s="26" t="n"/>
      <c r="G796" s="26" t="n"/>
      <c r="H796" s="26" t="n"/>
      <c r="I796" s="26" t="n"/>
    </row>
    <row r="797" ht="15" customHeight="1">
      <c r="A797" s="26" t="n"/>
      <c r="B797" s="26" t="n"/>
      <c r="C797" s="26" t="n"/>
      <c r="D797" s="26" t="n"/>
      <c r="E797" s="26" t="n"/>
      <c r="F797" s="26" t="n"/>
      <c r="G797" s="26" t="n"/>
      <c r="H797" s="26" t="n"/>
      <c r="I797" s="26" t="n"/>
    </row>
    <row r="798" ht="15" customHeight="1">
      <c r="A798" s="26" t="n"/>
      <c r="B798" s="26" t="n"/>
      <c r="C798" s="26" t="n"/>
      <c r="D798" s="26" t="n"/>
      <c r="E798" s="26" t="n"/>
      <c r="F798" s="26" t="n"/>
      <c r="G798" s="26" t="n"/>
      <c r="H798" s="26" t="n"/>
      <c r="I798" s="26" t="n"/>
    </row>
    <row r="799" ht="15" customHeight="1">
      <c r="A799" s="26" t="n"/>
      <c r="B799" s="26" t="n"/>
      <c r="C799" s="26" t="n"/>
      <c r="D799" s="26" t="n"/>
      <c r="E799" s="26" t="n"/>
      <c r="F799" s="26" t="n"/>
      <c r="G799" s="26" t="n"/>
      <c r="H799" s="26" t="n"/>
      <c r="I799" s="26" t="n"/>
    </row>
    <row r="800" ht="15" customHeight="1">
      <c r="A800" s="26" t="n"/>
      <c r="B800" s="26" t="n"/>
      <c r="C800" s="26" t="n"/>
      <c r="D800" s="26" t="n"/>
      <c r="E800" s="26" t="n"/>
      <c r="F800" s="26" t="n"/>
      <c r="G800" s="26" t="n"/>
      <c r="H800" s="26" t="n"/>
      <c r="I800" s="26" t="n"/>
    </row>
    <row r="801" ht="15" customHeight="1">
      <c r="A801" s="26" t="n"/>
      <c r="B801" s="26" t="n"/>
      <c r="C801" s="26" t="n"/>
      <c r="D801" s="26" t="n"/>
      <c r="E801" s="26" t="n"/>
      <c r="F801" s="26" t="n"/>
      <c r="G801" s="26" t="n"/>
      <c r="H801" s="26" t="n"/>
      <c r="I801" s="26" t="n"/>
    </row>
    <row r="802" ht="15" customHeight="1">
      <c r="A802" s="26" t="n"/>
      <c r="B802" s="26" t="n"/>
      <c r="C802" s="26" t="n"/>
      <c r="D802" s="26" t="n"/>
      <c r="E802" s="26" t="n"/>
      <c r="F802" s="26" t="n"/>
      <c r="G802" s="26" t="n"/>
      <c r="H802" s="26" t="n"/>
      <c r="I802" s="26" t="n"/>
    </row>
    <row r="803" ht="15" customHeight="1">
      <c r="A803" s="26" t="n"/>
      <c r="B803" s="26" t="n"/>
      <c r="C803" s="26" t="n"/>
      <c r="D803" s="26" t="n"/>
      <c r="E803" s="26" t="n"/>
      <c r="F803" s="26" t="n"/>
      <c r="G803" s="26" t="n"/>
      <c r="H803" s="26" t="n"/>
      <c r="I803" s="26" t="n"/>
    </row>
    <row r="804" ht="15" customHeight="1">
      <c r="A804" s="26" t="n"/>
      <c r="B804" s="26" t="n"/>
      <c r="C804" s="26" t="n"/>
      <c r="D804" s="26" t="n"/>
      <c r="E804" s="26" t="n"/>
      <c r="F804" s="26" t="n"/>
      <c r="G804" s="26" t="n"/>
      <c r="H804" s="26" t="n"/>
      <c r="I804" s="26" t="n"/>
    </row>
    <row r="805" ht="15" customHeight="1">
      <c r="A805" s="26" t="n"/>
      <c r="B805" s="26" t="n"/>
      <c r="C805" s="26" t="n"/>
      <c r="D805" s="26" t="n"/>
      <c r="E805" s="26" t="n"/>
      <c r="F805" s="26" t="n"/>
      <c r="G805" s="26" t="n"/>
      <c r="H805" s="26" t="n"/>
      <c r="I805" s="26" t="n"/>
    </row>
    <row r="806" ht="15" customHeight="1">
      <c r="A806" s="26" t="n"/>
      <c r="B806" s="26" t="n"/>
      <c r="C806" s="26" t="n"/>
      <c r="D806" s="26" t="n"/>
      <c r="E806" s="26" t="n"/>
      <c r="F806" s="26" t="n"/>
      <c r="G806" s="26" t="n"/>
      <c r="H806" s="26" t="n"/>
      <c r="I806" s="26" t="n"/>
    </row>
    <row r="807" ht="15" customHeight="1">
      <c r="A807" s="26" t="n"/>
      <c r="B807" s="26" t="n"/>
      <c r="C807" s="26" t="n"/>
      <c r="D807" s="26" t="n"/>
      <c r="E807" s="26" t="n"/>
      <c r="F807" s="26" t="n"/>
      <c r="G807" s="26" t="n"/>
      <c r="H807" s="26" t="n"/>
      <c r="I807" s="26" t="n"/>
    </row>
    <row r="808" ht="15" customHeight="1">
      <c r="A808" s="26" t="n"/>
      <c r="B808" s="26" t="n"/>
      <c r="C808" s="26" t="n"/>
      <c r="D808" s="26" t="n"/>
      <c r="E808" s="26" t="n"/>
      <c r="F808" s="26" t="n"/>
      <c r="G808" s="26" t="n"/>
      <c r="H808" s="26" t="n"/>
      <c r="I808" s="26" t="n"/>
    </row>
    <row r="809" ht="15" customHeight="1">
      <c r="A809" s="26" t="n"/>
      <c r="B809" s="26" t="n"/>
      <c r="C809" s="26" t="n"/>
      <c r="D809" s="26" t="n"/>
      <c r="E809" s="26" t="n"/>
      <c r="F809" s="26" t="n"/>
      <c r="G809" s="26" t="n"/>
      <c r="H809" s="26" t="n"/>
      <c r="I809" s="26" t="n"/>
    </row>
    <row r="810" ht="15" customHeight="1">
      <c r="A810" s="26" t="n"/>
      <c r="B810" s="26" t="n"/>
      <c r="C810" s="26" t="n"/>
      <c r="D810" s="26" t="n"/>
      <c r="E810" s="26" t="n"/>
      <c r="F810" s="26" t="n"/>
      <c r="G810" s="26" t="n"/>
      <c r="H810" s="26" t="n"/>
      <c r="I810" s="26" t="n"/>
    </row>
    <row r="811" ht="15" customHeight="1">
      <c r="A811" s="26" t="n"/>
      <c r="B811" s="26" t="n"/>
      <c r="C811" s="26" t="n"/>
      <c r="D811" s="26" t="n"/>
      <c r="E811" s="26" t="n"/>
      <c r="F811" s="26" t="n"/>
      <c r="G811" s="26" t="n"/>
      <c r="H811" s="26" t="n"/>
      <c r="I811" s="26" t="n"/>
    </row>
    <row r="812" ht="15" customHeight="1">
      <c r="A812" s="26" t="n"/>
      <c r="B812" s="26" t="n"/>
      <c r="C812" s="26" t="n"/>
      <c r="D812" s="26" t="n"/>
      <c r="E812" s="26" t="n"/>
      <c r="F812" s="26" t="n"/>
      <c r="G812" s="26" t="n"/>
      <c r="H812" s="26" t="n"/>
      <c r="I812" s="26" t="n"/>
    </row>
    <row r="813" ht="15" customHeight="1">
      <c r="A813" s="26" t="n"/>
      <c r="B813" s="26" t="n"/>
      <c r="C813" s="26" t="n"/>
      <c r="D813" s="26" t="n"/>
      <c r="E813" s="26" t="n"/>
      <c r="F813" s="26" t="n"/>
      <c r="G813" s="26" t="n"/>
      <c r="H813" s="26" t="n"/>
      <c r="I813" s="26" t="n"/>
    </row>
    <row r="814" ht="15" customHeight="1">
      <c r="A814" s="26" t="n"/>
      <c r="B814" s="26" t="n"/>
      <c r="C814" s="26" t="n"/>
      <c r="D814" s="26" t="n"/>
      <c r="E814" s="26" t="n"/>
      <c r="F814" s="26" t="n"/>
      <c r="G814" s="26" t="n"/>
      <c r="H814" s="26" t="n"/>
      <c r="I814" s="26" t="n"/>
    </row>
    <row r="815" ht="15" customHeight="1">
      <c r="A815" s="26" t="n"/>
      <c r="B815" s="26" t="n"/>
      <c r="C815" s="26" t="n"/>
      <c r="D815" s="26" t="n"/>
      <c r="E815" s="26" t="n"/>
      <c r="F815" s="26" t="n"/>
      <c r="G815" s="26" t="n"/>
      <c r="H815" s="26" t="n"/>
      <c r="I815" s="26" t="n"/>
    </row>
    <row r="816" ht="15" customHeight="1">
      <c r="A816" s="26" t="n"/>
      <c r="B816" s="26" t="n"/>
      <c r="C816" s="26" t="n"/>
      <c r="D816" s="26" t="n"/>
      <c r="E816" s="26" t="n"/>
      <c r="F816" s="26" t="n"/>
      <c r="G816" s="26" t="n"/>
      <c r="H816" s="26" t="n"/>
      <c r="I816" s="26" t="n"/>
    </row>
    <row r="817" ht="15" customHeight="1">
      <c r="A817" s="26" t="n"/>
      <c r="B817" s="26" t="n"/>
      <c r="C817" s="26" t="n"/>
      <c r="D817" s="26" t="n"/>
      <c r="E817" s="26" t="n"/>
      <c r="F817" s="26" t="n"/>
      <c r="G817" s="26" t="n"/>
      <c r="H817" s="26" t="n"/>
      <c r="I817" s="26" t="n"/>
    </row>
    <row r="818" ht="15" customHeight="1">
      <c r="A818" s="26" t="n"/>
      <c r="B818" s="26" t="n"/>
      <c r="C818" s="26" t="n"/>
      <c r="D818" s="26" t="n"/>
      <c r="E818" s="26" t="n"/>
      <c r="F818" s="26" t="n"/>
      <c r="G818" s="26" t="n"/>
      <c r="H818" s="26" t="n"/>
      <c r="I818" s="26" t="n"/>
    </row>
    <row r="819" ht="15" customHeight="1">
      <c r="A819" s="26" t="n"/>
      <c r="B819" s="26" t="n"/>
      <c r="C819" s="26" t="n"/>
      <c r="D819" s="26" t="n"/>
      <c r="E819" s="26" t="n"/>
      <c r="F819" s="26" t="n"/>
      <c r="G819" s="26" t="n"/>
      <c r="H819" s="26" t="n"/>
      <c r="I819" s="26" t="n"/>
    </row>
    <row r="820" ht="15" customHeight="1">
      <c r="A820" s="26" t="n"/>
      <c r="B820" s="26" t="n"/>
      <c r="C820" s="26" t="n"/>
      <c r="D820" s="26" t="n"/>
      <c r="E820" s="26" t="n"/>
      <c r="F820" s="26" t="n"/>
      <c r="G820" s="26" t="n"/>
      <c r="H820" s="26" t="n"/>
      <c r="I820" s="26" t="n"/>
    </row>
    <row r="821" ht="15" customHeight="1">
      <c r="A821" s="26" t="n"/>
      <c r="B821" s="26" t="n"/>
      <c r="C821" s="26" t="n"/>
      <c r="D821" s="26" t="n"/>
      <c r="E821" s="26" t="n"/>
      <c r="F821" s="26" t="n"/>
      <c r="G821" s="26" t="n"/>
      <c r="H821" s="26" t="n"/>
      <c r="I821" s="26" t="n"/>
    </row>
    <row r="822" ht="15" customHeight="1">
      <c r="A822" s="26" t="n"/>
      <c r="B822" s="26" t="n"/>
      <c r="C822" s="26" t="n"/>
      <c r="D822" s="26" t="n"/>
      <c r="E822" s="26" t="n"/>
      <c r="F822" s="26" t="n"/>
      <c r="G822" s="26" t="n"/>
      <c r="H822" s="26" t="n"/>
      <c r="I822" s="26" t="n"/>
    </row>
    <row r="823" ht="15" customHeight="1">
      <c r="A823" s="26" t="n"/>
      <c r="B823" s="26" t="n"/>
      <c r="C823" s="26" t="n"/>
      <c r="D823" s="26" t="n"/>
      <c r="E823" s="26" t="n"/>
      <c r="F823" s="26" t="n"/>
      <c r="G823" s="26" t="n"/>
      <c r="H823" s="26" t="n"/>
      <c r="I823" s="26" t="n"/>
    </row>
    <row r="824" ht="15" customHeight="1">
      <c r="A824" s="26" t="n"/>
      <c r="B824" s="26" t="n"/>
      <c r="C824" s="26" t="n"/>
      <c r="D824" s="26" t="n"/>
      <c r="E824" s="26" t="n"/>
      <c r="F824" s="26" t="n"/>
      <c r="G824" s="26" t="n"/>
      <c r="H824" s="26" t="n"/>
      <c r="I824" s="26" t="n"/>
    </row>
    <row r="825" ht="15" customHeight="1">
      <c r="A825" s="26" t="n"/>
      <c r="B825" s="26" t="n"/>
      <c r="C825" s="26" t="n"/>
      <c r="D825" s="26" t="n"/>
      <c r="E825" s="26" t="n"/>
      <c r="F825" s="26" t="n"/>
      <c r="G825" s="26" t="n"/>
      <c r="H825" s="26" t="n"/>
      <c r="I825" s="26" t="n"/>
    </row>
    <row r="826" ht="15" customHeight="1">
      <c r="A826" s="26" t="n"/>
      <c r="B826" s="26" t="n"/>
      <c r="C826" s="26" t="n"/>
      <c r="D826" s="26" t="n"/>
      <c r="E826" s="26" t="n"/>
      <c r="F826" s="26" t="n"/>
      <c r="G826" s="26" t="n"/>
      <c r="H826" s="26" t="n"/>
      <c r="I826" s="26" t="n"/>
    </row>
    <row r="827" ht="15" customHeight="1">
      <c r="A827" s="26" t="n"/>
      <c r="B827" s="26" t="n"/>
      <c r="C827" s="26" t="n"/>
      <c r="D827" s="26" t="n"/>
      <c r="E827" s="26" t="n"/>
      <c r="F827" s="26" t="n"/>
      <c r="G827" s="26" t="n"/>
      <c r="H827" s="26" t="n"/>
      <c r="I827" s="26" t="n"/>
    </row>
    <row r="828" ht="15" customHeight="1">
      <c r="A828" s="26" t="n"/>
      <c r="B828" s="26" t="n"/>
      <c r="C828" s="26" t="n"/>
      <c r="D828" s="26" t="n"/>
      <c r="E828" s="26" t="n"/>
      <c r="F828" s="26" t="n"/>
      <c r="G828" s="26" t="n"/>
      <c r="H828" s="26" t="n"/>
      <c r="I828" s="26" t="n"/>
    </row>
    <row r="829" ht="15" customHeight="1">
      <c r="A829" s="26" t="n"/>
      <c r="B829" s="26" t="n"/>
      <c r="C829" s="26" t="n"/>
      <c r="D829" s="26" t="n"/>
      <c r="E829" s="26" t="n"/>
      <c r="F829" s="26" t="n"/>
      <c r="G829" s="26" t="n"/>
      <c r="H829" s="26" t="n"/>
      <c r="I829" s="26" t="n"/>
    </row>
    <row r="830" ht="15" customHeight="1">
      <c r="A830" s="26" t="n"/>
      <c r="B830" s="26" t="n"/>
      <c r="C830" s="26" t="n"/>
      <c r="D830" s="26" t="n"/>
      <c r="E830" s="26" t="n"/>
      <c r="F830" s="26" t="n"/>
      <c r="G830" s="26" t="n"/>
      <c r="H830" s="26" t="n"/>
      <c r="I830" s="26" t="n"/>
    </row>
    <row r="831" ht="15" customHeight="1">
      <c r="A831" s="26" t="n"/>
      <c r="B831" s="26" t="n"/>
      <c r="C831" s="26" t="n"/>
      <c r="D831" s="26" t="n"/>
      <c r="E831" s="26" t="n"/>
      <c r="F831" s="26" t="n"/>
      <c r="G831" s="26" t="n"/>
      <c r="H831" s="26" t="n"/>
      <c r="I831" s="26" t="n"/>
    </row>
    <row r="832" ht="15" customHeight="1">
      <c r="A832" s="26" t="n"/>
      <c r="B832" s="26" t="n"/>
      <c r="C832" s="26" t="n"/>
      <c r="D832" s="26" t="n"/>
      <c r="E832" s="26" t="n"/>
      <c r="F832" s="26" t="n"/>
      <c r="G832" s="26" t="n"/>
      <c r="H832" s="26" t="n"/>
      <c r="I832" s="26" t="n"/>
    </row>
    <row r="833" ht="15" customHeight="1">
      <c r="A833" s="26" t="n"/>
      <c r="B833" s="26" t="n"/>
      <c r="C833" s="26" t="n"/>
      <c r="D833" s="26" t="n"/>
      <c r="E833" s="26" t="n"/>
      <c r="F833" s="26" t="n"/>
      <c r="G833" s="26" t="n"/>
      <c r="H833" s="26" t="n"/>
      <c r="I833" s="26" t="n"/>
    </row>
    <row r="834" ht="15" customHeight="1">
      <c r="A834" s="26" t="n"/>
      <c r="B834" s="26" t="n"/>
      <c r="C834" s="26" t="n"/>
      <c r="D834" s="26" t="n"/>
      <c r="E834" s="26" t="n"/>
      <c r="F834" s="26" t="n"/>
      <c r="G834" s="26" t="n"/>
      <c r="H834" s="26" t="n"/>
      <c r="I834" s="26" t="n"/>
    </row>
    <row r="835" ht="15" customHeight="1">
      <c r="A835" s="26" t="n"/>
      <c r="B835" s="26" t="n"/>
      <c r="C835" s="26" t="n"/>
      <c r="D835" s="26" t="n"/>
      <c r="E835" s="26" t="n"/>
      <c r="F835" s="26" t="n"/>
      <c r="G835" s="26" t="n"/>
      <c r="H835" s="26" t="n"/>
      <c r="I835" s="26" t="n"/>
    </row>
    <row r="836" ht="15" customHeight="1">
      <c r="A836" s="26" t="n"/>
      <c r="B836" s="26" t="n"/>
      <c r="C836" s="26" t="n"/>
      <c r="D836" s="26" t="n"/>
      <c r="E836" s="26" t="n"/>
      <c r="F836" s="26" t="n"/>
      <c r="G836" s="26" t="n"/>
      <c r="H836" s="26" t="n"/>
      <c r="I836" s="26" t="n"/>
    </row>
    <row r="837" ht="15" customHeight="1">
      <c r="A837" s="26" t="n"/>
      <c r="B837" s="26" t="n"/>
      <c r="C837" s="26" t="n"/>
      <c r="D837" s="26" t="n"/>
      <c r="E837" s="26" t="n"/>
      <c r="F837" s="26" t="n"/>
      <c r="G837" s="26" t="n"/>
      <c r="H837" s="26" t="n"/>
      <c r="I837" s="26" t="n"/>
    </row>
    <row r="838" ht="15" customHeight="1">
      <c r="A838" s="26" t="n"/>
      <c r="B838" s="26" t="n"/>
      <c r="C838" s="26" t="n"/>
      <c r="D838" s="26" t="n"/>
      <c r="E838" s="26" t="n"/>
      <c r="F838" s="26" t="n"/>
      <c r="G838" s="26" t="n"/>
      <c r="H838" s="26" t="n"/>
      <c r="I838" s="26" t="n"/>
    </row>
    <row r="839" ht="15" customHeight="1">
      <c r="A839" s="26" t="n"/>
      <c r="B839" s="26" t="n"/>
      <c r="C839" s="26" t="n"/>
      <c r="D839" s="26" t="n"/>
      <c r="E839" s="26" t="n"/>
      <c r="F839" s="26" t="n"/>
      <c r="G839" s="26" t="n"/>
      <c r="H839" s="26" t="n"/>
      <c r="I839" s="26" t="n"/>
    </row>
    <row r="840" ht="15" customHeight="1">
      <c r="A840" s="26" t="n"/>
      <c r="B840" s="26" t="n"/>
      <c r="C840" s="26" t="n"/>
      <c r="D840" s="26" t="n"/>
      <c r="E840" s="26" t="n"/>
      <c r="F840" s="26" t="n"/>
      <c r="G840" s="26" t="n"/>
      <c r="H840" s="26" t="n"/>
      <c r="I840" s="26" t="n"/>
    </row>
    <row r="841" ht="15" customHeight="1">
      <c r="A841" s="26" t="n"/>
      <c r="B841" s="26" t="n"/>
      <c r="C841" s="26" t="n"/>
      <c r="D841" s="26" t="n"/>
      <c r="E841" s="26" t="n"/>
      <c r="F841" s="26" t="n"/>
      <c r="G841" s="26" t="n"/>
      <c r="H841" s="26" t="n"/>
      <c r="I841" s="26" t="n"/>
    </row>
    <row r="842" ht="15" customHeight="1">
      <c r="A842" s="26" t="n"/>
      <c r="B842" s="26" t="n"/>
      <c r="C842" s="26" t="n"/>
      <c r="D842" s="26" t="n"/>
      <c r="E842" s="26" t="n"/>
      <c r="F842" s="26" t="n"/>
      <c r="G842" s="26" t="n"/>
      <c r="H842" s="26" t="n"/>
      <c r="I842" s="26" t="n"/>
    </row>
    <row r="843" ht="15" customHeight="1">
      <c r="A843" s="26" t="n"/>
      <c r="B843" s="26" t="n"/>
      <c r="C843" s="26" t="n"/>
      <c r="D843" s="26" t="n"/>
      <c r="E843" s="26" t="n"/>
      <c r="F843" s="26" t="n"/>
      <c r="G843" s="26" t="n"/>
      <c r="H843" s="26" t="n"/>
      <c r="I843" s="26" t="n"/>
    </row>
    <row r="844" ht="15" customHeight="1">
      <c r="A844" s="26" t="n"/>
      <c r="B844" s="26" t="n"/>
      <c r="C844" s="26" t="n"/>
      <c r="D844" s="26" t="n"/>
      <c r="E844" s="26" t="n"/>
      <c r="F844" s="26" t="n"/>
      <c r="G844" s="26" t="n"/>
      <c r="H844" s="26" t="n"/>
      <c r="I844" s="26" t="n"/>
    </row>
    <row r="845" ht="15" customHeight="1">
      <c r="A845" s="26" t="n"/>
      <c r="B845" s="26" t="n"/>
      <c r="C845" s="26" t="n"/>
      <c r="D845" s="26" t="n"/>
      <c r="E845" s="26" t="n"/>
      <c r="F845" s="26" t="n"/>
      <c r="G845" s="26" t="n"/>
      <c r="H845" s="26" t="n"/>
      <c r="I845" s="26" t="n"/>
    </row>
    <row r="846" ht="15" customHeight="1">
      <c r="A846" s="26" t="n"/>
      <c r="B846" s="26" t="n"/>
      <c r="C846" s="26" t="n"/>
      <c r="D846" s="26" t="n"/>
      <c r="E846" s="26" t="n"/>
      <c r="F846" s="26" t="n"/>
      <c r="G846" s="26" t="n"/>
      <c r="H846" s="26" t="n"/>
      <c r="I846" s="26" t="n"/>
    </row>
    <row r="847" ht="15" customHeight="1">
      <c r="A847" s="26" t="n"/>
      <c r="B847" s="26" t="n"/>
      <c r="C847" s="26" t="n"/>
      <c r="D847" s="26" t="n"/>
      <c r="E847" s="26" t="n"/>
      <c r="F847" s="26" t="n"/>
      <c r="G847" s="26" t="n"/>
      <c r="H847" s="26" t="n"/>
      <c r="I847" s="26" t="n"/>
    </row>
    <row r="848" ht="15" customHeight="1">
      <c r="A848" s="26" t="n"/>
      <c r="B848" s="26" t="n"/>
      <c r="C848" s="26" t="n"/>
      <c r="D848" s="26" t="n"/>
      <c r="E848" s="26" t="n"/>
      <c r="F848" s="26" t="n"/>
      <c r="G848" s="26" t="n"/>
      <c r="H848" s="26" t="n"/>
      <c r="I848" s="26" t="n"/>
    </row>
    <row r="849" ht="15" customHeight="1">
      <c r="A849" s="26" t="n"/>
      <c r="B849" s="26" t="n"/>
      <c r="C849" s="26" t="n"/>
      <c r="D849" s="26" t="n"/>
      <c r="E849" s="26" t="n"/>
      <c r="F849" s="26" t="n"/>
      <c r="G849" s="26" t="n"/>
      <c r="H849" s="26" t="n"/>
      <c r="I849" s="26" t="n"/>
    </row>
    <row r="850" ht="15" customHeight="1">
      <c r="A850" s="26" t="n"/>
      <c r="B850" s="26" t="n"/>
      <c r="C850" s="26" t="n"/>
      <c r="D850" s="26" t="n"/>
      <c r="E850" s="26" t="n"/>
      <c r="F850" s="26" t="n"/>
      <c r="G850" s="26" t="n"/>
      <c r="H850" s="26" t="n"/>
      <c r="I850" s="26" t="n"/>
    </row>
    <row r="851" ht="15" customHeight="1">
      <c r="A851" s="26" t="n"/>
      <c r="B851" s="26" t="n"/>
      <c r="C851" s="26" t="n"/>
      <c r="D851" s="26" t="n"/>
      <c r="E851" s="26" t="n"/>
      <c r="F851" s="26" t="n"/>
      <c r="G851" s="26" t="n"/>
      <c r="H851" s="26" t="n"/>
      <c r="I851" s="26" t="n"/>
    </row>
    <row r="852" ht="15" customHeight="1">
      <c r="A852" s="26" t="n"/>
      <c r="B852" s="26" t="n"/>
      <c r="C852" s="26" t="n"/>
      <c r="D852" s="26" t="n"/>
      <c r="E852" s="26" t="n"/>
      <c r="F852" s="26" t="n"/>
      <c r="G852" s="26" t="n"/>
      <c r="H852" s="26" t="n"/>
      <c r="I852" s="26" t="n"/>
    </row>
    <row r="853" ht="15" customHeight="1">
      <c r="A853" s="26" t="n"/>
      <c r="B853" s="26" t="n"/>
      <c r="C853" s="26" t="n"/>
      <c r="D853" s="26" t="n"/>
      <c r="E853" s="26" t="n"/>
      <c r="F853" s="26" t="n"/>
      <c r="G853" s="26" t="n"/>
      <c r="H853" s="26" t="n"/>
      <c r="I853" s="26" t="n"/>
    </row>
    <row r="854" ht="15" customHeight="1">
      <c r="A854" s="26" t="n"/>
      <c r="B854" s="26" t="n"/>
      <c r="C854" s="26" t="n"/>
      <c r="D854" s="26" t="n"/>
      <c r="E854" s="26" t="n"/>
      <c r="F854" s="26" t="n"/>
      <c r="G854" s="26" t="n"/>
      <c r="H854" s="26" t="n"/>
      <c r="I854" s="26" t="n"/>
    </row>
    <row r="855" ht="15" customHeight="1">
      <c r="A855" s="26" t="n"/>
      <c r="B855" s="26" t="n"/>
      <c r="C855" s="26" t="n"/>
      <c r="D855" s="26" t="n"/>
      <c r="E855" s="26" t="n"/>
      <c r="F855" s="26" t="n"/>
      <c r="G855" s="26" t="n"/>
      <c r="H855" s="26" t="n"/>
      <c r="I855" s="26" t="n"/>
    </row>
    <row r="856" ht="15" customHeight="1">
      <c r="A856" s="26" t="n"/>
      <c r="B856" s="26" t="n"/>
      <c r="C856" s="26" t="n"/>
      <c r="D856" s="26" t="n"/>
      <c r="E856" s="26" t="n"/>
      <c r="F856" s="26" t="n"/>
      <c r="G856" s="26" t="n"/>
      <c r="H856" s="26" t="n"/>
      <c r="I856" s="26" t="n"/>
    </row>
    <row r="857" ht="15" customHeight="1">
      <c r="A857" s="26" t="n"/>
      <c r="B857" s="26" t="n"/>
      <c r="C857" s="26" t="n"/>
      <c r="D857" s="26" t="n"/>
      <c r="E857" s="26" t="n"/>
      <c r="F857" s="26" t="n"/>
      <c r="G857" s="26" t="n"/>
      <c r="H857" s="26" t="n"/>
      <c r="I857" s="26" t="n"/>
    </row>
    <row r="858" ht="15" customHeight="1">
      <c r="A858" s="26" t="n"/>
      <c r="B858" s="26" t="n"/>
      <c r="C858" s="26" t="n"/>
      <c r="D858" s="26" t="n"/>
      <c r="E858" s="26" t="n"/>
      <c r="F858" s="26" t="n"/>
      <c r="G858" s="26" t="n"/>
      <c r="H858" s="26" t="n"/>
      <c r="I858" s="26" t="n"/>
    </row>
    <row r="859" ht="15" customHeight="1">
      <c r="A859" s="26" t="n"/>
      <c r="B859" s="26" t="n"/>
      <c r="C859" s="26" t="n"/>
      <c r="D859" s="26" t="n"/>
      <c r="E859" s="26" t="n"/>
      <c r="F859" s="26" t="n"/>
      <c r="G859" s="26" t="n"/>
      <c r="H859" s="26" t="n"/>
      <c r="I859" s="26" t="n"/>
    </row>
    <row r="860" ht="15" customHeight="1">
      <c r="A860" s="26" t="n"/>
      <c r="B860" s="26" t="n"/>
      <c r="C860" s="26" t="n"/>
      <c r="D860" s="26" t="n"/>
      <c r="E860" s="26" t="n"/>
      <c r="F860" s="26" t="n"/>
      <c r="G860" s="26" t="n"/>
      <c r="H860" s="26" t="n"/>
      <c r="I860" s="26" t="n"/>
    </row>
    <row r="861" ht="15" customHeight="1">
      <c r="A861" s="26" t="n"/>
      <c r="B861" s="26" t="n"/>
      <c r="C861" s="26" t="n"/>
      <c r="D861" s="26" t="n"/>
      <c r="E861" s="26" t="n"/>
      <c r="F861" s="26" t="n"/>
      <c r="G861" s="26" t="n"/>
      <c r="H861" s="26" t="n"/>
      <c r="I861" s="26" t="n"/>
    </row>
    <row r="862" ht="15" customHeight="1">
      <c r="A862" s="26" t="n"/>
      <c r="B862" s="26" t="n"/>
      <c r="C862" s="26" t="n"/>
      <c r="D862" s="26" t="n"/>
      <c r="E862" s="26" t="n"/>
      <c r="F862" s="26" t="n"/>
      <c r="G862" s="26" t="n"/>
      <c r="H862" s="26" t="n"/>
      <c r="I862" s="26" t="n"/>
    </row>
    <row r="863" ht="15" customHeight="1">
      <c r="A863" s="26" t="n"/>
      <c r="B863" s="26" t="n"/>
      <c r="C863" s="26" t="n"/>
      <c r="D863" s="26" t="n"/>
      <c r="E863" s="26" t="n"/>
      <c r="F863" s="26" t="n"/>
      <c r="G863" s="26" t="n"/>
      <c r="H863" s="26" t="n"/>
      <c r="I863" s="26" t="n"/>
    </row>
    <row r="864" ht="15" customHeight="1">
      <c r="A864" s="26" t="n"/>
      <c r="B864" s="26" t="n"/>
      <c r="C864" s="26" t="n"/>
      <c r="D864" s="26" t="n"/>
      <c r="E864" s="26" t="n"/>
      <c r="F864" s="26" t="n"/>
      <c r="G864" s="26" t="n"/>
      <c r="H864" s="26" t="n"/>
      <c r="I864" s="26" t="n"/>
    </row>
    <row r="865" ht="15" customHeight="1">
      <c r="A865" s="26" t="n"/>
      <c r="B865" s="26" t="n"/>
      <c r="C865" s="26" t="n"/>
      <c r="D865" s="26" t="n"/>
      <c r="E865" s="26" t="n"/>
      <c r="F865" s="26" t="n"/>
      <c r="G865" s="26" t="n"/>
      <c r="H865" s="26" t="n"/>
      <c r="I865" s="26" t="n"/>
    </row>
    <row r="866" ht="15" customHeight="1">
      <c r="A866" s="26" t="n"/>
      <c r="B866" s="26" t="n"/>
      <c r="C866" s="26" t="n"/>
      <c r="D866" s="26" t="n"/>
      <c r="E866" s="26" t="n"/>
      <c r="F866" s="26" t="n"/>
      <c r="G866" s="26" t="n"/>
      <c r="H866" s="26" t="n"/>
      <c r="I866" s="26" t="n"/>
    </row>
    <row r="867" ht="15" customHeight="1">
      <c r="A867" s="26" t="n"/>
      <c r="B867" s="26" t="n"/>
      <c r="C867" s="26" t="n"/>
      <c r="D867" s="26" t="n"/>
      <c r="E867" s="26" t="n"/>
      <c r="F867" s="26" t="n"/>
      <c r="G867" s="26" t="n"/>
      <c r="H867" s="26" t="n"/>
      <c r="I867" s="26" t="n"/>
    </row>
    <row r="868" ht="15" customHeight="1">
      <c r="A868" s="26" t="n"/>
      <c r="B868" s="26" t="n"/>
      <c r="C868" s="26" t="n"/>
      <c r="D868" s="26" t="n"/>
      <c r="E868" s="26" t="n"/>
      <c r="F868" s="26" t="n"/>
      <c r="G868" s="26" t="n"/>
      <c r="H868" s="26" t="n"/>
      <c r="I868" s="26" t="n"/>
    </row>
    <row r="869" ht="15" customHeight="1">
      <c r="A869" s="26" t="n"/>
      <c r="B869" s="26" t="n"/>
      <c r="C869" s="26" t="n"/>
      <c r="D869" s="26" t="n"/>
      <c r="E869" s="26" t="n"/>
      <c r="F869" s="26" t="n"/>
      <c r="G869" s="26" t="n"/>
      <c r="H869" s="26" t="n"/>
      <c r="I869" s="26" t="n"/>
    </row>
    <row r="870" ht="15" customHeight="1">
      <c r="A870" s="26" t="n"/>
      <c r="B870" s="26" t="n"/>
      <c r="C870" s="26" t="n"/>
      <c r="D870" s="26" t="n"/>
      <c r="E870" s="26" t="n"/>
      <c r="F870" s="26" t="n"/>
      <c r="G870" s="26" t="n"/>
      <c r="H870" s="26" t="n"/>
      <c r="I870" s="26" t="n"/>
    </row>
    <row r="871" ht="15" customHeight="1">
      <c r="A871" s="26" t="n"/>
      <c r="B871" s="26" t="n"/>
      <c r="C871" s="26" t="n"/>
      <c r="D871" s="26" t="n"/>
      <c r="E871" s="26" t="n"/>
      <c r="F871" s="26" t="n"/>
      <c r="G871" s="26" t="n"/>
      <c r="H871" s="26" t="n"/>
      <c r="I871" s="26" t="n"/>
    </row>
    <row r="872" ht="15" customHeight="1">
      <c r="A872" s="26" t="n"/>
      <c r="B872" s="26" t="n"/>
      <c r="C872" s="26" t="n"/>
      <c r="D872" s="26" t="n"/>
      <c r="E872" s="26" t="n"/>
      <c r="F872" s="26" t="n"/>
      <c r="G872" s="26" t="n"/>
      <c r="H872" s="26" t="n"/>
      <c r="I872" s="26" t="n"/>
    </row>
    <row r="873" ht="15" customHeight="1">
      <c r="A873" s="26" t="n"/>
      <c r="B873" s="26" t="n"/>
      <c r="C873" s="26" t="n"/>
      <c r="D873" s="26" t="n"/>
      <c r="E873" s="26" t="n"/>
      <c r="F873" s="26" t="n"/>
      <c r="G873" s="26" t="n"/>
      <c r="H873" s="26" t="n"/>
      <c r="I873" s="26" t="n"/>
    </row>
    <row r="874" ht="15" customHeight="1">
      <c r="A874" s="26" t="n"/>
      <c r="B874" s="26" t="n"/>
      <c r="C874" s="26" t="n"/>
      <c r="D874" s="26" t="n"/>
      <c r="E874" s="26" t="n"/>
      <c r="F874" s="26" t="n"/>
      <c r="G874" s="26" t="n"/>
      <c r="H874" s="26" t="n"/>
      <c r="I874" s="26" t="n"/>
    </row>
    <row r="875" ht="15" customHeight="1">
      <c r="A875" s="26" t="n"/>
      <c r="B875" s="26" t="n"/>
      <c r="C875" s="26" t="n"/>
      <c r="D875" s="26" t="n"/>
      <c r="E875" s="26" t="n"/>
      <c r="F875" s="26" t="n"/>
      <c r="G875" s="26" t="n"/>
      <c r="H875" s="26" t="n"/>
      <c r="I875" s="26" t="n"/>
    </row>
    <row r="876" ht="15" customHeight="1">
      <c r="A876" s="26" t="n"/>
      <c r="B876" s="26" t="n"/>
      <c r="C876" s="26" t="n"/>
      <c r="D876" s="26" t="n"/>
      <c r="E876" s="26" t="n"/>
      <c r="F876" s="26" t="n"/>
      <c r="G876" s="26" t="n"/>
      <c r="H876" s="26" t="n"/>
      <c r="I876" s="26" t="n"/>
    </row>
    <row r="877" ht="15" customHeight="1">
      <c r="A877" s="26" t="n"/>
      <c r="B877" s="26" t="n"/>
      <c r="C877" s="26" t="n"/>
      <c r="D877" s="26" t="n"/>
      <c r="E877" s="26" t="n"/>
      <c r="F877" s="26" t="n"/>
      <c r="G877" s="26" t="n"/>
      <c r="H877" s="26" t="n"/>
      <c r="I877" s="26" t="n"/>
    </row>
    <row r="878" ht="15" customHeight="1">
      <c r="A878" s="26" t="n"/>
      <c r="B878" s="26" t="n"/>
      <c r="C878" s="26" t="n"/>
      <c r="D878" s="26" t="n"/>
      <c r="E878" s="26" t="n"/>
      <c r="F878" s="26" t="n"/>
      <c r="G878" s="26" t="n"/>
      <c r="H878" s="26" t="n"/>
      <c r="I878" s="26" t="n"/>
    </row>
    <row r="879" ht="15" customHeight="1">
      <c r="A879" s="26" t="n"/>
      <c r="B879" s="26" t="n"/>
      <c r="C879" s="26" t="n"/>
      <c r="D879" s="26" t="n"/>
      <c r="E879" s="26" t="n"/>
      <c r="F879" s="26" t="n"/>
      <c r="G879" s="26" t="n"/>
      <c r="H879" s="26" t="n"/>
      <c r="I879" s="26" t="n"/>
    </row>
    <row r="880" ht="15" customHeight="1">
      <c r="A880" s="26" t="n"/>
      <c r="B880" s="26" t="n"/>
      <c r="C880" s="26" t="n"/>
      <c r="D880" s="26" t="n"/>
      <c r="E880" s="26" t="n"/>
      <c r="F880" s="26" t="n"/>
      <c r="G880" s="26" t="n"/>
      <c r="H880" s="26" t="n"/>
      <c r="I880" s="26" t="n"/>
    </row>
    <row r="881" ht="15" customHeight="1">
      <c r="A881" s="26" t="n"/>
      <c r="B881" s="26" t="n"/>
      <c r="C881" s="26" t="n"/>
      <c r="D881" s="26" t="n"/>
      <c r="E881" s="26" t="n"/>
      <c r="F881" s="26" t="n"/>
      <c r="G881" s="26" t="n"/>
      <c r="H881" s="26" t="n"/>
      <c r="I881" s="26" t="n"/>
    </row>
    <row r="882" ht="15" customHeight="1">
      <c r="A882" s="26" t="n"/>
      <c r="B882" s="26" t="n"/>
      <c r="C882" s="26" t="n"/>
      <c r="D882" s="26" t="n"/>
      <c r="E882" s="26" t="n"/>
      <c r="F882" s="26" t="n"/>
      <c r="G882" s="26" t="n"/>
      <c r="H882" s="26" t="n"/>
      <c r="I882" s="26" t="n"/>
    </row>
    <row r="883" ht="15" customHeight="1">
      <c r="A883" s="26" t="n"/>
      <c r="B883" s="26" t="n"/>
      <c r="C883" s="26" t="n"/>
      <c r="D883" s="26" t="n"/>
      <c r="E883" s="26" t="n"/>
      <c r="F883" s="26" t="n"/>
      <c r="G883" s="26" t="n"/>
      <c r="H883" s="26" t="n"/>
      <c r="I883" s="26" t="n"/>
    </row>
    <row r="884" ht="15" customHeight="1">
      <c r="A884" s="26" t="n"/>
      <c r="B884" s="26" t="n"/>
      <c r="C884" s="26" t="n"/>
      <c r="D884" s="26" t="n"/>
      <c r="E884" s="26" t="n"/>
      <c r="F884" s="26" t="n"/>
      <c r="G884" s="26" t="n"/>
      <c r="H884" s="26" t="n"/>
      <c r="I884" s="26" t="n"/>
    </row>
    <row r="885" ht="15" customHeight="1">
      <c r="A885" s="26" t="n"/>
      <c r="B885" s="26" t="n"/>
      <c r="C885" s="26" t="n"/>
      <c r="D885" s="26" t="n"/>
      <c r="E885" s="26" t="n"/>
      <c r="F885" s="26" t="n"/>
      <c r="G885" s="26" t="n"/>
      <c r="H885" s="26" t="n"/>
      <c r="I885" s="26" t="n"/>
    </row>
    <row r="886" ht="15" customHeight="1">
      <c r="A886" s="26" t="n"/>
      <c r="B886" s="26" t="n"/>
      <c r="C886" s="26" t="n"/>
      <c r="D886" s="26" t="n"/>
      <c r="E886" s="26" t="n"/>
      <c r="F886" s="26" t="n"/>
      <c r="G886" s="26" t="n"/>
      <c r="H886" s="26" t="n"/>
      <c r="I886" s="26" t="n"/>
    </row>
    <row r="887" ht="15" customHeight="1">
      <c r="A887" s="26" t="n"/>
      <c r="B887" s="26" t="n"/>
      <c r="C887" s="26" t="n"/>
      <c r="D887" s="26" t="n"/>
      <c r="E887" s="26" t="n"/>
      <c r="F887" s="26" t="n"/>
      <c r="G887" s="26" t="n"/>
      <c r="H887" s="26" t="n"/>
      <c r="I887" s="26" t="n"/>
    </row>
    <row r="888" ht="15" customHeight="1">
      <c r="A888" s="26" t="n"/>
      <c r="B888" s="26" t="n"/>
      <c r="C888" s="26" t="n"/>
      <c r="D888" s="26" t="n"/>
      <c r="E888" s="26" t="n"/>
      <c r="F888" s="26" t="n"/>
      <c r="G888" s="26" t="n"/>
      <c r="H888" s="26" t="n"/>
      <c r="I888" s="26" t="n"/>
    </row>
    <row r="889" ht="15" customHeight="1">
      <c r="A889" s="26" t="n"/>
      <c r="B889" s="26" t="n"/>
      <c r="C889" s="26" t="n"/>
      <c r="D889" s="26" t="n"/>
      <c r="E889" s="26" t="n"/>
      <c r="F889" s="26" t="n"/>
      <c r="G889" s="26" t="n"/>
      <c r="H889" s="26" t="n"/>
      <c r="I889" s="26" t="n"/>
    </row>
    <row r="890" ht="15" customHeight="1">
      <c r="A890" s="26" t="n"/>
      <c r="B890" s="26" t="n"/>
      <c r="C890" s="26" t="n"/>
      <c r="D890" s="26" t="n"/>
      <c r="E890" s="26" t="n"/>
      <c r="F890" s="26" t="n"/>
      <c r="G890" s="26" t="n"/>
      <c r="H890" s="26" t="n"/>
      <c r="I890" s="26" t="n"/>
    </row>
    <row r="891" ht="15" customHeight="1">
      <c r="A891" s="26" t="n"/>
      <c r="B891" s="26" t="n"/>
      <c r="C891" s="26" t="n"/>
      <c r="D891" s="26" t="n"/>
      <c r="E891" s="26" t="n"/>
      <c r="F891" s="26" t="n"/>
      <c r="G891" s="26" t="n"/>
      <c r="H891" s="26" t="n"/>
      <c r="I891" s="26" t="n"/>
    </row>
    <row r="892" ht="15" customHeight="1">
      <c r="A892" s="26" t="n"/>
      <c r="B892" s="26" t="n"/>
      <c r="C892" s="26" t="n"/>
      <c r="D892" s="26" t="n"/>
      <c r="E892" s="26" t="n"/>
      <c r="F892" s="26" t="n"/>
      <c r="G892" s="26" t="n"/>
      <c r="H892" s="26" t="n"/>
      <c r="I892" s="26" t="n"/>
    </row>
    <row r="893" ht="15" customHeight="1">
      <c r="A893" s="26" t="n"/>
      <c r="B893" s="26" t="n"/>
      <c r="C893" s="26" t="n"/>
      <c r="D893" s="26" t="n"/>
      <c r="E893" s="26" t="n"/>
      <c r="F893" s="26" t="n"/>
      <c r="G893" s="26" t="n"/>
      <c r="H893" s="26" t="n"/>
      <c r="I893" s="26" t="n"/>
    </row>
    <row r="894" ht="15" customHeight="1">
      <c r="A894" s="26" t="n"/>
      <c r="B894" s="26" t="n"/>
      <c r="C894" s="26" t="n"/>
      <c r="D894" s="26" t="n"/>
      <c r="E894" s="26" t="n"/>
      <c r="F894" s="26" t="n"/>
      <c r="G894" s="26" t="n"/>
      <c r="H894" s="26" t="n"/>
      <c r="I894" s="26" t="n"/>
    </row>
    <row r="895" ht="15" customHeight="1">
      <c r="A895" s="26" t="n"/>
      <c r="B895" s="26" t="n"/>
      <c r="C895" s="26" t="n"/>
      <c r="D895" s="26" t="n"/>
      <c r="E895" s="26" t="n"/>
      <c r="F895" s="26" t="n"/>
      <c r="G895" s="26" t="n"/>
      <c r="H895" s="26" t="n"/>
      <c r="I895" s="26" t="n"/>
    </row>
    <row r="896" ht="15" customHeight="1">
      <c r="A896" s="26" t="n"/>
      <c r="B896" s="26" t="n"/>
      <c r="C896" s="26" t="n"/>
      <c r="D896" s="26" t="n"/>
      <c r="E896" s="26" t="n"/>
      <c r="F896" s="26" t="n"/>
      <c r="G896" s="26" t="n"/>
      <c r="H896" s="26" t="n"/>
      <c r="I896" s="26" t="n"/>
    </row>
    <row r="897" ht="15" customHeight="1">
      <c r="A897" s="26" t="n"/>
      <c r="B897" s="26" t="n"/>
      <c r="C897" s="26" t="n"/>
      <c r="D897" s="26" t="n"/>
      <c r="E897" s="26" t="n"/>
      <c r="F897" s="26" t="n"/>
      <c r="G897" s="26" t="n"/>
      <c r="H897" s="26" t="n"/>
      <c r="I897" s="26" t="n"/>
    </row>
    <row r="898" ht="15" customHeight="1">
      <c r="A898" s="26" t="n"/>
      <c r="B898" s="26" t="n"/>
      <c r="C898" s="26" t="n"/>
      <c r="D898" s="26" t="n"/>
      <c r="E898" s="26" t="n"/>
      <c r="F898" s="26" t="n"/>
      <c r="G898" s="26" t="n"/>
      <c r="H898" s="26" t="n"/>
      <c r="I898" s="26" t="n"/>
    </row>
    <row r="899" ht="15" customHeight="1">
      <c r="A899" s="26" t="n"/>
      <c r="B899" s="26" t="n"/>
      <c r="C899" s="26" t="n"/>
      <c r="D899" s="26" t="n"/>
      <c r="E899" s="26" t="n"/>
      <c r="F899" s="26" t="n"/>
      <c r="G899" s="26" t="n"/>
      <c r="H899" s="26" t="n"/>
      <c r="I899" s="26" t="n"/>
    </row>
    <row r="900" ht="15" customHeight="1">
      <c r="A900" s="26" t="n"/>
      <c r="B900" s="26" t="n"/>
      <c r="C900" s="26" t="n"/>
      <c r="D900" s="26" t="n"/>
      <c r="E900" s="26" t="n"/>
      <c r="F900" s="26" t="n"/>
      <c r="G900" s="26" t="n"/>
      <c r="H900" s="26" t="n"/>
      <c r="I900" s="26" t="n"/>
    </row>
    <row r="901" ht="15" customHeight="1">
      <c r="A901" s="26" t="n"/>
      <c r="B901" s="26" t="n"/>
      <c r="C901" s="26" t="n"/>
      <c r="D901" s="26" t="n"/>
      <c r="E901" s="26" t="n"/>
      <c r="F901" s="26" t="n"/>
      <c r="G901" s="26" t="n"/>
      <c r="H901" s="26" t="n"/>
      <c r="I901" s="26" t="n"/>
    </row>
    <row r="902" ht="15" customHeight="1">
      <c r="A902" s="26" t="n"/>
      <c r="B902" s="26" t="n"/>
      <c r="C902" s="26" t="n"/>
      <c r="D902" s="26" t="n"/>
      <c r="E902" s="26" t="n"/>
      <c r="F902" s="26" t="n"/>
      <c r="G902" s="26" t="n"/>
      <c r="H902" s="26" t="n"/>
      <c r="I902" s="26" t="n"/>
    </row>
    <row r="903" ht="15" customHeight="1">
      <c r="A903" s="26" t="n"/>
      <c r="B903" s="26" t="n"/>
      <c r="C903" s="26" t="n"/>
      <c r="D903" s="26" t="n"/>
      <c r="E903" s="26" t="n"/>
      <c r="F903" s="26" t="n"/>
      <c r="G903" s="26" t="n"/>
      <c r="H903" s="26" t="n"/>
      <c r="I903" s="26" t="n"/>
    </row>
    <row r="904" ht="15" customHeight="1">
      <c r="A904" s="26" t="n"/>
      <c r="B904" s="26" t="n"/>
      <c r="C904" s="26" t="n"/>
      <c r="D904" s="26" t="n"/>
      <c r="E904" s="26" t="n"/>
      <c r="F904" s="26" t="n"/>
      <c r="G904" s="26" t="n"/>
      <c r="H904" s="26" t="n"/>
      <c r="I904" s="26" t="n"/>
    </row>
    <row r="905" ht="15" customHeight="1">
      <c r="A905" s="26" t="n"/>
      <c r="B905" s="26" t="n"/>
      <c r="C905" s="26" t="n"/>
      <c r="D905" s="26" t="n"/>
      <c r="E905" s="26" t="n"/>
      <c r="F905" s="26" t="n"/>
      <c r="G905" s="26" t="n"/>
      <c r="H905" s="26" t="n"/>
      <c r="I905" s="26" t="n"/>
    </row>
    <row r="906" ht="15" customHeight="1">
      <c r="A906" s="26" t="n"/>
      <c r="B906" s="26" t="n"/>
      <c r="C906" s="26" t="n"/>
      <c r="D906" s="26" t="n"/>
      <c r="E906" s="26" t="n"/>
      <c r="F906" s="26" t="n"/>
      <c r="G906" s="26" t="n"/>
      <c r="H906" s="26" t="n"/>
      <c r="I906" s="26" t="n"/>
    </row>
    <row r="907" ht="15" customHeight="1">
      <c r="A907" s="26" t="n"/>
      <c r="B907" s="26" t="n"/>
      <c r="C907" s="26" t="n"/>
      <c r="D907" s="26" t="n"/>
      <c r="E907" s="26" t="n"/>
      <c r="F907" s="26" t="n"/>
      <c r="G907" s="26" t="n"/>
      <c r="H907" s="26" t="n"/>
      <c r="I907" s="26" t="n"/>
    </row>
    <row r="908" ht="15" customHeight="1">
      <c r="A908" s="26" t="n"/>
      <c r="B908" s="26" t="n"/>
      <c r="C908" s="26" t="n"/>
      <c r="D908" s="26" t="n"/>
      <c r="E908" s="26" t="n"/>
      <c r="F908" s="26" t="n"/>
      <c r="G908" s="26" t="n"/>
      <c r="H908" s="26" t="n"/>
      <c r="I908" s="26" t="n"/>
    </row>
    <row r="909" ht="15" customHeight="1">
      <c r="A909" s="26" t="n"/>
      <c r="B909" s="26" t="n"/>
      <c r="C909" s="26" t="n"/>
      <c r="D909" s="26" t="n"/>
      <c r="E909" s="26" t="n"/>
      <c r="F909" s="26" t="n"/>
      <c r="G909" s="26" t="n"/>
      <c r="H909" s="26" t="n"/>
      <c r="I909" s="26" t="n"/>
    </row>
    <row r="910" ht="15" customHeight="1">
      <c r="A910" s="26" t="n"/>
      <c r="B910" s="26" t="n"/>
      <c r="C910" s="26" t="n"/>
      <c r="D910" s="26" t="n"/>
      <c r="E910" s="26" t="n"/>
      <c r="F910" s="26" t="n"/>
      <c r="G910" s="26" t="n"/>
      <c r="H910" s="26" t="n"/>
      <c r="I910" s="26" t="n"/>
    </row>
    <row r="911" ht="15" customHeight="1">
      <c r="A911" s="26" t="n"/>
      <c r="B911" s="26" t="n"/>
      <c r="C911" s="26" t="n"/>
      <c r="D911" s="26" t="n"/>
      <c r="E911" s="26" t="n"/>
      <c r="F911" s="26" t="n"/>
      <c r="G911" s="26" t="n"/>
      <c r="H911" s="26" t="n"/>
      <c r="I911" s="26" t="n"/>
    </row>
    <row r="912" ht="15" customHeight="1">
      <c r="A912" s="26" t="n"/>
      <c r="B912" s="26" t="n"/>
      <c r="C912" s="26" t="n"/>
      <c r="D912" s="26" t="n"/>
      <c r="E912" s="26" t="n"/>
      <c r="F912" s="26" t="n"/>
      <c r="G912" s="26" t="n"/>
      <c r="H912" s="26" t="n"/>
      <c r="I912" s="26" t="n"/>
    </row>
    <row r="913" ht="15" customHeight="1">
      <c r="A913" s="26" t="n"/>
      <c r="B913" s="26" t="n"/>
      <c r="C913" s="26" t="n"/>
      <c r="D913" s="26" t="n"/>
      <c r="E913" s="26" t="n"/>
      <c r="F913" s="26" t="n"/>
      <c r="G913" s="26" t="n"/>
      <c r="H913" s="26" t="n"/>
      <c r="I913" s="26" t="n"/>
    </row>
    <row r="914" ht="15" customHeight="1">
      <c r="A914" s="26" t="n"/>
      <c r="B914" s="26" t="n"/>
      <c r="C914" s="26" t="n"/>
      <c r="D914" s="26" t="n"/>
      <c r="E914" s="26" t="n"/>
      <c r="F914" s="26" t="n"/>
      <c r="G914" s="26" t="n"/>
      <c r="H914" s="26" t="n"/>
      <c r="I914" s="26" t="n"/>
    </row>
    <row r="915" ht="15" customHeight="1">
      <c r="A915" s="26" t="n"/>
      <c r="B915" s="26" t="n"/>
      <c r="C915" s="26" t="n"/>
      <c r="D915" s="26" t="n"/>
      <c r="E915" s="26" t="n"/>
      <c r="F915" s="26" t="n"/>
      <c r="G915" s="26" t="n"/>
      <c r="H915" s="26" t="n"/>
      <c r="I915" s="26" t="n"/>
    </row>
    <row r="916" ht="15" customHeight="1">
      <c r="A916" s="26" t="n"/>
      <c r="B916" s="26" t="n"/>
      <c r="C916" s="26" t="n"/>
      <c r="D916" s="26" t="n"/>
      <c r="E916" s="26" t="n"/>
      <c r="F916" s="26" t="n"/>
      <c r="G916" s="26" t="n"/>
      <c r="H916" s="26" t="n"/>
      <c r="I916" s="26" t="n"/>
    </row>
    <row r="917" ht="15" customHeight="1">
      <c r="A917" s="26" t="n"/>
      <c r="B917" s="26" t="n"/>
      <c r="C917" s="26" t="n"/>
      <c r="D917" s="26" t="n"/>
      <c r="E917" s="26" t="n"/>
      <c r="F917" s="26" t="n"/>
      <c r="G917" s="26" t="n"/>
      <c r="H917" s="26" t="n"/>
      <c r="I917" s="26" t="n"/>
    </row>
    <row r="918" ht="15" customHeight="1">
      <c r="A918" s="26" t="n"/>
      <c r="B918" s="26" t="n"/>
      <c r="C918" s="26" t="n"/>
      <c r="D918" s="26" t="n"/>
      <c r="E918" s="26" t="n"/>
      <c r="F918" s="26" t="n"/>
      <c r="G918" s="26" t="n"/>
      <c r="H918" s="26" t="n"/>
      <c r="I918" s="26" t="n"/>
    </row>
    <row r="919" ht="15" customHeight="1">
      <c r="A919" s="26" t="n"/>
      <c r="B919" s="26" t="n"/>
      <c r="C919" s="26" t="n"/>
      <c r="D919" s="26" t="n"/>
      <c r="E919" s="26" t="n"/>
      <c r="F919" s="26" t="n"/>
      <c r="G919" s="26" t="n"/>
      <c r="H919" s="26" t="n"/>
      <c r="I919" s="26" t="n"/>
    </row>
    <row r="920" ht="15" customHeight="1">
      <c r="A920" s="26" t="n"/>
      <c r="B920" s="26" t="n"/>
      <c r="C920" s="26" t="n"/>
      <c r="D920" s="26" t="n"/>
      <c r="E920" s="26" t="n"/>
      <c r="F920" s="26" t="n"/>
      <c r="G920" s="26" t="n"/>
      <c r="H920" s="26" t="n"/>
      <c r="I920" s="26" t="n"/>
    </row>
    <row r="921" ht="15" customHeight="1">
      <c r="A921" s="26" t="n"/>
      <c r="B921" s="26" t="n"/>
      <c r="C921" s="26" t="n"/>
      <c r="D921" s="26" t="n"/>
      <c r="E921" s="26" t="n"/>
      <c r="F921" s="26" t="n"/>
      <c r="G921" s="26" t="n"/>
      <c r="H921" s="26" t="n"/>
      <c r="I921" s="26" t="n"/>
    </row>
    <row r="922" ht="15" customHeight="1">
      <c r="A922" s="26" t="n"/>
      <c r="B922" s="26" t="n"/>
      <c r="C922" s="26" t="n"/>
      <c r="D922" s="26" t="n"/>
      <c r="E922" s="26" t="n"/>
      <c r="F922" s="26" t="n"/>
      <c r="G922" s="26" t="n"/>
      <c r="H922" s="26" t="n"/>
      <c r="I922" s="26" t="n"/>
    </row>
    <row r="923" ht="15" customHeight="1">
      <c r="A923" s="26" t="n"/>
      <c r="B923" s="26" t="n"/>
      <c r="C923" s="26" t="n"/>
      <c r="D923" s="26" t="n"/>
      <c r="E923" s="26" t="n"/>
      <c r="F923" s="26" t="n"/>
      <c r="G923" s="26" t="n"/>
      <c r="H923" s="26" t="n"/>
      <c r="I923" s="26" t="n"/>
    </row>
    <row r="924" ht="15" customHeight="1">
      <c r="A924" s="26" t="n"/>
      <c r="B924" s="26" t="n"/>
      <c r="C924" s="26" t="n"/>
      <c r="D924" s="26" t="n"/>
      <c r="E924" s="26" t="n"/>
      <c r="F924" s="26" t="n"/>
      <c r="G924" s="26" t="n"/>
      <c r="H924" s="26" t="n"/>
      <c r="I924" s="26" t="n"/>
    </row>
    <row r="925" ht="15" customHeight="1">
      <c r="A925" s="26" t="n"/>
      <c r="B925" s="26" t="n"/>
      <c r="C925" s="26" t="n"/>
      <c r="D925" s="26" t="n"/>
      <c r="E925" s="26" t="n"/>
      <c r="F925" s="26" t="n"/>
      <c r="G925" s="26" t="n"/>
      <c r="H925" s="26" t="n"/>
      <c r="I925" s="26" t="n"/>
    </row>
    <row r="926" ht="15" customHeight="1">
      <c r="A926" s="26" t="n"/>
      <c r="B926" s="26" t="n"/>
      <c r="C926" s="26" t="n"/>
      <c r="D926" s="26" t="n"/>
      <c r="E926" s="26" t="n"/>
      <c r="F926" s="26" t="n"/>
      <c r="G926" s="26" t="n"/>
      <c r="H926" s="26" t="n"/>
      <c r="I926" s="26" t="n"/>
    </row>
    <row r="927" ht="15" customHeight="1">
      <c r="A927" s="26" t="n"/>
      <c r="B927" s="26" t="n"/>
      <c r="C927" s="26" t="n"/>
      <c r="D927" s="26" t="n"/>
      <c r="E927" s="26" t="n"/>
      <c r="F927" s="26" t="n"/>
      <c r="G927" s="26" t="n"/>
      <c r="H927" s="26" t="n"/>
      <c r="I927" s="26" t="n"/>
    </row>
    <row r="928" ht="15" customHeight="1">
      <c r="A928" s="26" t="n"/>
      <c r="B928" s="26" t="n"/>
      <c r="C928" s="26" t="n"/>
      <c r="D928" s="26" t="n"/>
      <c r="E928" s="26" t="n"/>
      <c r="F928" s="26" t="n"/>
      <c r="G928" s="26" t="n"/>
      <c r="H928" s="26" t="n"/>
      <c r="I928" s="26" t="n"/>
    </row>
    <row r="929" ht="15" customHeight="1">
      <c r="A929" s="26" t="n"/>
      <c r="B929" s="26" t="n"/>
      <c r="C929" s="26" t="n"/>
      <c r="D929" s="26" t="n"/>
      <c r="E929" s="26" t="n"/>
      <c r="F929" s="26" t="n"/>
      <c r="G929" s="26" t="n"/>
      <c r="H929" s="26" t="n"/>
      <c r="I929" s="26" t="n"/>
    </row>
    <row r="930" ht="15" customHeight="1">
      <c r="A930" s="26" t="n"/>
      <c r="B930" s="26" t="n"/>
      <c r="C930" s="26" t="n"/>
      <c r="D930" s="26" t="n"/>
      <c r="E930" s="26" t="n"/>
      <c r="F930" s="26" t="n"/>
      <c r="G930" s="26" t="n"/>
      <c r="H930" s="26" t="n"/>
      <c r="I930" s="26" t="n"/>
    </row>
    <row r="931" ht="15" customHeight="1">
      <c r="A931" s="26" t="n"/>
      <c r="B931" s="26" t="n"/>
      <c r="C931" s="26" t="n"/>
      <c r="D931" s="26" t="n"/>
      <c r="E931" s="26" t="n"/>
      <c r="F931" s="26" t="n"/>
      <c r="G931" s="26" t="n"/>
      <c r="H931" s="26" t="n"/>
      <c r="I931" s="26" t="n"/>
    </row>
    <row r="932" ht="15" customHeight="1">
      <c r="A932" s="26" t="n"/>
      <c r="B932" s="26" t="n"/>
      <c r="C932" s="26" t="n"/>
      <c r="D932" s="26" t="n"/>
      <c r="E932" s="26" t="n"/>
      <c r="F932" s="26" t="n"/>
      <c r="G932" s="26" t="n"/>
      <c r="H932" s="26" t="n"/>
      <c r="I932" s="26" t="n"/>
    </row>
    <row r="933" ht="15" customHeight="1">
      <c r="A933" s="26" t="n"/>
      <c r="B933" s="26" t="n"/>
      <c r="C933" s="26" t="n"/>
      <c r="D933" s="26" t="n"/>
      <c r="E933" s="26" t="n"/>
      <c r="F933" s="26" t="n"/>
      <c r="G933" s="26" t="n"/>
      <c r="H933" s="26" t="n"/>
      <c r="I933" s="26" t="n"/>
    </row>
    <row r="934" ht="15" customHeight="1">
      <c r="A934" s="26" t="n"/>
      <c r="B934" s="26" t="n"/>
      <c r="C934" s="26" t="n"/>
      <c r="D934" s="26" t="n"/>
      <c r="E934" s="26" t="n"/>
      <c r="F934" s="26" t="n"/>
      <c r="G934" s="26" t="n"/>
      <c r="H934" s="26" t="n"/>
      <c r="I934" s="26" t="n"/>
    </row>
    <row r="935" ht="15" customHeight="1">
      <c r="A935" s="26" t="n"/>
      <c r="B935" s="26" t="n"/>
      <c r="C935" s="26" t="n"/>
      <c r="D935" s="26" t="n"/>
      <c r="E935" s="26" t="n"/>
      <c r="F935" s="26" t="n"/>
      <c r="G935" s="26" t="n"/>
      <c r="H935" s="26" t="n"/>
      <c r="I935" s="26" t="n"/>
    </row>
    <row r="936" ht="15" customHeight="1">
      <c r="A936" s="26" t="n"/>
      <c r="B936" s="26" t="n"/>
      <c r="C936" s="26" t="n"/>
      <c r="D936" s="26" t="n"/>
      <c r="E936" s="26" t="n"/>
      <c r="F936" s="26" t="n"/>
      <c r="G936" s="26" t="n"/>
      <c r="H936" s="26" t="n"/>
      <c r="I936" s="26" t="n"/>
    </row>
    <row r="937" ht="15" customHeight="1">
      <c r="A937" s="26" t="n"/>
      <c r="B937" s="26" t="n"/>
      <c r="C937" s="26" t="n"/>
      <c r="D937" s="26" t="n"/>
      <c r="E937" s="26" t="n"/>
      <c r="F937" s="26" t="n"/>
      <c r="G937" s="26" t="n"/>
      <c r="H937" s="26" t="n"/>
      <c r="I937" s="26" t="n"/>
    </row>
    <row r="938" ht="15" customHeight="1">
      <c r="A938" s="26" t="n"/>
      <c r="B938" s="26" t="n"/>
      <c r="C938" s="26" t="n"/>
      <c r="D938" s="26" t="n"/>
      <c r="E938" s="26" t="n"/>
      <c r="F938" s="26" t="n"/>
      <c r="G938" s="26" t="n"/>
      <c r="H938" s="26" t="n"/>
      <c r="I938" s="26" t="n"/>
    </row>
    <row r="939" ht="15" customHeight="1">
      <c r="A939" s="26" t="n"/>
      <c r="B939" s="26" t="n"/>
      <c r="C939" s="26" t="n"/>
      <c r="D939" s="26" t="n"/>
      <c r="E939" s="26" t="n"/>
      <c r="F939" s="26" t="n"/>
      <c r="G939" s="26" t="n"/>
      <c r="H939" s="26" t="n"/>
      <c r="I939" s="26" t="n"/>
    </row>
    <row r="940" ht="15" customHeight="1">
      <c r="A940" s="26" t="n"/>
      <c r="B940" s="26" t="n"/>
      <c r="C940" s="26" t="n"/>
      <c r="D940" s="26" t="n"/>
      <c r="E940" s="26" t="n"/>
      <c r="F940" s="26" t="n"/>
      <c r="G940" s="26" t="n"/>
      <c r="H940" s="26" t="n"/>
      <c r="I940" s="26" t="n"/>
    </row>
    <row r="941" ht="15" customHeight="1">
      <c r="A941" s="26" t="n"/>
      <c r="B941" s="26" t="n"/>
      <c r="C941" s="26" t="n"/>
      <c r="D941" s="26" t="n"/>
      <c r="E941" s="26" t="n"/>
      <c r="F941" s="26" t="n"/>
      <c r="G941" s="26" t="n"/>
      <c r="H941" s="26" t="n"/>
      <c r="I941" s="26" t="n"/>
    </row>
    <row r="942" ht="15" customHeight="1">
      <c r="A942" s="26" t="n"/>
      <c r="B942" s="26" t="n"/>
      <c r="C942" s="26" t="n"/>
      <c r="D942" s="26" t="n"/>
      <c r="E942" s="26" t="n"/>
      <c r="F942" s="26" t="n"/>
      <c r="G942" s="26" t="n"/>
      <c r="H942" s="26" t="n"/>
      <c r="I942" s="26" t="n"/>
    </row>
    <row r="943" ht="15" customHeight="1">
      <c r="A943" s="26" t="n"/>
      <c r="B943" s="26" t="n"/>
      <c r="C943" s="26" t="n"/>
      <c r="D943" s="26" t="n"/>
      <c r="E943" s="26" t="n"/>
      <c r="F943" s="26" t="n"/>
      <c r="G943" s="26" t="n"/>
      <c r="H943" s="26" t="n"/>
      <c r="I943" s="26" t="n"/>
    </row>
    <row r="944" ht="15" customHeight="1">
      <c r="A944" s="26" t="n"/>
      <c r="B944" s="26" t="n"/>
      <c r="C944" s="26" t="n"/>
      <c r="D944" s="26" t="n"/>
      <c r="E944" s="26" t="n"/>
      <c r="F944" s="26" t="n"/>
      <c r="G944" s="26" t="n"/>
      <c r="H944" s="26" t="n"/>
      <c r="I944" s="26" t="n"/>
    </row>
    <row r="945" ht="15" customHeight="1">
      <c r="A945" s="26" t="n"/>
      <c r="B945" s="26" t="n"/>
      <c r="C945" s="26" t="n"/>
      <c r="D945" s="26" t="n"/>
      <c r="E945" s="26" t="n"/>
      <c r="F945" s="26" t="n"/>
      <c r="G945" s="26" t="n"/>
      <c r="H945" s="26" t="n"/>
      <c r="I945" s="26" t="n"/>
    </row>
    <row r="946" ht="15" customHeight="1">
      <c r="A946" s="26" t="n"/>
      <c r="B946" s="26" t="n"/>
      <c r="C946" s="26" t="n"/>
      <c r="D946" s="26" t="n"/>
      <c r="E946" s="26" t="n"/>
      <c r="F946" s="26" t="n"/>
      <c r="G946" s="26" t="n"/>
      <c r="H946" s="26" t="n"/>
      <c r="I946" s="26" t="n"/>
    </row>
    <row r="947" ht="15" customHeight="1">
      <c r="A947" s="26" t="n"/>
      <c r="B947" s="26" t="n"/>
      <c r="C947" s="26" t="n"/>
      <c r="D947" s="26" t="n"/>
      <c r="E947" s="26" t="n"/>
      <c r="F947" s="26" t="n"/>
      <c r="G947" s="26" t="n"/>
      <c r="H947" s="26" t="n"/>
      <c r="I947" s="26" t="n"/>
    </row>
    <row r="948" ht="15" customHeight="1">
      <c r="A948" s="26" t="n"/>
      <c r="B948" s="26" t="n"/>
      <c r="C948" s="26" t="n"/>
      <c r="D948" s="26" t="n"/>
      <c r="E948" s="26" t="n"/>
      <c r="F948" s="26" t="n"/>
      <c r="G948" s="26" t="n"/>
      <c r="H948" s="26" t="n"/>
      <c r="I948" s="26" t="n"/>
    </row>
    <row r="949" ht="15" customHeight="1">
      <c r="A949" s="26" t="n"/>
      <c r="B949" s="26" t="n"/>
      <c r="C949" s="26" t="n"/>
      <c r="D949" s="26" t="n"/>
      <c r="E949" s="26" t="n"/>
      <c r="F949" s="26" t="n"/>
      <c r="G949" s="26" t="n"/>
      <c r="H949" s="26" t="n"/>
      <c r="I949" s="26" t="n"/>
    </row>
    <row r="950" ht="15" customHeight="1">
      <c r="A950" s="26" t="n"/>
      <c r="B950" s="26" t="n"/>
      <c r="C950" s="26" t="n"/>
      <c r="D950" s="26" t="n"/>
      <c r="E950" s="26" t="n"/>
      <c r="F950" s="26" t="n"/>
      <c r="G950" s="26" t="n"/>
      <c r="H950" s="26" t="n"/>
      <c r="I950" s="26" t="n"/>
    </row>
    <row r="951" ht="15" customHeight="1">
      <c r="A951" s="26" t="n"/>
      <c r="B951" s="26" t="n"/>
      <c r="C951" s="26" t="n"/>
      <c r="D951" s="26" t="n"/>
      <c r="E951" s="26" t="n"/>
      <c r="F951" s="26" t="n"/>
      <c r="G951" s="26" t="n"/>
      <c r="H951" s="26" t="n"/>
      <c r="I951" s="26" t="n"/>
    </row>
    <row r="952" ht="15" customHeight="1">
      <c r="A952" s="26" t="n"/>
      <c r="B952" s="26" t="n"/>
      <c r="C952" s="26" t="n"/>
      <c r="D952" s="26" t="n"/>
      <c r="E952" s="26" t="n"/>
      <c r="F952" s="26" t="n"/>
      <c r="G952" s="26" t="n"/>
      <c r="H952" s="26" t="n"/>
      <c r="I952" s="26" t="n"/>
    </row>
    <row r="953" ht="15" customHeight="1">
      <c r="A953" s="26" t="n"/>
      <c r="B953" s="26" t="n"/>
      <c r="C953" s="26" t="n"/>
      <c r="D953" s="26" t="n"/>
      <c r="E953" s="26" t="n"/>
      <c r="F953" s="26" t="n"/>
      <c r="G953" s="26" t="n"/>
      <c r="H953" s="26" t="n"/>
      <c r="I953" s="26" t="n"/>
    </row>
    <row r="954" ht="15" customHeight="1">
      <c r="A954" s="26" t="n"/>
      <c r="B954" s="26" t="n"/>
      <c r="C954" s="26" t="n"/>
      <c r="D954" s="26" t="n"/>
      <c r="E954" s="26" t="n"/>
      <c r="F954" s="26" t="n"/>
      <c r="G954" s="26" t="n"/>
      <c r="H954" s="26" t="n"/>
      <c r="I954" s="26" t="n"/>
    </row>
    <row r="955" ht="15" customHeight="1">
      <c r="A955" s="26" t="n"/>
      <c r="B955" s="26" t="n"/>
      <c r="C955" s="26" t="n"/>
      <c r="D955" s="26" t="n"/>
      <c r="E955" s="26" t="n"/>
      <c r="F955" s="26" t="n"/>
      <c r="G955" s="26" t="n"/>
      <c r="H955" s="26" t="n"/>
      <c r="I955" s="26" t="n"/>
    </row>
    <row r="956" ht="15" customHeight="1">
      <c r="A956" s="26" t="n"/>
      <c r="B956" s="26" t="n"/>
      <c r="C956" s="26" t="n"/>
      <c r="D956" s="26" t="n"/>
      <c r="E956" s="26" t="n"/>
      <c r="F956" s="26" t="n"/>
      <c r="G956" s="26" t="n"/>
      <c r="H956" s="26" t="n"/>
      <c r="I956" s="26" t="n"/>
    </row>
    <row r="957" ht="15" customHeight="1">
      <c r="A957" s="26" t="n"/>
      <c r="B957" s="26" t="n"/>
      <c r="C957" s="26" t="n"/>
      <c r="D957" s="26" t="n"/>
      <c r="E957" s="26" t="n"/>
      <c r="F957" s="26" t="n"/>
      <c r="G957" s="26" t="n"/>
      <c r="H957" s="26" t="n"/>
      <c r="I957" s="26" t="n"/>
    </row>
    <row r="958" ht="15" customHeight="1">
      <c r="A958" s="26" t="n"/>
      <c r="B958" s="26" t="n"/>
      <c r="C958" s="26" t="n"/>
      <c r="D958" s="26" t="n"/>
      <c r="E958" s="26" t="n"/>
      <c r="F958" s="26" t="n"/>
      <c r="G958" s="26" t="n"/>
      <c r="H958" s="26" t="n"/>
      <c r="I958" s="26" t="n"/>
    </row>
    <row r="959" ht="15" customHeight="1">
      <c r="A959" s="26" t="n"/>
      <c r="B959" s="26" t="n"/>
      <c r="C959" s="26" t="n"/>
      <c r="D959" s="26" t="n"/>
      <c r="E959" s="26" t="n"/>
      <c r="F959" s="26" t="n"/>
      <c r="G959" s="26" t="n"/>
      <c r="H959" s="26" t="n"/>
      <c r="I959" s="26" t="n"/>
    </row>
    <row r="960" ht="15" customHeight="1">
      <c r="A960" s="26" t="n"/>
      <c r="B960" s="26" t="n"/>
      <c r="C960" s="26" t="n"/>
      <c r="D960" s="26" t="n"/>
      <c r="E960" s="26" t="n"/>
      <c r="F960" s="26" t="n"/>
      <c r="G960" s="26" t="n"/>
      <c r="H960" s="26" t="n"/>
      <c r="I960" s="26" t="n"/>
    </row>
    <row r="961" ht="15" customHeight="1">
      <c r="A961" s="26" t="n"/>
      <c r="B961" s="26" t="n"/>
      <c r="C961" s="26" t="n"/>
      <c r="D961" s="26" t="n"/>
      <c r="E961" s="26" t="n"/>
      <c r="F961" s="26" t="n"/>
      <c r="G961" s="26" t="n"/>
      <c r="H961" s="26" t="n"/>
      <c r="I961" s="26" t="n"/>
    </row>
    <row r="962" ht="15" customHeight="1">
      <c r="A962" s="26" t="n"/>
      <c r="B962" s="26" t="n"/>
      <c r="C962" s="26" t="n"/>
      <c r="D962" s="26" t="n"/>
      <c r="E962" s="26" t="n"/>
      <c r="F962" s="26" t="n"/>
      <c r="G962" s="26" t="n"/>
      <c r="H962" s="26" t="n"/>
      <c r="I962" s="26" t="n"/>
    </row>
    <row r="963" ht="15" customHeight="1">
      <c r="A963" s="26" t="n"/>
      <c r="B963" s="26" t="n"/>
      <c r="C963" s="26" t="n"/>
      <c r="D963" s="26" t="n"/>
      <c r="E963" s="26" t="n"/>
      <c r="F963" s="26" t="n"/>
      <c r="G963" s="26" t="n"/>
      <c r="H963" s="26" t="n"/>
      <c r="I963" s="26" t="n"/>
    </row>
    <row r="964" ht="15" customHeight="1">
      <c r="A964" s="26" t="n"/>
      <c r="B964" s="26" t="n"/>
      <c r="C964" s="26" t="n"/>
      <c r="D964" s="26" t="n"/>
      <c r="E964" s="26" t="n"/>
      <c r="F964" s="26" t="n"/>
      <c r="G964" s="26" t="n"/>
      <c r="H964" s="26" t="n"/>
      <c r="I964" s="26" t="n"/>
    </row>
    <row r="965" ht="15" customHeight="1">
      <c r="A965" s="26" t="n"/>
      <c r="B965" s="26" t="n"/>
      <c r="C965" s="26" t="n"/>
      <c r="D965" s="26" t="n"/>
      <c r="E965" s="26" t="n"/>
      <c r="F965" s="26" t="n"/>
      <c r="G965" s="26" t="n"/>
      <c r="H965" s="26" t="n"/>
      <c r="I965" s="26" t="n"/>
    </row>
    <row r="966" ht="15" customHeight="1">
      <c r="A966" s="26" t="n"/>
      <c r="B966" s="26" t="n"/>
      <c r="C966" s="26" t="n"/>
      <c r="D966" s="26" t="n"/>
      <c r="E966" s="26" t="n"/>
      <c r="F966" s="26" t="n"/>
      <c r="G966" s="26" t="n"/>
      <c r="H966" s="26" t="n"/>
      <c r="I966" s="26" t="n"/>
    </row>
    <row r="967" ht="15" customHeight="1">
      <c r="A967" s="26" t="n"/>
      <c r="B967" s="26" t="n"/>
      <c r="C967" s="26" t="n"/>
      <c r="D967" s="26" t="n"/>
      <c r="E967" s="26" t="n"/>
      <c r="F967" s="26" t="n"/>
      <c r="G967" s="26" t="n"/>
      <c r="H967" s="26" t="n"/>
      <c r="I967" s="26" t="n"/>
    </row>
    <row r="968" ht="15" customHeight="1">
      <c r="A968" s="26" t="n"/>
      <c r="B968" s="26" t="n"/>
      <c r="C968" s="26" t="n"/>
      <c r="D968" s="26" t="n"/>
      <c r="E968" s="26" t="n"/>
      <c r="F968" s="26" t="n"/>
      <c r="G968" s="26" t="n"/>
      <c r="H968" s="26" t="n"/>
      <c r="I968" s="26" t="n"/>
    </row>
    <row r="969" ht="15" customHeight="1">
      <c r="A969" s="26" t="n"/>
      <c r="B969" s="26" t="n"/>
      <c r="C969" s="26" t="n"/>
      <c r="D969" s="26" t="n"/>
      <c r="E969" s="26" t="n"/>
      <c r="F969" s="26" t="n"/>
      <c r="G969" s="26" t="n"/>
      <c r="H969" s="26" t="n"/>
      <c r="I969" s="26" t="n"/>
    </row>
    <row r="970" ht="15" customHeight="1">
      <c r="A970" s="26" t="n"/>
      <c r="B970" s="26" t="n"/>
      <c r="C970" s="26" t="n"/>
      <c r="D970" s="26" t="n"/>
      <c r="E970" s="26" t="n"/>
      <c r="F970" s="26" t="n"/>
      <c r="G970" s="26" t="n"/>
      <c r="H970" s="26" t="n"/>
      <c r="I970" s="26" t="n"/>
    </row>
    <row r="971" ht="15" customHeight="1">
      <c r="A971" s="26" t="n"/>
      <c r="B971" s="26" t="n"/>
      <c r="C971" s="26" t="n"/>
      <c r="D971" s="26" t="n"/>
      <c r="E971" s="26" t="n"/>
      <c r="F971" s="26" t="n"/>
      <c r="G971" s="26" t="n"/>
      <c r="H971" s="26" t="n"/>
      <c r="I971" s="26" t="n"/>
    </row>
    <row r="972" ht="15" customHeight="1">
      <c r="A972" s="26" t="n"/>
      <c r="B972" s="26" t="n"/>
      <c r="C972" s="26" t="n"/>
      <c r="D972" s="26" t="n"/>
      <c r="E972" s="26" t="n"/>
      <c r="F972" s="26" t="n"/>
      <c r="G972" s="26" t="n"/>
      <c r="H972" s="26" t="n"/>
      <c r="I972" s="26" t="n"/>
    </row>
    <row r="973" ht="15" customHeight="1">
      <c r="A973" s="26" t="n"/>
      <c r="B973" s="26" t="n"/>
      <c r="C973" s="26" t="n"/>
      <c r="D973" s="26" t="n"/>
      <c r="E973" s="26" t="n"/>
      <c r="F973" s="26" t="n"/>
      <c r="G973" s="26" t="n"/>
      <c r="H973" s="26" t="n"/>
      <c r="I973" s="26" t="n"/>
    </row>
    <row r="974" ht="15" customHeight="1">
      <c r="A974" s="26" t="n"/>
      <c r="B974" s="26" t="n"/>
      <c r="C974" s="26" t="n"/>
      <c r="D974" s="26" t="n"/>
      <c r="E974" s="26" t="n"/>
      <c r="F974" s="26" t="n"/>
      <c r="G974" s="26" t="n"/>
      <c r="H974" s="26" t="n"/>
      <c r="I974" s="26" t="n"/>
    </row>
    <row r="975" ht="15" customHeight="1">
      <c r="A975" s="26" t="n"/>
      <c r="B975" s="26" t="n"/>
      <c r="C975" s="26" t="n"/>
      <c r="D975" s="26" t="n"/>
      <c r="E975" s="26" t="n"/>
      <c r="F975" s="26" t="n"/>
      <c r="G975" s="26" t="n"/>
      <c r="H975" s="26" t="n"/>
      <c r="I975" s="26" t="n"/>
    </row>
    <row r="976" ht="15" customHeight="1">
      <c r="A976" s="26" t="n"/>
      <c r="B976" s="26" t="n"/>
      <c r="C976" s="26" t="n"/>
      <c r="D976" s="26" t="n"/>
      <c r="E976" s="26" t="n"/>
      <c r="F976" s="26" t="n"/>
      <c r="G976" s="26" t="n"/>
      <c r="H976" s="26" t="n"/>
      <c r="I976" s="26" t="n"/>
    </row>
    <row r="977" ht="15" customHeight="1">
      <c r="A977" s="26" t="n"/>
      <c r="B977" s="26" t="n"/>
      <c r="C977" s="26" t="n"/>
      <c r="D977" s="26" t="n"/>
      <c r="E977" s="26" t="n"/>
      <c r="F977" s="26" t="n"/>
      <c r="G977" s="26" t="n"/>
      <c r="H977" s="26" t="n"/>
      <c r="I977" s="26" t="n"/>
    </row>
    <row r="978" ht="15" customHeight="1">
      <c r="A978" s="26" t="n"/>
      <c r="B978" s="26" t="n"/>
      <c r="C978" s="26" t="n"/>
      <c r="D978" s="26" t="n"/>
      <c r="E978" s="26" t="n"/>
      <c r="F978" s="26" t="n"/>
      <c r="G978" s="26" t="n"/>
      <c r="H978" s="26" t="n"/>
      <c r="I978" s="26" t="n"/>
    </row>
    <row r="979" ht="15" customHeight="1">
      <c r="A979" s="26" t="n"/>
      <c r="B979" s="26" t="n"/>
      <c r="C979" s="26" t="n"/>
      <c r="D979" s="26" t="n"/>
      <c r="E979" s="26" t="n"/>
      <c r="F979" s="26" t="n"/>
      <c r="G979" s="26" t="n"/>
      <c r="H979" s="26" t="n"/>
      <c r="I979" s="26" t="n"/>
    </row>
    <row r="980" ht="15" customHeight="1">
      <c r="A980" s="26" t="n"/>
      <c r="B980" s="26" t="n"/>
      <c r="C980" s="26" t="n"/>
      <c r="D980" s="26" t="n"/>
      <c r="E980" s="26" t="n"/>
      <c r="F980" s="26" t="n"/>
      <c r="G980" s="26" t="n"/>
      <c r="H980" s="26" t="n"/>
      <c r="I980" s="26" t="n"/>
    </row>
    <row r="981" ht="15" customHeight="1">
      <c r="A981" s="26" t="n"/>
      <c r="B981" s="26" t="n"/>
      <c r="C981" s="26" t="n"/>
      <c r="D981" s="26" t="n"/>
      <c r="E981" s="26" t="n"/>
      <c r="F981" s="26" t="n"/>
      <c r="G981" s="26" t="n"/>
      <c r="H981" s="26" t="n"/>
      <c r="I981" s="26" t="n"/>
    </row>
    <row r="982" ht="15" customHeight="1">
      <c r="A982" s="26" t="n"/>
      <c r="B982" s="26" t="n"/>
      <c r="C982" s="26" t="n"/>
      <c r="D982" s="26" t="n"/>
      <c r="E982" s="26" t="n"/>
      <c r="F982" s="26" t="n"/>
      <c r="G982" s="26" t="n"/>
      <c r="H982" s="26" t="n"/>
      <c r="I982" s="26" t="n"/>
    </row>
    <row r="983" ht="15" customHeight="1">
      <c r="A983" s="26" t="n"/>
      <c r="B983" s="26" t="n"/>
      <c r="C983" s="26" t="n"/>
      <c r="D983" s="26" t="n"/>
      <c r="E983" s="26" t="n"/>
      <c r="F983" s="26" t="n"/>
      <c r="G983" s="26" t="n"/>
      <c r="H983" s="26" t="n"/>
      <c r="I983" s="26" t="n"/>
    </row>
    <row r="984" ht="15" customHeight="1">
      <c r="A984" s="26" t="n"/>
      <c r="B984" s="26" t="n"/>
      <c r="C984" s="26" t="n"/>
      <c r="D984" s="26" t="n"/>
      <c r="E984" s="26" t="n"/>
      <c r="F984" s="26" t="n"/>
      <c r="G984" s="26" t="n"/>
      <c r="H984" s="26" t="n"/>
      <c r="I984" s="26" t="n"/>
    </row>
    <row r="985" ht="15" customHeight="1">
      <c r="A985" s="26" t="n"/>
      <c r="B985" s="26" t="n"/>
      <c r="C985" s="26" t="n"/>
      <c r="D985" s="26" t="n"/>
      <c r="E985" s="26" t="n"/>
      <c r="F985" s="26" t="n"/>
      <c r="G985" s="26" t="n"/>
      <c r="H985" s="26" t="n"/>
      <c r="I985" s="26" t="n"/>
    </row>
    <row r="986" ht="15" customHeight="1">
      <c r="A986" s="26" t="n"/>
      <c r="B986" s="26" t="n"/>
      <c r="C986" s="26" t="n"/>
      <c r="D986" s="26" t="n"/>
      <c r="E986" s="26" t="n"/>
      <c r="F986" s="26" t="n"/>
      <c r="G986" s="26" t="n"/>
      <c r="H986" s="26" t="n"/>
      <c r="I986" s="26" t="n"/>
    </row>
    <row r="987" ht="15" customHeight="1">
      <c r="A987" s="26" t="n"/>
      <c r="B987" s="26" t="n"/>
      <c r="C987" s="26" t="n"/>
      <c r="D987" s="26" t="n"/>
      <c r="E987" s="26" t="n"/>
      <c r="F987" s="26" t="n"/>
      <c r="G987" s="26" t="n"/>
      <c r="H987" s="26" t="n"/>
      <c r="I987" s="26" t="n"/>
    </row>
    <row r="988" ht="15" customHeight="1">
      <c r="A988" s="26" t="n"/>
      <c r="B988" s="26" t="n"/>
      <c r="C988" s="26" t="n"/>
      <c r="D988" s="26" t="n"/>
      <c r="E988" s="26" t="n"/>
      <c r="F988" s="26" t="n"/>
      <c r="G988" s="26" t="n"/>
      <c r="H988" s="26" t="n"/>
      <c r="I988" s="26" t="n"/>
    </row>
    <row r="989" ht="15" customHeight="1">
      <c r="A989" s="26" t="n"/>
      <c r="B989" s="26" t="n"/>
      <c r="C989" s="26" t="n"/>
      <c r="D989" s="26" t="n"/>
      <c r="E989" s="26" t="n"/>
      <c r="F989" s="26" t="n"/>
      <c r="G989" s="26" t="n"/>
      <c r="H989" s="26" t="n"/>
      <c r="I989" s="26" t="n"/>
    </row>
    <row r="990" ht="15" customHeight="1">
      <c r="A990" s="26" t="n"/>
      <c r="B990" s="26" t="n"/>
      <c r="C990" s="26" t="n"/>
      <c r="D990" s="26" t="n"/>
      <c r="E990" s="26" t="n"/>
      <c r="F990" s="26" t="n"/>
      <c r="G990" s="26" t="n"/>
      <c r="H990" s="26" t="n"/>
      <c r="I990" s="26" t="n"/>
    </row>
    <row r="991" ht="15" customHeight="1">
      <c r="A991" s="26" t="n"/>
      <c r="B991" s="26" t="n"/>
      <c r="C991" s="26" t="n"/>
      <c r="D991" s="26" t="n"/>
      <c r="E991" s="26" t="n"/>
      <c r="F991" s="26" t="n"/>
      <c r="G991" s="26" t="n"/>
      <c r="H991" s="26" t="n"/>
      <c r="I991" s="26" t="n"/>
    </row>
    <row r="992" ht="15" customHeight="1">
      <c r="A992" s="26" t="n"/>
      <c r="B992" s="26" t="n"/>
      <c r="C992" s="26" t="n"/>
      <c r="D992" s="26" t="n"/>
      <c r="E992" s="26" t="n"/>
      <c r="F992" s="26" t="n"/>
      <c r="G992" s="26" t="n"/>
      <c r="H992" s="26" t="n"/>
      <c r="I992" s="26" t="n"/>
    </row>
    <row r="993" ht="15" customHeight="1">
      <c r="A993" s="26" t="n"/>
      <c r="B993" s="26" t="n"/>
      <c r="C993" s="26" t="n"/>
      <c r="D993" s="26" t="n"/>
      <c r="E993" s="26" t="n"/>
      <c r="F993" s="26" t="n"/>
      <c r="G993" s="26" t="n"/>
      <c r="H993" s="26" t="n"/>
      <c r="I993" s="26" t="n"/>
    </row>
    <row r="994" ht="15" customHeight="1">
      <c r="A994" s="26" t="n"/>
      <c r="B994" s="26" t="n"/>
      <c r="C994" s="26" t="n"/>
      <c r="D994" s="26" t="n"/>
      <c r="E994" s="26" t="n"/>
      <c r="F994" s="26" t="n"/>
      <c r="G994" s="26" t="n"/>
      <c r="H994" s="26" t="n"/>
      <c r="I994" s="26" t="n"/>
    </row>
    <row r="995" ht="15" customHeight="1">
      <c r="A995" s="26" t="n"/>
      <c r="B995" s="26" t="n"/>
      <c r="C995" s="26" t="n"/>
      <c r="D995" s="26" t="n"/>
      <c r="E995" s="26" t="n"/>
      <c r="F995" s="26" t="n"/>
      <c r="G995" s="26" t="n"/>
      <c r="H995" s="26" t="n"/>
      <c r="I995" s="26" t="n"/>
    </row>
    <row r="996" ht="15" customHeight="1">
      <c r="A996" s="26" t="n"/>
      <c r="B996" s="26" t="n"/>
      <c r="C996" s="26" t="n"/>
      <c r="D996" s="26" t="n"/>
      <c r="E996" s="26" t="n"/>
      <c r="F996" s="26" t="n"/>
      <c r="G996" s="26" t="n"/>
      <c r="H996" s="26" t="n"/>
      <c r="I996" s="26" t="n"/>
    </row>
    <row r="997" ht="15" customHeight="1">
      <c r="A997" s="26" t="n"/>
      <c r="B997" s="26" t="n"/>
      <c r="C997" s="26" t="n"/>
      <c r="D997" s="26" t="n"/>
      <c r="E997" s="26" t="n"/>
      <c r="F997" s="26" t="n"/>
      <c r="G997" s="26" t="n"/>
      <c r="H997" s="26" t="n"/>
      <c r="I997" s="26" t="n"/>
    </row>
    <row r="998" ht="15" customHeight="1">
      <c r="A998" s="26" t="n"/>
      <c r="B998" s="26" t="n"/>
      <c r="C998" s="26" t="n"/>
      <c r="D998" s="26" t="n"/>
      <c r="E998" s="26" t="n"/>
      <c r="F998" s="26" t="n"/>
      <c r="G998" s="26" t="n"/>
      <c r="H998" s="26" t="n"/>
      <c r="I998" s="26" t="n"/>
    </row>
    <row r="999" ht="15" customHeight="1">
      <c r="A999" s="26" t="n"/>
      <c r="B999" s="26" t="n"/>
      <c r="C999" s="26" t="n"/>
      <c r="D999" s="26" t="n"/>
      <c r="E999" s="26" t="n"/>
      <c r="F999" s="26" t="n"/>
      <c r="G999" s="26" t="n"/>
      <c r="H999" s="26" t="n"/>
      <c r="I999" s="26" t="n"/>
    </row>
    <row r="1000" ht="15" customHeight="1">
      <c r="A1000" s="26" t="n"/>
      <c r="B1000" s="26" t="n"/>
      <c r="C1000" s="26" t="n"/>
      <c r="D1000" s="26" t="n"/>
      <c r="E1000" s="26" t="n"/>
      <c r="F1000" s="26" t="n"/>
      <c r="G1000" s="26" t="n"/>
      <c r="H1000" s="26" t="n"/>
      <c r="I1000" s="26" t="n"/>
    </row>
    <row r="1001" ht="15" customHeight="1">
      <c r="A1001" s="26" t="n"/>
      <c r="B1001" s="26" t="n"/>
      <c r="C1001" s="26" t="n"/>
      <c r="D1001" s="26" t="n"/>
      <c r="E1001" s="26" t="n"/>
      <c r="F1001" s="26" t="n"/>
      <c r="G1001" s="26" t="n"/>
      <c r="H1001" s="26" t="n"/>
      <c r="I1001" s="26" t="n"/>
    </row>
    <row r="1002" ht="15" customHeight="1">
      <c r="A1002" s="26" t="n"/>
      <c r="B1002" s="26" t="n"/>
      <c r="C1002" s="26" t="n"/>
      <c r="D1002" s="26" t="n"/>
      <c r="E1002" s="26" t="n"/>
      <c r="F1002" s="26" t="n"/>
      <c r="G1002" s="26" t="n"/>
      <c r="H1002" s="26" t="n"/>
      <c r="I1002" s="26" t="n"/>
    </row>
    <row r="1003" ht="15" customHeight="1">
      <c r="A1003" s="26" t="n"/>
      <c r="B1003" s="26" t="n"/>
      <c r="C1003" s="26" t="n"/>
      <c r="D1003" s="26" t="n"/>
      <c r="E1003" s="26" t="n"/>
      <c r="F1003" s="26" t="n"/>
      <c r="G1003" s="26" t="n"/>
      <c r="H1003" s="26" t="n"/>
      <c r="I1003" s="26" t="n"/>
    </row>
    <row r="1004" ht="15" customHeight="1">
      <c r="A1004" s="26" t="n"/>
      <c r="B1004" s="26" t="n"/>
      <c r="C1004" s="26" t="n"/>
      <c r="D1004" s="26" t="n"/>
      <c r="E1004" s="26" t="n"/>
      <c r="F1004" s="26" t="n"/>
      <c r="G1004" s="26" t="n"/>
      <c r="H1004" s="26" t="n"/>
      <c r="I1004" s="26" t="n"/>
    </row>
    <row r="1005" ht="15" customHeight="1">
      <c r="A1005" s="26" t="n"/>
      <c r="B1005" s="26" t="n"/>
      <c r="C1005" s="26" t="n"/>
      <c r="D1005" s="26" t="n"/>
      <c r="E1005" s="26" t="n"/>
      <c r="F1005" s="26" t="n"/>
      <c r="G1005" s="26" t="n"/>
      <c r="H1005" s="26" t="n"/>
      <c r="I1005" s="26" t="n"/>
    </row>
    <row r="1006" ht="15" customHeight="1">
      <c r="A1006" s="26" t="n"/>
      <c r="B1006" s="26" t="n"/>
      <c r="C1006" s="26" t="n"/>
      <c r="D1006" s="26" t="n"/>
      <c r="E1006" s="26" t="n"/>
      <c r="F1006" s="26" t="n"/>
      <c r="G1006" s="26" t="n"/>
      <c r="H1006" s="26" t="n"/>
      <c r="I1006" s="26" t="n"/>
    </row>
    <row r="1007" ht="15" customHeight="1">
      <c r="A1007" s="26" t="n"/>
      <c r="B1007" s="26" t="n"/>
      <c r="C1007" s="26" t="n"/>
      <c r="D1007" s="26" t="n"/>
      <c r="E1007" s="26" t="n"/>
      <c r="F1007" s="26" t="n"/>
      <c r="G1007" s="26" t="n"/>
      <c r="H1007" s="26" t="n"/>
      <c r="I1007" s="26" t="n"/>
    </row>
    <row r="1008" ht="15" customHeight="1">
      <c r="A1008" s="26" t="n"/>
      <c r="B1008" s="26" t="n"/>
      <c r="C1008" s="26" t="n"/>
      <c r="D1008" s="26" t="n"/>
      <c r="E1008" s="26" t="n"/>
      <c r="F1008" s="26" t="n"/>
      <c r="G1008" s="26" t="n"/>
      <c r="H1008" s="26" t="n"/>
      <c r="I1008" s="26" t="n"/>
    </row>
    <row r="1009" ht="15" customHeight="1">
      <c r="A1009" s="26" t="n"/>
      <c r="B1009" s="26" t="n"/>
      <c r="C1009" s="26" t="n"/>
      <c r="D1009" s="26" t="n"/>
      <c r="E1009" s="26" t="n"/>
      <c r="F1009" s="26" t="n"/>
      <c r="G1009" s="26" t="n"/>
      <c r="H1009" s="26" t="n"/>
      <c r="I1009" s="26" t="n"/>
    </row>
    <row r="1010" ht="15" customHeight="1">
      <c r="A1010" s="26" t="n"/>
      <c r="B1010" s="26" t="n"/>
      <c r="C1010" s="26" t="n"/>
      <c r="D1010" s="26" t="n"/>
      <c r="E1010" s="26" t="n"/>
      <c r="F1010" s="26" t="n"/>
      <c r="G1010" s="26" t="n"/>
      <c r="H1010" s="26" t="n"/>
      <c r="I1010" s="26" t="n"/>
    </row>
    <row r="1011" ht="15" customHeight="1">
      <c r="A1011" s="26" t="n"/>
      <c r="B1011" s="26" t="n"/>
      <c r="C1011" s="26" t="n"/>
      <c r="D1011" s="26" t="n"/>
      <c r="E1011" s="26" t="n"/>
      <c r="F1011" s="26" t="n"/>
      <c r="G1011" s="26" t="n"/>
      <c r="H1011" s="26" t="n"/>
      <c r="I1011" s="26" t="n"/>
    </row>
    <row r="1012" ht="15" customHeight="1">
      <c r="A1012" s="26" t="n"/>
      <c r="B1012" s="26" t="n"/>
      <c r="C1012" s="26" t="n"/>
      <c r="D1012" s="26" t="n"/>
      <c r="E1012" s="26" t="n"/>
      <c r="F1012" s="26" t="n"/>
      <c r="G1012" s="26" t="n"/>
      <c r="H1012" s="26" t="n"/>
      <c r="I1012" s="26" t="n"/>
    </row>
    <row r="1013" ht="15" customHeight="1">
      <c r="A1013" s="26" t="n"/>
      <c r="B1013" s="26" t="n"/>
      <c r="C1013" s="26" t="n"/>
      <c r="D1013" s="26" t="n"/>
      <c r="E1013" s="26" t="n"/>
      <c r="F1013" s="26" t="n"/>
      <c r="G1013" s="26" t="n"/>
      <c r="H1013" s="26" t="n"/>
      <c r="I1013" s="26" t="n"/>
    </row>
    <row r="1014" ht="15" customHeight="1">
      <c r="A1014" s="26" t="n"/>
      <c r="B1014" s="26" t="n"/>
      <c r="C1014" s="26" t="n"/>
      <c r="D1014" s="26" t="n"/>
      <c r="E1014" s="26" t="n"/>
      <c r="F1014" s="26" t="n"/>
      <c r="G1014" s="26" t="n"/>
      <c r="H1014" s="26" t="n"/>
      <c r="I1014" s="26" t="n"/>
    </row>
    <row r="1015" ht="15" customHeight="1">
      <c r="A1015" s="26" t="n"/>
      <c r="B1015" s="26" t="n"/>
      <c r="C1015" s="26" t="n"/>
      <c r="D1015" s="26" t="n"/>
      <c r="E1015" s="26" t="n"/>
      <c r="F1015" s="26" t="n"/>
      <c r="G1015" s="26" t="n"/>
      <c r="H1015" s="26" t="n"/>
      <c r="I1015" s="26" t="n"/>
    </row>
    <row r="1016" ht="15" customHeight="1">
      <c r="A1016" s="26" t="n"/>
      <c r="B1016" s="26" t="n"/>
      <c r="C1016" s="26" t="n"/>
      <c r="D1016" s="26" t="n"/>
      <c r="E1016" s="26" t="n"/>
      <c r="F1016" s="26" t="n"/>
      <c r="G1016" s="26" t="n"/>
      <c r="H1016" s="26" t="n"/>
      <c r="I1016" s="26" t="n"/>
    </row>
    <row r="1017" ht="15" customHeight="1">
      <c r="A1017" s="26" t="n"/>
      <c r="B1017" s="26" t="n"/>
      <c r="C1017" s="26" t="n"/>
      <c r="D1017" s="26" t="n"/>
      <c r="E1017" s="26" t="n"/>
      <c r="F1017" s="26" t="n"/>
      <c r="G1017" s="26" t="n"/>
      <c r="H1017" s="26" t="n"/>
      <c r="I1017" s="26" t="n"/>
    </row>
    <row r="1018" ht="15" customHeight="1">
      <c r="A1018" s="26" t="n"/>
      <c r="B1018" s="26" t="n"/>
      <c r="C1018" s="26" t="n"/>
      <c r="D1018" s="26" t="n"/>
      <c r="E1018" s="26" t="n"/>
      <c r="F1018" s="26" t="n"/>
      <c r="G1018" s="26" t="n"/>
      <c r="H1018" s="26" t="n"/>
      <c r="I1018" s="26" t="n"/>
    </row>
    <row r="1019" ht="15" customHeight="1">
      <c r="A1019" s="26" t="n"/>
      <c r="B1019" s="26" t="n"/>
      <c r="C1019" s="26" t="n"/>
      <c r="D1019" s="26" t="n"/>
      <c r="E1019" s="26" t="n"/>
      <c r="F1019" s="26" t="n"/>
      <c r="G1019" s="26" t="n"/>
      <c r="H1019" s="26" t="n"/>
      <c r="I1019" s="26" t="n"/>
    </row>
    <row r="1020" ht="15" customHeight="1">
      <c r="A1020" s="26" t="n"/>
      <c r="B1020" s="26" t="n"/>
      <c r="C1020" s="26" t="n"/>
      <c r="D1020" s="26" t="n"/>
      <c r="E1020" s="26" t="n"/>
      <c r="F1020" s="26" t="n"/>
      <c r="G1020" s="26" t="n"/>
      <c r="H1020" s="26" t="n"/>
      <c r="I1020" s="26" t="n"/>
    </row>
    <row r="1021" ht="15" customHeight="1">
      <c r="A1021" s="26" t="n"/>
      <c r="B1021" s="26" t="n"/>
      <c r="C1021" s="26" t="n"/>
      <c r="D1021" s="26" t="n"/>
      <c r="E1021" s="26" t="n"/>
      <c r="F1021" s="26" t="n"/>
      <c r="G1021" s="26" t="n"/>
      <c r="H1021" s="26" t="n"/>
      <c r="I1021" s="26" t="n"/>
    </row>
    <row r="1022" ht="15" customHeight="1">
      <c r="A1022" s="26" t="n"/>
      <c r="B1022" s="26" t="n"/>
      <c r="C1022" s="26" t="n"/>
      <c r="D1022" s="26" t="n"/>
      <c r="E1022" s="26" t="n"/>
      <c r="F1022" s="26" t="n"/>
      <c r="G1022" s="26" t="n"/>
      <c r="H1022" s="26" t="n"/>
      <c r="I1022" s="26" t="n"/>
    </row>
    <row r="1023" ht="15" customHeight="1">
      <c r="A1023" s="26" t="n"/>
      <c r="B1023" s="26" t="n"/>
      <c r="C1023" s="26" t="n"/>
      <c r="D1023" s="26" t="n"/>
      <c r="E1023" s="26" t="n"/>
      <c r="F1023" s="26" t="n"/>
      <c r="G1023" s="26" t="n"/>
      <c r="H1023" s="26" t="n"/>
      <c r="I1023" s="26" t="n"/>
    </row>
    <row r="1024" ht="15" customHeight="1">
      <c r="A1024" s="26" t="n"/>
      <c r="B1024" s="26" t="n"/>
      <c r="C1024" s="26" t="n"/>
      <c r="D1024" s="26" t="n"/>
      <c r="E1024" s="26" t="n"/>
      <c r="F1024" s="26" t="n"/>
      <c r="G1024" s="26" t="n"/>
      <c r="H1024" s="26" t="n"/>
      <c r="I1024" s="26" t="n"/>
    </row>
    <row r="1025" ht="15" customHeight="1">
      <c r="A1025" s="26" t="n"/>
      <c r="B1025" s="26" t="n"/>
      <c r="C1025" s="26" t="n"/>
      <c r="D1025" s="26" t="n"/>
      <c r="E1025" s="26" t="n"/>
      <c r="F1025" s="26" t="n"/>
      <c r="G1025" s="26" t="n"/>
      <c r="H1025" s="26" t="n"/>
      <c r="I1025" s="26" t="n"/>
    </row>
    <row r="1026" ht="15" customHeight="1">
      <c r="A1026" s="26" t="n"/>
      <c r="B1026" s="26" t="n"/>
      <c r="C1026" s="26" t="n"/>
      <c r="D1026" s="26" t="n"/>
      <c r="E1026" s="26" t="n"/>
      <c r="F1026" s="26" t="n"/>
      <c r="G1026" s="26" t="n"/>
      <c r="H1026" s="26" t="n"/>
      <c r="I1026" s="26" t="n"/>
    </row>
    <row r="1027" ht="15" customHeight="1">
      <c r="A1027" s="26" t="n"/>
      <c r="B1027" s="26" t="n"/>
      <c r="C1027" s="26" t="n"/>
      <c r="D1027" s="26" t="n"/>
      <c r="E1027" s="26" t="n"/>
      <c r="F1027" s="26" t="n"/>
      <c r="G1027" s="26" t="n"/>
      <c r="H1027" s="26" t="n"/>
      <c r="I1027" s="26" t="n"/>
    </row>
    <row r="1028" ht="15" customHeight="1">
      <c r="A1028" s="26" t="n"/>
      <c r="B1028" s="26" t="n"/>
      <c r="C1028" s="26" t="n"/>
      <c r="D1028" s="26" t="n"/>
      <c r="E1028" s="26" t="n"/>
      <c r="F1028" s="26" t="n"/>
      <c r="G1028" s="26" t="n"/>
      <c r="H1028" s="26" t="n"/>
      <c r="I1028" s="26" t="n"/>
    </row>
    <row r="1029" ht="15" customHeight="1">
      <c r="A1029" s="26" t="n"/>
      <c r="B1029" s="26" t="n"/>
      <c r="C1029" s="26" t="n"/>
      <c r="D1029" s="26" t="n"/>
      <c r="E1029" s="26" t="n"/>
      <c r="F1029" s="26" t="n"/>
      <c r="G1029" s="26" t="n"/>
      <c r="H1029" s="26" t="n"/>
      <c r="I1029" s="26" t="n"/>
    </row>
    <row r="1030" ht="15" customHeight="1">
      <c r="A1030" s="26" t="n"/>
      <c r="B1030" s="26" t="n"/>
      <c r="C1030" s="26" t="n"/>
      <c r="D1030" s="26" t="n"/>
      <c r="E1030" s="26" t="n"/>
      <c r="F1030" s="26" t="n"/>
      <c r="G1030" s="26" t="n"/>
      <c r="H1030" s="26" t="n"/>
      <c r="I1030" s="26" t="n"/>
    </row>
    <row r="1031" ht="15" customHeight="1">
      <c r="A1031" s="26" t="n"/>
      <c r="B1031" s="26" t="n"/>
      <c r="C1031" s="26" t="n"/>
      <c r="D1031" s="26" t="n"/>
      <c r="E1031" s="26" t="n"/>
      <c r="F1031" s="26" t="n"/>
      <c r="G1031" s="26" t="n"/>
      <c r="H1031" s="26" t="n"/>
      <c r="I1031" s="26" t="n"/>
    </row>
    <row r="1032" ht="15" customHeight="1">
      <c r="A1032" s="26" t="n"/>
      <c r="B1032" s="26" t="n"/>
      <c r="C1032" s="26" t="n"/>
      <c r="D1032" s="26" t="n"/>
      <c r="E1032" s="26" t="n"/>
      <c r="F1032" s="26" t="n"/>
      <c r="G1032" s="26" t="n"/>
      <c r="H1032" s="26" t="n"/>
      <c r="I1032" s="26" t="n"/>
    </row>
    <row r="1033" ht="15" customHeight="1">
      <c r="A1033" s="26" t="n"/>
      <c r="B1033" s="26" t="n"/>
      <c r="C1033" s="26" t="n"/>
      <c r="D1033" s="26" t="n"/>
      <c r="E1033" s="26" t="n"/>
      <c r="F1033" s="26" t="n"/>
      <c r="G1033" s="26" t="n"/>
      <c r="H1033" s="26" t="n"/>
      <c r="I1033" s="26" t="n"/>
    </row>
    <row r="1034" ht="15" customHeight="1">
      <c r="A1034" s="26" t="n"/>
      <c r="B1034" s="26" t="n"/>
      <c r="C1034" s="26" t="n"/>
      <c r="D1034" s="26" t="n"/>
      <c r="E1034" s="26" t="n"/>
      <c r="F1034" s="26" t="n"/>
      <c r="G1034" s="26" t="n"/>
      <c r="H1034" s="26" t="n"/>
      <c r="I1034" s="26" t="n"/>
    </row>
    <row r="1035" ht="15" customHeight="1">
      <c r="A1035" s="26" t="n"/>
      <c r="B1035" s="26" t="n"/>
      <c r="C1035" s="26" t="n"/>
      <c r="D1035" s="26" t="n"/>
      <c r="E1035" s="26" t="n"/>
      <c r="F1035" s="26" t="n"/>
      <c r="G1035" s="26" t="n"/>
      <c r="H1035" s="26" t="n"/>
      <c r="I1035" s="26" t="n"/>
    </row>
    <row r="1036" ht="15" customHeight="1">
      <c r="A1036" s="26" t="n"/>
      <c r="B1036" s="26" t="n"/>
      <c r="C1036" s="26" t="n"/>
      <c r="D1036" s="26" t="n"/>
      <c r="E1036" s="26" t="n"/>
      <c r="F1036" s="26" t="n"/>
      <c r="G1036" s="26" t="n"/>
      <c r="H1036" s="26" t="n"/>
      <c r="I1036" s="26" t="n"/>
    </row>
    <row r="1037" ht="15" customHeight="1">
      <c r="A1037" s="26" t="n"/>
      <c r="B1037" s="26" t="n"/>
      <c r="C1037" s="26" t="n"/>
      <c r="D1037" s="26" t="n"/>
      <c r="E1037" s="26" t="n"/>
      <c r="F1037" s="26" t="n"/>
      <c r="G1037" s="26" t="n"/>
      <c r="H1037" s="26" t="n"/>
      <c r="I1037" s="26" t="n"/>
    </row>
    <row r="1038" ht="15" customHeight="1">
      <c r="A1038" s="26" t="n"/>
      <c r="B1038" s="26" t="n"/>
      <c r="C1038" s="26" t="n"/>
      <c r="D1038" s="26" t="n"/>
      <c r="E1038" s="26" t="n"/>
      <c r="F1038" s="26" t="n"/>
      <c r="G1038" s="26" t="n"/>
      <c r="H1038" s="26" t="n"/>
      <c r="I1038" s="26" t="n"/>
    </row>
    <row r="1039" ht="15" customHeight="1">
      <c r="A1039" s="26" t="n"/>
      <c r="B1039" s="26" t="n"/>
      <c r="C1039" s="26" t="n"/>
      <c r="D1039" s="26" t="n"/>
      <c r="E1039" s="26" t="n"/>
      <c r="F1039" s="26" t="n"/>
      <c r="G1039" s="26" t="n"/>
      <c r="H1039" s="26" t="n"/>
      <c r="I1039" s="26" t="n"/>
    </row>
    <row r="1040" ht="15" customHeight="1">
      <c r="A1040" s="26" t="n"/>
      <c r="B1040" s="26" t="n"/>
      <c r="C1040" s="26" t="n"/>
      <c r="D1040" s="26" t="n"/>
      <c r="E1040" s="26" t="n"/>
      <c r="F1040" s="26" t="n"/>
      <c r="G1040" s="26" t="n"/>
      <c r="H1040" s="26" t="n"/>
      <c r="I1040" s="26" t="n"/>
    </row>
    <row r="1041" ht="15" customHeight="1">
      <c r="A1041" s="26" t="n"/>
      <c r="B1041" s="26" t="n"/>
      <c r="C1041" s="26" t="n"/>
      <c r="D1041" s="26" t="n"/>
      <c r="E1041" s="26" t="n"/>
      <c r="F1041" s="26" t="n"/>
      <c r="G1041" s="26" t="n"/>
      <c r="H1041" s="26" t="n"/>
      <c r="I1041" s="26" t="n"/>
    </row>
    <row r="1042" ht="15" customHeight="1">
      <c r="A1042" s="26" t="n"/>
      <c r="B1042" s="26" t="n"/>
      <c r="C1042" s="26" t="n"/>
      <c r="D1042" s="26" t="n"/>
      <c r="E1042" s="26" t="n"/>
      <c r="F1042" s="26" t="n"/>
      <c r="G1042" s="26" t="n"/>
      <c r="H1042" s="26" t="n"/>
      <c r="I1042" s="26" t="n"/>
    </row>
    <row r="1043" ht="15" customHeight="1">
      <c r="A1043" s="26" t="n"/>
      <c r="B1043" s="26" t="n"/>
      <c r="C1043" s="26" t="n"/>
      <c r="D1043" s="26" t="n"/>
      <c r="E1043" s="26" t="n"/>
      <c r="F1043" s="26" t="n"/>
      <c r="G1043" s="26" t="n"/>
      <c r="H1043" s="26" t="n"/>
      <c r="I1043" s="26" t="n"/>
    </row>
    <row r="1044" ht="15" customHeight="1">
      <c r="A1044" s="26" t="n"/>
      <c r="B1044" s="26" t="n"/>
      <c r="C1044" s="26" t="n"/>
      <c r="D1044" s="26" t="n"/>
      <c r="E1044" s="26" t="n"/>
      <c r="F1044" s="26" t="n"/>
      <c r="G1044" s="26" t="n"/>
      <c r="H1044" s="26" t="n"/>
      <c r="I1044" s="26" t="n"/>
    </row>
    <row r="1045" ht="15" customHeight="1">
      <c r="A1045" s="26" t="n"/>
      <c r="B1045" s="26" t="n"/>
      <c r="C1045" s="26" t="n"/>
      <c r="D1045" s="26" t="n"/>
      <c r="E1045" s="26" t="n"/>
      <c r="F1045" s="26" t="n"/>
      <c r="G1045" s="26" t="n"/>
      <c r="H1045" s="26" t="n"/>
      <c r="I1045" s="26" t="n"/>
    </row>
    <row r="1046" ht="15" customHeight="1">
      <c r="A1046" s="26" t="n"/>
      <c r="B1046" s="26" t="n"/>
      <c r="C1046" s="26" t="n"/>
      <c r="D1046" s="26" t="n"/>
      <c r="E1046" s="26" t="n"/>
      <c r="F1046" s="26" t="n"/>
      <c r="G1046" s="26" t="n"/>
      <c r="H1046" s="26" t="n"/>
      <c r="I1046" s="26" t="n"/>
    </row>
    <row r="1047" ht="15" customHeight="1">
      <c r="A1047" s="26" t="n"/>
      <c r="B1047" s="26" t="n"/>
      <c r="C1047" s="26" t="n"/>
      <c r="D1047" s="26" t="n"/>
      <c r="E1047" s="26" t="n"/>
      <c r="F1047" s="26" t="n"/>
      <c r="G1047" s="26" t="n"/>
      <c r="H1047" s="26" t="n"/>
      <c r="I1047" s="26" t="n"/>
    </row>
    <row r="1048" ht="15" customHeight="1">
      <c r="A1048" s="26" t="n"/>
      <c r="B1048" s="26" t="n"/>
      <c r="C1048" s="26" t="n"/>
      <c r="D1048" s="26" t="n"/>
      <c r="E1048" s="26" t="n"/>
      <c r="F1048" s="26" t="n"/>
      <c r="G1048" s="26" t="n"/>
      <c r="H1048" s="26" t="n"/>
      <c r="I1048" s="26" t="n"/>
    </row>
    <row r="1049" ht="15" customHeight="1">
      <c r="A1049" s="26" t="n"/>
      <c r="B1049" s="26" t="n"/>
      <c r="C1049" s="26" t="n"/>
      <c r="D1049" s="26" t="n"/>
      <c r="E1049" s="26" t="n"/>
      <c r="F1049" s="26" t="n"/>
      <c r="G1049" s="26" t="n"/>
      <c r="H1049" s="26" t="n"/>
      <c r="I1049" s="26" t="n"/>
    </row>
    <row r="1050" ht="15" customHeight="1">
      <c r="A1050" s="26" t="n"/>
      <c r="B1050" s="26" t="n"/>
      <c r="C1050" s="26" t="n"/>
      <c r="D1050" s="26" t="n"/>
      <c r="E1050" s="26" t="n"/>
      <c r="F1050" s="26" t="n"/>
      <c r="G1050" s="26" t="n"/>
      <c r="H1050" s="26" t="n"/>
      <c r="I1050" s="26" t="n"/>
    </row>
    <row r="1051" ht="15" customHeight="1">
      <c r="A1051" s="26" t="n"/>
      <c r="B1051" s="26" t="n"/>
      <c r="C1051" s="26" t="n"/>
      <c r="D1051" s="26" t="n"/>
      <c r="E1051" s="26" t="n"/>
      <c r="F1051" s="26" t="n"/>
      <c r="G1051" s="26" t="n"/>
      <c r="H1051" s="26" t="n"/>
      <c r="I1051" s="26" t="n"/>
    </row>
    <row r="1052" ht="15" customHeight="1">
      <c r="A1052" s="26" t="n"/>
      <c r="B1052" s="26" t="n"/>
      <c r="C1052" s="26" t="n"/>
      <c r="D1052" s="26" t="n"/>
      <c r="E1052" s="26" t="n"/>
      <c r="F1052" s="26" t="n"/>
      <c r="G1052" s="26" t="n"/>
      <c r="H1052" s="26" t="n"/>
      <c r="I1052" s="26" t="n"/>
    </row>
    <row r="1053" ht="15" customHeight="1">
      <c r="A1053" s="26" t="n"/>
      <c r="B1053" s="26" t="n"/>
      <c r="C1053" s="26" t="n"/>
      <c r="D1053" s="26" t="n"/>
      <c r="E1053" s="26" t="n"/>
      <c r="F1053" s="26" t="n"/>
      <c r="G1053" s="26" t="n"/>
      <c r="H1053" s="26" t="n"/>
      <c r="I1053" s="26" t="n"/>
    </row>
    <row r="1054" ht="15" customHeight="1">
      <c r="A1054" s="26" t="n"/>
      <c r="B1054" s="26" t="n"/>
      <c r="C1054" s="26" t="n"/>
      <c r="D1054" s="26" t="n"/>
      <c r="E1054" s="26" t="n"/>
      <c r="F1054" s="26" t="n"/>
      <c r="G1054" s="26" t="n"/>
      <c r="H1054" s="26" t="n"/>
      <c r="I1054" s="26" t="n"/>
    </row>
    <row r="1055" ht="15" customHeight="1">
      <c r="A1055" s="26" t="n"/>
      <c r="B1055" s="26" t="n"/>
      <c r="C1055" s="26" t="n"/>
      <c r="D1055" s="26" t="n"/>
      <c r="E1055" s="26" t="n"/>
      <c r="F1055" s="26" t="n"/>
      <c r="G1055" s="26" t="n"/>
      <c r="H1055" s="26" t="n"/>
      <c r="I1055" s="26" t="n"/>
    </row>
    <row r="1056" ht="15" customHeight="1">
      <c r="A1056" s="26" t="n"/>
      <c r="B1056" s="26" t="n"/>
      <c r="C1056" s="26" t="n"/>
      <c r="D1056" s="26" t="n"/>
      <c r="E1056" s="26" t="n"/>
      <c r="F1056" s="26" t="n"/>
      <c r="G1056" s="26" t="n"/>
      <c r="H1056" s="26" t="n"/>
      <c r="I1056" s="26" t="n"/>
    </row>
    <row r="1057" ht="15" customHeight="1">
      <c r="A1057" s="26" t="n"/>
      <c r="B1057" s="26" t="n"/>
      <c r="C1057" s="26" t="n"/>
      <c r="D1057" s="26" t="n"/>
      <c r="E1057" s="26" t="n"/>
      <c r="F1057" s="26" t="n"/>
      <c r="G1057" s="26" t="n"/>
      <c r="H1057" s="26" t="n"/>
      <c r="I1057" s="26" t="n"/>
    </row>
    <row r="1058" ht="15" customHeight="1">
      <c r="A1058" s="26" t="n"/>
      <c r="B1058" s="26" t="n"/>
      <c r="C1058" s="26" t="n"/>
      <c r="D1058" s="26" t="n"/>
      <c r="E1058" s="26" t="n"/>
      <c r="F1058" s="26" t="n"/>
      <c r="G1058" s="26" t="n"/>
      <c r="H1058" s="26" t="n"/>
      <c r="I1058" s="26" t="n"/>
    </row>
    <row r="1059" ht="15" customHeight="1">
      <c r="A1059" s="26" t="n"/>
      <c r="B1059" s="26" t="n"/>
      <c r="C1059" s="26" t="n"/>
      <c r="D1059" s="26" t="n"/>
      <c r="E1059" s="26" t="n"/>
      <c r="F1059" s="26" t="n"/>
      <c r="G1059" s="26" t="n"/>
      <c r="H1059" s="26" t="n"/>
      <c r="I1059" s="26" t="n"/>
    </row>
    <row r="1060" ht="15" customHeight="1">
      <c r="A1060" s="26" t="n"/>
      <c r="B1060" s="26" t="n"/>
      <c r="C1060" s="26" t="n"/>
      <c r="D1060" s="26" t="n"/>
      <c r="E1060" s="26" t="n"/>
      <c r="F1060" s="26" t="n"/>
      <c r="G1060" s="26" t="n"/>
      <c r="H1060" s="26" t="n"/>
      <c r="I1060" s="26" t="n"/>
    </row>
    <row r="1061" ht="15" customHeight="1">
      <c r="A1061" s="26" t="n"/>
      <c r="B1061" s="26" t="n"/>
      <c r="C1061" s="26" t="n"/>
      <c r="D1061" s="26" t="n"/>
      <c r="E1061" s="26" t="n"/>
      <c r="F1061" s="26" t="n"/>
      <c r="G1061" s="26" t="n"/>
      <c r="H1061" s="26" t="n"/>
      <c r="I1061" s="26" t="n"/>
    </row>
    <row r="1062" ht="15" customHeight="1">
      <c r="A1062" s="26" t="n"/>
      <c r="B1062" s="26" t="n"/>
      <c r="C1062" s="26" t="n"/>
      <c r="D1062" s="26" t="n"/>
      <c r="E1062" s="26" t="n"/>
      <c r="F1062" s="26" t="n"/>
      <c r="G1062" s="26" t="n"/>
      <c r="H1062" s="26" t="n"/>
      <c r="I1062" s="26" t="n"/>
    </row>
    <row r="1063" ht="15" customHeight="1">
      <c r="A1063" s="26" t="n"/>
      <c r="B1063" s="26" t="n"/>
      <c r="C1063" s="26" t="n"/>
      <c r="D1063" s="26" t="n"/>
      <c r="E1063" s="26" t="n"/>
      <c r="F1063" s="26" t="n"/>
      <c r="G1063" s="26" t="n"/>
      <c r="H1063" s="26" t="n"/>
      <c r="I1063" s="26" t="n"/>
    </row>
    <row r="1064" ht="15" customHeight="1">
      <c r="A1064" s="26" t="n"/>
      <c r="B1064" s="26" t="n"/>
      <c r="C1064" s="26" t="n"/>
      <c r="D1064" s="26" t="n"/>
      <c r="E1064" s="26" t="n"/>
      <c r="F1064" s="26" t="n"/>
      <c r="G1064" s="26" t="n"/>
      <c r="H1064" s="26" t="n"/>
      <c r="I1064" s="26" t="n"/>
    </row>
    <row r="1065" ht="15" customHeight="1">
      <c r="A1065" s="26" t="n"/>
      <c r="B1065" s="26" t="n"/>
      <c r="C1065" s="26" t="n"/>
      <c r="D1065" s="26" t="n"/>
      <c r="E1065" s="26" t="n"/>
      <c r="F1065" s="26" t="n"/>
      <c r="G1065" s="26" t="n"/>
      <c r="H1065" s="26" t="n"/>
      <c r="I1065" s="26" t="n"/>
    </row>
    <row r="1066" ht="15" customHeight="1">
      <c r="A1066" s="26" t="n"/>
      <c r="B1066" s="26" t="n"/>
      <c r="C1066" s="26" t="n"/>
      <c r="D1066" s="26" t="n"/>
      <c r="E1066" s="26" t="n"/>
      <c r="F1066" s="26" t="n"/>
      <c r="G1066" s="26" t="n"/>
      <c r="H1066" s="26" t="n"/>
      <c r="I1066" s="26" t="n"/>
    </row>
    <row r="1067" ht="15" customHeight="1">
      <c r="A1067" s="26" t="n"/>
      <c r="B1067" s="26" t="n"/>
      <c r="C1067" s="26" t="n"/>
      <c r="D1067" s="26" t="n"/>
      <c r="E1067" s="26" t="n"/>
      <c r="F1067" s="26" t="n"/>
      <c r="G1067" s="26" t="n"/>
      <c r="H1067" s="26" t="n"/>
      <c r="I1067" s="26" t="n"/>
    </row>
    <row r="1068" ht="15" customHeight="1">
      <c r="A1068" s="26" t="n"/>
      <c r="B1068" s="26" t="n"/>
      <c r="C1068" s="26" t="n"/>
      <c r="D1068" s="26" t="n"/>
      <c r="E1068" s="26" t="n"/>
      <c r="F1068" s="26" t="n"/>
      <c r="G1068" s="26" t="n"/>
      <c r="H1068" s="26" t="n"/>
      <c r="I1068" s="26" t="n"/>
    </row>
    <row r="1069" ht="15" customHeight="1">
      <c r="A1069" s="26" t="n"/>
      <c r="B1069" s="26" t="n"/>
      <c r="C1069" s="26" t="n"/>
      <c r="D1069" s="26" t="n"/>
      <c r="E1069" s="26" t="n"/>
      <c r="F1069" s="26" t="n"/>
      <c r="G1069" s="26" t="n"/>
      <c r="H1069" s="26" t="n"/>
      <c r="I1069" s="26" t="n"/>
    </row>
    <row r="1070" ht="15" customHeight="1">
      <c r="A1070" s="26" t="n"/>
      <c r="B1070" s="26" t="n"/>
      <c r="C1070" s="26" t="n"/>
      <c r="D1070" s="26" t="n"/>
      <c r="E1070" s="26" t="n"/>
      <c r="F1070" s="26" t="n"/>
      <c r="G1070" s="26" t="n"/>
      <c r="H1070" s="26" t="n"/>
      <c r="I1070" s="26" t="n"/>
    </row>
    <row r="1071" ht="15" customHeight="1">
      <c r="A1071" s="26" t="n"/>
      <c r="B1071" s="26" t="n"/>
      <c r="C1071" s="26" t="n"/>
      <c r="D1071" s="26" t="n"/>
      <c r="E1071" s="26" t="n"/>
      <c r="F1071" s="26" t="n"/>
      <c r="G1071" s="26" t="n"/>
      <c r="H1071" s="26" t="n"/>
      <c r="I1071" s="26" t="n"/>
    </row>
    <row r="1072" ht="15" customHeight="1">
      <c r="A1072" s="26" t="n"/>
      <c r="B1072" s="26" t="n"/>
      <c r="C1072" s="26" t="n"/>
      <c r="D1072" s="26" t="n"/>
      <c r="E1072" s="26" t="n"/>
      <c r="F1072" s="26" t="n"/>
      <c r="G1072" s="26" t="n"/>
      <c r="H1072" s="26" t="n"/>
      <c r="I1072" s="26" t="n"/>
    </row>
    <row r="1073" ht="15" customHeight="1">
      <c r="A1073" s="26" t="n"/>
      <c r="B1073" s="26" t="n"/>
      <c r="C1073" s="26" t="n"/>
      <c r="D1073" s="26" t="n"/>
      <c r="E1073" s="26" t="n"/>
      <c r="F1073" s="26" t="n"/>
      <c r="G1073" s="26" t="n"/>
      <c r="H1073" s="26" t="n"/>
      <c r="I1073" s="26" t="n"/>
    </row>
    <row r="1074" ht="15" customHeight="1">
      <c r="A1074" s="26" t="n"/>
      <c r="B1074" s="26" t="n"/>
      <c r="C1074" s="26" t="n"/>
      <c r="D1074" s="26" t="n"/>
      <c r="E1074" s="26" t="n"/>
      <c r="F1074" s="26" t="n"/>
      <c r="G1074" s="26" t="n"/>
      <c r="H1074" s="26" t="n"/>
      <c r="I1074" s="26" t="n"/>
    </row>
    <row r="1075" ht="15" customHeight="1">
      <c r="A1075" s="26" t="n"/>
      <c r="B1075" s="26" t="n"/>
      <c r="C1075" s="26" t="n"/>
      <c r="D1075" s="26" t="n"/>
      <c r="E1075" s="26" t="n"/>
      <c r="F1075" s="26" t="n"/>
      <c r="G1075" s="26" t="n"/>
      <c r="H1075" s="26" t="n"/>
      <c r="I1075" s="26" t="n"/>
    </row>
    <row r="1076" ht="15" customHeight="1">
      <c r="A1076" s="26" t="n"/>
      <c r="B1076" s="26" t="n"/>
      <c r="C1076" s="26" t="n"/>
      <c r="D1076" s="26" t="n"/>
      <c r="E1076" s="26" t="n"/>
      <c r="F1076" s="26" t="n"/>
      <c r="G1076" s="26" t="n"/>
      <c r="H1076" s="26" t="n"/>
      <c r="I1076" s="26" t="n"/>
    </row>
    <row r="1077" ht="15" customHeight="1">
      <c r="A1077" s="26" t="n"/>
      <c r="B1077" s="26" t="n"/>
      <c r="C1077" s="26" t="n"/>
      <c r="D1077" s="26" t="n"/>
      <c r="E1077" s="26" t="n"/>
      <c r="F1077" s="26" t="n"/>
      <c r="G1077" s="26" t="n"/>
      <c r="H1077" s="26" t="n"/>
      <c r="I1077" s="26" t="n"/>
    </row>
    <row r="1078" ht="15" customHeight="1">
      <c r="A1078" s="26" t="n"/>
      <c r="B1078" s="26" t="n"/>
      <c r="C1078" s="26" t="n"/>
      <c r="D1078" s="26" t="n"/>
      <c r="E1078" s="26" t="n"/>
      <c r="F1078" s="26" t="n"/>
      <c r="G1078" s="26" t="n"/>
      <c r="H1078" s="26" t="n"/>
      <c r="I1078" s="26" t="n"/>
    </row>
    <row r="1079" ht="15" customHeight="1">
      <c r="A1079" s="26" t="n"/>
      <c r="B1079" s="26" t="n"/>
      <c r="C1079" s="26" t="n"/>
      <c r="D1079" s="26" t="n"/>
      <c r="E1079" s="26" t="n"/>
      <c r="F1079" s="26" t="n"/>
      <c r="G1079" s="26" t="n"/>
      <c r="H1079" s="26" t="n"/>
      <c r="I1079" s="26" t="n"/>
    </row>
    <row r="1080" ht="15" customHeight="1">
      <c r="A1080" s="26" t="n"/>
      <c r="B1080" s="26" t="n"/>
      <c r="C1080" s="26" t="n"/>
      <c r="D1080" s="26" t="n"/>
      <c r="E1080" s="26" t="n"/>
      <c r="F1080" s="26" t="n"/>
      <c r="G1080" s="26" t="n"/>
      <c r="H1080" s="26" t="n"/>
      <c r="I1080" s="26" t="n"/>
    </row>
    <row r="1081" ht="15" customHeight="1">
      <c r="A1081" s="26" t="n"/>
      <c r="B1081" s="26" t="n"/>
      <c r="C1081" s="26" t="n"/>
      <c r="D1081" s="26" t="n"/>
      <c r="E1081" s="26" t="n"/>
      <c r="F1081" s="26" t="n"/>
      <c r="G1081" s="26" t="n"/>
      <c r="H1081" s="26" t="n"/>
      <c r="I1081" s="26" t="n"/>
    </row>
    <row r="1082" ht="15" customHeight="1">
      <c r="A1082" s="26" t="n"/>
      <c r="B1082" s="26" t="n"/>
      <c r="C1082" s="26" t="n"/>
      <c r="D1082" s="26" t="n"/>
      <c r="E1082" s="26" t="n"/>
      <c r="F1082" s="26" t="n"/>
      <c r="G1082" s="26" t="n"/>
      <c r="H1082" s="26" t="n"/>
      <c r="I1082" s="26" t="n"/>
    </row>
    <row r="1083" ht="15" customHeight="1">
      <c r="A1083" s="26" t="n"/>
      <c r="B1083" s="26" t="n"/>
      <c r="C1083" s="26" t="n"/>
      <c r="D1083" s="26" t="n"/>
      <c r="E1083" s="26" t="n"/>
      <c r="F1083" s="26" t="n"/>
      <c r="G1083" s="26" t="n"/>
      <c r="H1083" s="26" t="n"/>
      <c r="I1083" s="26" t="n"/>
    </row>
    <row r="1084" ht="15" customHeight="1">
      <c r="A1084" s="26" t="n"/>
      <c r="B1084" s="26" t="n"/>
      <c r="C1084" s="26" t="n"/>
      <c r="D1084" s="26" t="n"/>
      <c r="E1084" s="26" t="n"/>
      <c r="F1084" s="26" t="n"/>
      <c r="G1084" s="26" t="n"/>
      <c r="H1084" s="26" t="n"/>
      <c r="I1084" s="26" t="n"/>
    </row>
    <row r="1085" ht="15" customHeight="1">
      <c r="A1085" s="26" t="n"/>
      <c r="B1085" s="26" t="n"/>
      <c r="C1085" s="26" t="n"/>
      <c r="D1085" s="26" t="n"/>
      <c r="E1085" s="26" t="n"/>
      <c r="F1085" s="26" t="n"/>
      <c r="G1085" s="26" t="n"/>
      <c r="H1085" s="26" t="n"/>
      <c r="I1085" s="26" t="n"/>
    </row>
    <row r="1086" ht="15" customHeight="1">
      <c r="A1086" s="26" t="n"/>
      <c r="B1086" s="26" t="n"/>
      <c r="C1086" s="26" t="n"/>
      <c r="D1086" s="26" t="n"/>
      <c r="E1086" s="26" t="n"/>
      <c r="F1086" s="26" t="n"/>
      <c r="G1086" s="26" t="n"/>
      <c r="H1086" s="26" t="n"/>
      <c r="I1086" s="26" t="n"/>
    </row>
    <row r="1087" ht="15" customHeight="1">
      <c r="A1087" s="26" t="n"/>
      <c r="B1087" s="26" t="n"/>
      <c r="C1087" s="26" t="n"/>
      <c r="D1087" s="26" t="n"/>
      <c r="E1087" s="26" t="n"/>
      <c r="F1087" s="26" t="n"/>
      <c r="G1087" s="26" t="n"/>
      <c r="H1087" s="26" t="n"/>
      <c r="I1087" s="26" t="n"/>
    </row>
    <row r="1088" ht="15" customHeight="1">
      <c r="A1088" s="26" t="n"/>
      <c r="B1088" s="26" t="n"/>
      <c r="C1088" s="26" t="n"/>
      <c r="D1088" s="26" t="n"/>
      <c r="E1088" s="26" t="n"/>
      <c r="F1088" s="26" t="n"/>
      <c r="G1088" s="26" t="n"/>
      <c r="H1088" s="26" t="n"/>
      <c r="I1088" s="26" t="n"/>
    </row>
    <row r="1089" ht="15" customHeight="1">
      <c r="A1089" s="26" t="n"/>
      <c r="B1089" s="26" t="n"/>
      <c r="C1089" s="26" t="n"/>
      <c r="D1089" s="26" t="n"/>
      <c r="E1089" s="26" t="n"/>
      <c r="F1089" s="26" t="n"/>
      <c r="G1089" s="26" t="n"/>
      <c r="H1089" s="26" t="n"/>
      <c r="I1089" s="26" t="n"/>
    </row>
    <row r="1090" ht="15" customHeight="1">
      <c r="A1090" s="26" t="n"/>
      <c r="B1090" s="26" t="n"/>
      <c r="C1090" s="26" t="n"/>
      <c r="D1090" s="26" t="n"/>
      <c r="E1090" s="26" t="n"/>
      <c r="F1090" s="26" t="n"/>
      <c r="G1090" s="26" t="n"/>
      <c r="H1090" s="26" t="n"/>
      <c r="I1090" s="26" t="n"/>
    </row>
    <row r="1091" ht="15" customHeight="1">
      <c r="A1091" s="26" t="n"/>
      <c r="B1091" s="26" t="n"/>
      <c r="C1091" s="26" t="n"/>
      <c r="D1091" s="26" t="n"/>
      <c r="E1091" s="26" t="n"/>
      <c r="F1091" s="26" t="n"/>
      <c r="G1091" s="26" t="n"/>
      <c r="H1091" s="26" t="n"/>
      <c r="I1091" s="26" t="n"/>
    </row>
    <row r="1092" ht="15" customHeight="1">
      <c r="A1092" s="26" t="n"/>
      <c r="B1092" s="26" t="n"/>
      <c r="C1092" s="26" t="n"/>
      <c r="D1092" s="26" t="n"/>
      <c r="E1092" s="26" t="n"/>
      <c r="F1092" s="26" t="n"/>
      <c r="G1092" s="26" t="n"/>
      <c r="H1092" s="26" t="n"/>
      <c r="I1092" s="26" t="n"/>
    </row>
    <row r="1093" ht="15" customHeight="1">
      <c r="A1093" s="26" t="n"/>
      <c r="B1093" s="26" t="n"/>
      <c r="C1093" s="26" t="n"/>
      <c r="D1093" s="26" t="n"/>
      <c r="E1093" s="26" t="n"/>
      <c r="F1093" s="26" t="n"/>
      <c r="G1093" s="26" t="n"/>
      <c r="H1093" s="26" t="n"/>
      <c r="I1093" s="26" t="n"/>
    </row>
    <row r="1094" ht="15" customHeight="1">
      <c r="A1094" s="26" t="n"/>
      <c r="B1094" s="26" t="n"/>
      <c r="C1094" s="26" t="n"/>
      <c r="D1094" s="26" t="n"/>
      <c r="E1094" s="26" t="n"/>
      <c r="F1094" s="26" t="n"/>
      <c r="G1094" s="26" t="n"/>
      <c r="H1094" s="26" t="n"/>
      <c r="I1094" s="26" t="n"/>
    </row>
    <row r="1095" ht="15" customHeight="1">
      <c r="A1095" s="26" t="n"/>
      <c r="B1095" s="26" t="n"/>
      <c r="C1095" s="26" t="n"/>
      <c r="D1095" s="26" t="n"/>
      <c r="E1095" s="26" t="n"/>
      <c r="F1095" s="26" t="n"/>
      <c r="G1095" s="26" t="n"/>
      <c r="H1095" s="26" t="n"/>
      <c r="I1095" s="26" t="n"/>
    </row>
    <row r="1096" ht="15" customHeight="1">
      <c r="A1096" s="26" t="n"/>
      <c r="B1096" s="26" t="n"/>
      <c r="C1096" s="26" t="n"/>
      <c r="D1096" s="26" t="n"/>
      <c r="E1096" s="26" t="n"/>
      <c r="F1096" s="26" t="n"/>
      <c r="G1096" s="26" t="n"/>
      <c r="H1096" s="26" t="n"/>
      <c r="I1096" s="26" t="n"/>
    </row>
    <row r="1097" ht="15" customHeight="1">
      <c r="A1097" s="26" t="n"/>
      <c r="B1097" s="26" t="n"/>
      <c r="C1097" s="26" t="n"/>
      <c r="D1097" s="26" t="n"/>
      <c r="E1097" s="26" t="n"/>
      <c r="F1097" s="26" t="n"/>
      <c r="G1097" s="26" t="n"/>
      <c r="H1097" s="26" t="n"/>
      <c r="I1097" s="26" t="n"/>
    </row>
    <row r="1098" ht="15" customHeight="1">
      <c r="A1098" s="26" t="n"/>
      <c r="B1098" s="26" t="n"/>
      <c r="C1098" s="26" t="n"/>
      <c r="D1098" s="26" t="n"/>
      <c r="E1098" s="26" t="n"/>
      <c r="F1098" s="26" t="n"/>
      <c r="G1098" s="26" t="n"/>
      <c r="H1098" s="26" t="n"/>
      <c r="I1098" s="26" t="n"/>
    </row>
    <row r="1099" ht="15" customHeight="1">
      <c r="A1099" s="26" t="n"/>
      <c r="B1099" s="26" t="n"/>
      <c r="C1099" s="26" t="n"/>
      <c r="D1099" s="26" t="n"/>
      <c r="E1099" s="26" t="n"/>
      <c r="F1099" s="26" t="n"/>
      <c r="G1099" s="26" t="n"/>
      <c r="H1099" s="26" t="n"/>
      <c r="I1099" s="26" t="n"/>
    </row>
    <row r="1100" ht="15" customHeight="1">
      <c r="A1100" s="26" t="n"/>
      <c r="B1100" s="26" t="n"/>
      <c r="C1100" s="26" t="n"/>
      <c r="D1100" s="26" t="n"/>
      <c r="E1100" s="26" t="n"/>
      <c r="F1100" s="26" t="n"/>
      <c r="G1100" s="26" t="n"/>
      <c r="H1100" s="26" t="n"/>
      <c r="I1100" s="26" t="n"/>
    </row>
    <row r="1101" ht="15" customHeight="1">
      <c r="A1101" s="26" t="n"/>
      <c r="B1101" s="26" t="n"/>
      <c r="C1101" s="26" t="n"/>
      <c r="D1101" s="26" t="n"/>
      <c r="E1101" s="26" t="n"/>
      <c r="F1101" s="26" t="n"/>
      <c r="G1101" s="26" t="n"/>
      <c r="H1101" s="26" t="n"/>
      <c r="I1101" s="26" t="n"/>
    </row>
    <row r="1102" ht="15" customHeight="1">
      <c r="A1102" s="26" t="n"/>
      <c r="B1102" s="26" t="n"/>
      <c r="C1102" s="26" t="n"/>
      <c r="D1102" s="26" t="n"/>
      <c r="E1102" s="26" t="n"/>
      <c r="F1102" s="26" t="n"/>
      <c r="G1102" s="26" t="n"/>
      <c r="H1102" s="26" t="n"/>
      <c r="I1102" s="26" t="n"/>
    </row>
    <row r="1103" ht="15" customHeight="1">
      <c r="A1103" s="26" t="n"/>
      <c r="B1103" s="26" t="n"/>
      <c r="C1103" s="26" t="n"/>
      <c r="D1103" s="26" t="n"/>
      <c r="E1103" s="26" t="n"/>
      <c r="F1103" s="26" t="n"/>
      <c r="G1103" s="26" t="n"/>
      <c r="H1103" s="26" t="n"/>
      <c r="I1103" s="26" t="n"/>
    </row>
    <row r="1104" ht="15" customHeight="1">
      <c r="A1104" s="26" t="n"/>
      <c r="B1104" s="26" t="n"/>
      <c r="C1104" s="26" t="n"/>
      <c r="D1104" s="26" t="n"/>
      <c r="E1104" s="26" t="n"/>
      <c r="F1104" s="26" t="n"/>
      <c r="G1104" s="26" t="n"/>
      <c r="H1104" s="26" t="n"/>
      <c r="I1104" s="26" t="n"/>
    </row>
    <row r="1105" ht="15" customHeight="1">
      <c r="A1105" s="26" t="n"/>
      <c r="B1105" s="26" t="n"/>
      <c r="C1105" s="26" t="n"/>
      <c r="D1105" s="26" t="n"/>
      <c r="E1105" s="26" t="n"/>
      <c r="F1105" s="26" t="n"/>
      <c r="G1105" s="26" t="n"/>
      <c r="H1105" s="26" t="n"/>
      <c r="I1105" s="26" t="n"/>
    </row>
    <row r="1106" ht="15" customHeight="1">
      <c r="A1106" s="26" t="n"/>
      <c r="B1106" s="26" t="n"/>
      <c r="C1106" s="26" t="n"/>
      <c r="D1106" s="26" t="n"/>
      <c r="E1106" s="26" t="n"/>
      <c r="F1106" s="26" t="n"/>
      <c r="G1106" s="26" t="n"/>
      <c r="H1106" s="26" t="n"/>
      <c r="I1106" s="26" t="n"/>
    </row>
    <row r="1107" ht="15" customHeight="1">
      <c r="A1107" s="26" t="n"/>
      <c r="B1107" s="26" t="n"/>
      <c r="C1107" s="26" t="n"/>
      <c r="D1107" s="26" t="n"/>
      <c r="E1107" s="26" t="n"/>
      <c r="F1107" s="26" t="n"/>
      <c r="G1107" s="26" t="n"/>
      <c r="H1107" s="26" t="n"/>
      <c r="I1107" s="26" t="n"/>
    </row>
    <row r="1108" ht="15" customHeight="1">
      <c r="A1108" s="26" t="n"/>
      <c r="B1108" s="26" t="n"/>
      <c r="C1108" s="26" t="n"/>
      <c r="D1108" s="26" t="n"/>
      <c r="E1108" s="26" t="n"/>
      <c r="F1108" s="26" t="n"/>
      <c r="G1108" s="26" t="n"/>
      <c r="H1108" s="26" t="n"/>
      <c r="I1108" s="26" t="n"/>
    </row>
    <row r="1109" ht="15" customHeight="1">
      <c r="A1109" s="26" t="n"/>
      <c r="B1109" s="26" t="n"/>
      <c r="C1109" s="26" t="n"/>
      <c r="D1109" s="26" t="n"/>
      <c r="E1109" s="26" t="n"/>
      <c r="F1109" s="26" t="n"/>
      <c r="G1109" s="26" t="n"/>
      <c r="H1109" s="26" t="n"/>
      <c r="I1109" s="26" t="n"/>
    </row>
    <row r="1110" ht="15" customHeight="1">
      <c r="A1110" s="26" t="n"/>
      <c r="B1110" s="26" t="n"/>
      <c r="C1110" s="26" t="n"/>
      <c r="D1110" s="26" t="n"/>
      <c r="E1110" s="26" t="n"/>
      <c r="F1110" s="26" t="n"/>
      <c r="G1110" s="26" t="n"/>
      <c r="H1110" s="26" t="n"/>
      <c r="I1110" s="26" t="n"/>
    </row>
    <row r="1111" ht="15" customHeight="1">
      <c r="A1111" s="26" t="n"/>
      <c r="B1111" s="26" t="n"/>
      <c r="C1111" s="26" t="n"/>
      <c r="D1111" s="26" t="n"/>
      <c r="E1111" s="26" t="n"/>
      <c r="F1111" s="26" t="n"/>
      <c r="G1111" s="26" t="n"/>
      <c r="H1111" s="26" t="n"/>
      <c r="I1111" s="26" t="n"/>
    </row>
    <row r="1112" ht="15" customHeight="1">
      <c r="A1112" s="26" t="n"/>
      <c r="B1112" s="26" t="n"/>
      <c r="C1112" s="26" t="n"/>
      <c r="D1112" s="26" t="n"/>
      <c r="E1112" s="26" t="n"/>
      <c r="F1112" s="26" t="n"/>
      <c r="G1112" s="26" t="n"/>
      <c r="H1112" s="26" t="n"/>
      <c r="I1112" s="26" t="n"/>
    </row>
    <row r="1113" ht="15" customHeight="1">
      <c r="A1113" s="26" t="n"/>
      <c r="B1113" s="26" t="n"/>
      <c r="C1113" s="26" t="n"/>
      <c r="D1113" s="26" t="n"/>
      <c r="E1113" s="26" t="n"/>
      <c r="F1113" s="26" t="n"/>
      <c r="G1113" s="26" t="n"/>
      <c r="H1113" s="26" t="n"/>
      <c r="I1113" s="26" t="n"/>
    </row>
    <row r="1114" ht="15" customHeight="1">
      <c r="A1114" s="26" t="n"/>
      <c r="B1114" s="26" t="n"/>
      <c r="C1114" s="26" t="n"/>
      <c r="D1114" s="26" t="n"/>
      <c r="E1114" s="26" t="n"/>
      <c r="F1114" s="26" t="n"/>
      <c r="G1114" s="26" t="n"/>
      <c r="H1114" s="26" t="n"/>
      <c r="I1114" s="26" t="n"/>
    </row>
    <row r="1115" ht="15" customHeight="1">
      <c r="A1115" s="26" t="n"/>
      <c r="B1115" s="26" t="n"/>
      <c r="C1115" s="26" t="n"/>
      <c r="D1115" s="26" t="n"/>
      <c r="E1115" s="26" t="n"/>
      <c r="F1115" s="26" t="n"/>
      <c r="G1115" s="26" t="n"/>
      <c r="H1115" s="26" t="n"/>
      <c r="I1115" s="26" t="n"/>
    </row>
    <row r="1116" ht="15" customHeight="1">
      <c r="A1116" s="26" t="n"/>
      <c r="B1116" s="26" t="n"/>
      <c r="C1116" s="26" t="n"/>
      <c r="D1116" s="26" t="n"/>
      <c r="E1116" s="26" t="n"/>
      <c r="F1116" s="26" t="n"/>
      <c r="G1116" s="26" t="n"/>
      <c r="H1116" s="26" t="n"/>
      <c r="I1116" s="26" t="n"/>
    </row>
    <row r="1117" ht="15" customHeight="1">
      <c r="A1117" s="26" t="n"/>
      <c r="B1117" s="26" t="n"/>
      <c r="C1117" s="26" t="n"/>
      <c r="D1117" s="26" t="n"/>
      <c r="E1117" s="26" t="n"/>
      <c r="F1117" s="26" t="n"/>
      <c r="G1117" s="26" t="n"/>
      <c r="H1117" s="26" t="n"/>
      <c r="I1117" s="26" t="n"/>
    </row>
    <row r="1118" ht="15" customHeight="1">
      <c r="A1118" s="26" t="n"/>
      <c r="B1118" s="26" t="n"/>
      <c r="C1118" s="26" t="n"/>
      <c r="D1118" s="26" t="n"/>
      <c r="E1118" s="26" t="n"/>
      <c r="F1118" s="26" t="n"/>
      <c r="G1118" s="26" t="n"/>
      <c r="H1118" s="26" t="n"/>
      <c r="I1118" s="26" t="n"/>
    </row>
    <row r="1119" ht="15" customHeight="1">
      <c r="A1119" s="26" t="n"/>
      <c r="B1119" s="26" t="n"/>
      <c r="C1119" s="26" t="n"/>
      <c r="D1119" s="26" t="n"/>
      <c r="E1119" s="26" t="n"/>
      <c r="F1119" s="26" t="n"/>
      <c r="G1119" s="26" t="n"/>
      <c r="H1119" s="26" t="n"/>
      <c r="I1119" s="26" t="n"/>
    </row>
    <row r="1120" ht="15" customHeight="1">
      <c r="A1120" s="26" t="n"/>
      <c r="B1120" s="26" t="n"/>
      <c r="C1120" s="26" t="n"/>
      <c r="D1120" s="26" t="n"/>
      <c r="E1120" s="26" t="n"/>
      <c r="F1120" s="26" t="n"/>
      <c r="G1120" s="26" t="n"/>
      <c r="H1120" s="26" t="n"/>
      <c r="I1120" s="26" t="n"/>
    </row>
    <row r="1121" ht="15" customHeight="1">
      <c r="A1121" s="26" t="n"/>
      <c r="B1121" s="26" t="n"/>
      <c r="C1121" s="26" t="n"/>
      <c r="D1121" s="26" t="n"/>
      <c r="E1121" s="26" t="n"/>
      <c r="F1121" s="26" t="n"/>
      <c r="G1121" s="26" t="n"/>
      <c r="H1121" s="26" t="n"/>
      <c r="I1121" s="26" t="n"/>
    </row>
    <row r="1122" ht="15" customHeight="1">
      <c r="A1122" s="26" t="n"/>
      <c r="B1122" s="26" t="n"/>
      <c r="C1122" s="26" t="n"/>
      <c r="D1122" s="26" t="n"/>
      <c r="E1122" s="26" t="n"/>
      <c r="F1122" s="26" t="n"/>
      <c r="G1122" s="26" t="n"/>
      <c r="H1122" s="26" t="n"/>
      <c r="I1122" s="26" t="n"/>
    </row>
    <row r="1123" ht="15" customHeight="1">
      <c r="A1123" s="26" t="n"/>
      <c r="B1123" s="26" t="n"/>
      <c r="C1123" s="26" t="n"/>
      <c r="D1123" s="26" t="n"/>
      <c r="E1123" s="26" t="n"/>
      <c r="F1123" s="26" t="n"/>
      <c r="G1123" s="26" t="n"/>
      <c r="H1123" s="26" t="n"/>
      <c r="I1123" s="26" t="n"/>
    </row>
    <row r="1124" ht="15" customHeight="1">
      <c r="A1124" s="26" t="n"/>
      <c r="B1124" s="26" t="n"/>
      <c r="C1124" s="26" t="n"/>
      <c r="D1124" s="26" t="n"/>
      <c r="E1124" s="26" t="n"/>
      <c r="F1124" s="26" t="n"/>
      <c r="G1124" s="26" t="n"/>
      <c r="H1124" s="26" t="n"/>
      <c r="I1124" s="26" t="n"/>
    </row>
    <row r="1125" ht="15" customHeight="1">
      <c r="A1125" s="26" t="n"/>
      <c r="B1125" s="26" t="n"/>
      <c r="C1125" s="26" t="n"/>
      <c r="D1125" s="26" t="n"/>
      <c r="E1125" s="26" t="n"/>
      <c r="F1125" s="26" t="n"/>
      <c r="G1125" s="26" t="n"/>
      <c r="H1125" s="26" t="n"/>
      <c r="I1125" s="26" t="n"/>
    </row>
    <row r="1126" ht="15" customHeight="1">
      <c r="A1126" s="26" t="n"/>
      <c r="B1126" s="26" t="n"/>
      <c r="C1126" s="26" t="n"/>
      <c r="D1126" s="26" t="n"/>
      <c r="E1126" s="26" t="n"/>
      <c r="F1126" s="26" t="n"/>
      <c r="G1126" s="26" t="n"/>
      <c r="H1126" s="26" t="n"/>
      <c r="I1126" s="26" t="n"/>
    </row>
    <row r="1127" ht="15" customHeight="1">
      <c r="A1127" s="26" t="n"/>
      <c r="B1127" s="26" t="n"/>
      <c r="C1127" s="26" t="n"/>
      <c r="D1127" s="26" t="n"/>
      <c r="E1127" s="26" t="n"/>
      <c r="F1127" s="26" t="n"/>
      <c r="G1127" s="26" t="n"/>
      <c r="H1127" s="26" t="n"/>
      <c r="I1127" s="26" t="n"/>
    </row>
    <row r="1128" ht="15" customHeight="1">
      <c r="A1128" s="26" t="n"/>
      <c r="B1128" s="26" t="n"/>
      <c r="C1128" s="26" t="n"/>
      <c r="D1128" s="26" t="n"/>
      <c r="E1128" s="26" t="n"/>
      <c r="F1128" s="26" t="n"/>
      <c r="G1128" s="26" t="n"/>
      <c r="H1128" s="26" t="n"/>
      <c r="I1128" s="26" t="n"/>
    </row>
    <row r="1129" ht="15" customHeight="1">
      <c r="A1129" s="26" t="n"/>
      <c r="B1129" s="26" t="n"/>
      <c r="C1129" s="26" t="n"/>
      <c r="D1129" s="26" t="n"/>
      <c r="E1129" s="26" t="n"/>
      <c r="F1129" s="26" t="n"/>
      <c r="G1129" s="26" t="n"/>
      <c r="H1129" s="26" t="n"/>
      <c r="I1129" s="26" t="n"/>
    </row>
    <row r="1130" ht="15" customHeight="1">
      <c r="A1130" s="26" t="n"/>
      <c r="B1130" s="26" t="n"/>
      <c r="C1130" s="26" t="n"/>
      <c r="D1130" s="26" t="n"/>
      <c r="E1130" s="26" t="n"/>
      <c r="F1130" s="26" t="n"/>
      <c r="G1130" s="26" t="n"/>
      <c r="H1130" s="26" t="n"/>
      <c r="I1130" s="26" t="n"/>
    </row>
    <row r="1131" ht="15" customHeight="1">
      <c r="A1131" s="26" t="n"/>
      <c r="B1131" s="26" t="n"/>
      <c r="C1131" s="26" t="n"/>
      <c r="D1131" s="26" t="n"/>
      <c r="E1131" s="26" t="n"/>
      <c r="F1131" s="26" t="n"/>
      <c r="G1131" s="26" t="n"/>
      <c r="H1131" s="26" t="n"/>
      <c r="I1131" s="26" t="n"/>
    </row>
    <row r="1132" ht="15" customHeight="1">
      <c r="A1132" s="26" t="n"/>
      <c r="B1132" s="26" t="n"/>
      <c r="C1132" s="26" t="n"/>
      <c r="D1132" s="26" t="n"/>
      <c r="E1132" s="26" t="n"/>
      <c r="F1132" s="26" t="n"/>
      <c r="G1132" s="26" t="n"/>
      <c r="H1132" s="26" t="n"/>
      <c r="I1132" s="26" t="n"/>
    </row>
    <row r="1133" ht="15" customHeight="1">
      <c r="A1133" s="26" t="n"/>
      <c r="B1133" s="26" t="n"/>
      <c r="C1133" s="26" t="n"/>
      <c r="D1133" s="26" t="n"/>
      <c r="E1133" s="26" t="n"/>
      <c r="F1133" s="26" t="n"/>
      <c r="G1133" s="26" t="n"/>
      <c r="H1133" s="26" t="n"/>
      <c r="I1133" s="26" t="n"/>
    </row>
    <row r="1134" ht="15" customHeight="1">
      <c r="A1134" s="26" t="n"/>
      <c r="B1134" s="26" t="n"/>
      <c r="C1134" s="26" t="n"/>
      <c r="D1134" s="26" t="n"/>
      <c r="E1134" s="26" t="n"/>
      <c r="F1134" s="26" t="n"/>
      <c r="G1134" s="26" t="n"/>
      <c r="H1134" s="26" t="n"/>
      <c r="I1134" s="26" t="n"/>
    </row>
    <row r="1135" ht="15" customHeight="1">
      <c r="A1135" s="26" t="n"/>
      <c r="B1135" s="26" t="n"/>
      <c r="C1135" s="26" t="n"/>
      <c r="D1135" s="26" t="n"/>
      <c r="E1135" s="26" t="n"/>
      <c r="F1135" s="26" t="n"/>
      <c r="G1135" s="26" t="n"/>
      <c r="H1135" s="26" t="n"/>
      <c r="I1135" s="26" t="n"/>
    </row>
    <row r="1136" ht="15" customHeight="1">
      <c r="A1136" s="26" t="n"/>
      <c r="B1136" s="26" t="n"/>
      <c r="C1136" s="26" t="n"/>
      <c r="D1136" s="26" t="n"/>
      <c r="E1136" s="26" t="n"/>
      <c r="F1136" s="26" t="n"/>
      <c r="G1136" s="26" t="n"/>
      <c r="H1136" s="26" t="n"/>
      <c r="I1136" s="26" t="n"/>
    </row>
    <row r="1137" ht="15" customHeight="1">
      <c r="A1137" s="26" t="n"/>
      <c r="B1137" s="26" t="n"/>
      <c r="C1137" s="26" t="n"/>
      <c r="D1137" s="26" t="n"/>
      <c r="E1137" s="26" t="n"/>
      <c r="F1137" s="26" t="n"/>
      <c r="G1137" s="26" t="n"/>
      <c r="H1137" s="26" t="n"/>
      <c r="I1137" s="26" t="n"/>
    </row>
    <row r="1138" ht="15" customHeight="1">
      <c r="A1138" s="26" t="n"/>
      <c r="B1138" s="26" t="n"/>
      <c r="C1138" s="26" t="n"/>
      <c r="D1138" s="26" t="n"/>
      <c r="E1138" s="26" t="n"/>
      <c r="F1138" s="26" t="n"/>
      <c r="G1138" s="26" t="n"/>
      <c r="H1138" s="26" t="n"/>
      <c r="I1138" s="26" t="n"/>
    </row>
    <row r="1139" ht="15" customHeight="1">
      <c r="A1139" s="26" t="n"/>
      <c r="B1139" s="26" t="n"/>
      <c r="C1139" s="26" t="n"/>
      <c r="D1139" s="26" t="n"/>
      <c r="E1139" s="26" t="n"/>
      <c r="F1139" s="26" t="n"/>
      <c r="G1139" s="26" t="n"/>
      <c r="H1139" s="26" t="n"/>
      <c r="I1139" s="26" t="n"/>
    </row>
    <row r="1140" ht="15" customHeight="1">
      <c r="A1140" s="26" t="n"/>
      <c r="B1140" s="26" t="n"/>
      <c r="C1140" s="26" t="n"/>
      <c r="D1140" s="26" t="n"/>
      <c r="E1140" s="26" t="n"/>
      <c r="F1140" s="26" t="n"/>
      <c r="G1140" s="26" t="n"/>
      <c r="H1140" s="26" t="n"/>
      <c r="I1140" s="26" t="n"/>
    </row>
    <row r="1141" ht="15" customHeight="1">
      <c r="A1141" s="26" t="n"/>
      <c r="B1141" s="26" t="n"/>
      <c r="C1141" s="26" t="n"/>
      <c r="D1141" s="26" t="n"/>
      <c r="E1141" s="26" t="n"/>
      <c r="F1141" s="26" t="n"/>
      <c r="G1141" s="26" t="n"/>
      <c r="H1141" s="26" t="n"/>
      <c r="I1141" s="26" t="n"/>
    </row>
    <row r="1142" ht="15" customHeight="1">
      <c r="A1142" s="26" t="n"/>
      <c r="B1142" s="26" t="n"/>
      <c r="C1142" s="26" t="n"/>
      <c r="D1142" s="26" t="n"/>
      <c r="E1142" s="26" t="n"/>
      <c r="F1142" s="26" t="n"/>
      <c r="G1142" s="26" t="n"/>
      <c r="H1142" s="26" t="n"/>
      <c r="I1142" s="26" t="n"/>
    </row>
    <row r="1143" ht="15" customHeight="1">
      <c r="A1143" s="26" t="n"/>
      <c r="B1143" s="26" t="n"/>
      <c r="C1143" s="26" t="n"/>
      <c r="D1143" s="26" t="n"/>
      <c r="E1143" s="26" t="n"/>
      <c r="F1143" s="26" t="n"/>
      <c r="G1143" s="26" t="n"/>
      <c r="H1143" s="26" t="n"/>
      <c r="I1143" s="26" t="n"/>
    </row>
    <row r="1144" ht="15" customHeight="1">
      <c r="A1144" s="26" t="n"/>
      <c r="B1144" s="26" t="n"/>
      <c r="C1144" s="26" t="n"/>
      <c r="D1144" s="26" t="n"/>
      <c r="E1144" s="26" t="n"/>
      <c r="F1144" s="26" t="n"/>
      <c r="G1144" s="26" t="n"/>
      <c r="H1144" s="26" t="n"/>
      <c r="I1144" s="26" t="n"/>
    </row>
    <row r="1145" ht="15" customHeight="1">
      <c r="A1145" s="26" t="n"/>
      <c r="B1145" s="26" t="n"/>
      <c r="C1145" s="26" t="n"/>
      <c r="D1145" s="26" t="n"/>
      <c r="E1145" s="26" t="n"/>
      <c r="F1145" s="26" t="n"/>
      <c r="G1145" s="26" t="n"/>
      <c r="H1145" s="26" t="n"/>
      <c r="I1145" s="26" t="n"/>
    </row>
    <row r="1146" ht="15" customHeight="1">
      <c r="A1146" s="26" t="n"/>
      <c r="B1146" s="26" t="n"/>
      <c r="C1146" s="26" t="n"/>
      <c r="D1146" s="26" t="n"/>
      <c r="E1146" s="26" t="n"/>
      <c r="F1146" s="26" t="n"/>
      <c r="G1146" s="26" t="n"/>
      <c r="H1146" s="26" t="n"/>
      <c r="I1146" s="26" t="n"/>
    </row>
    <row r="1147" ht="15" customHeight="1">
      <c r="A1147" s="26" t="n"/>
      <c r="B1147" s="26" t="n"/>
      <c r="C1147" s="26" t="n"/>
      <c r="D1147" s="26" t="n"/>
      <c r="E1147" s="26" t="n"/>
      <c r="F1147" s="26" t="n"/>
      <c r="G1147" s="26" t="n"/>
      <c r="H1147" s="26" t="n"/>
      <c r="I1147" s="26" t="n"/>
    </row>
    <row r="1148" ht="15" customHeight="1">
      <c r="A1148" s="26" t="n"/>
      <c r="B1148" s="26" t="n"/>
      <c r="C1148" s="26" t="n"/>
      <c r="D1148" s="26" t="n"/>
      <c r="E1148" s="26" t="n"/>
      <c r="F1148" s="26" t="n"/>
      <c r="G1148" s="26" t="n"/>
      <c r="H1148" s="26" t="n"/>
      <c r="I1148" s="26" t="n"/>
    </row>
    <row r="1149" ht="15" customHeight="1">
      <c r="A1149" s="26" t="n"/>
      <c r="B1149" s="26" t="n"/>
      <c r="C1149" s="26" t="n"/>
      <c r="D1149" s="26" t="n"/>
      <c r="E1149" s="26" t="n"/>
      <c r="F1149" s="26" t="n"/>
      <c r="G1149" s="26" t="n"/>
      <c r="H1149" s="26" t="n"/>
      <c r="I1149" s="26" t="n"/>
    </row>
    <row r="1150" ht="15" customHeight="1">
      <c r="A1150" s="26" t="n"/>
      <c r="B1150" s="26" t="n"/>
      <c r="C1150" s="26" t="n"/>
      <c r="D1150" s="26" t="n"/>
      <c r="E1150" s="26" t="n"/>
      <c r="F1150" s="26" t="n"/>
      <c r="G1150" s="26" t="n"/>
      <c r="H1150" s="26" t="n"/>
      <c r="I1150" s="26" t="n"/>
    </row>
    <row r="1151" ht="15" customHeight="1">
      <c r="A1151" s="26" t="n"/>
      <c r="B1151" s="26" t="n"/>
      <c r="C1151" s="26" t="n"/>
      <c r="D1151" s="26" t="n"/>
      <c r="E1151" s="26" t="n"/>
      <c r="F1151" s="26" t="n"/>
      <c r="G1151" s="26" t="n"/>
      <c r="H1151" s="26" t="n"/>
      <c r="I1151" s="26" t="n"/>
    </row>
    <row r="1152" ht="15" customHeight="1">
      <c r="A1152" s="26" t="n"/>
      <c r="B1152" s="26" t="n"/>
      <c r="C1152" s="26" t="n"/>
      <c r="D1152" s="26" t="n"/>
      <c r="E1152" s="26" t="n"/>
      <c r="F1152" s="26" t="n"/>
      <c r="G1152" s="26" t="n"/>
      <c r="H1152" s="26" t="n"/>
      <c r="I1152" s="26" t="n"/>
    </row>
    <row r="1153" ht="15" customHeight="1">
      <c r="A1153" s="26" t="n"/>
      <c r="B1153" s="26" t="n"/>
      <c r="C1153" s="26" t="n"/>
      <c r="D1153" s="26" t="n"/>
      <c r="E1153" s="26" t="n"/>
      <c r="F1153" s="26" t="n"/>
      <c r="G1153" s="26" t="n"/>
      <c r="H1153" s="26" t="n"/>
      <c r="I1153" s="26" t="n"/>
    </row>
    <row r="1154" ht="15" customHeight="1">
      <c r="A1154" s="26" t="n"/>
      <c r="B1154" s="26" t="n"/>
      <c r="C1154" s="26" t="n"/>
      <c r="D1154" s="26" t="n"/>
      <c r="E1154" s="26" t="n"/>
      <c r="F1154" s="26" t="n"/>
      <c r="G1154" s="26" t="n"/>
      <c r="H1154" s="26" t="n"/>
      <c r="I1154" s="26" t="n"/>
    </row>
    <row r="1155" ht="15" customHeight="1">
      <c r="A1155" s="26" t="n"/>
      <c r="B1155" s="26" t="n"/>
      <c r="C1155" s="26" t="n"/>
      <c r="D1155" s="26" t="n"/>
      <c r="E1155" s="26" t="n"/>
      <c r="F1155" s="26" t="n"/>
      <c r="G1155" s="26" t="n"/>
      <c r="H1155" s="26" t="n"/>
      <c r="I1155" s="26" t="n"/>
    </row>
    <row r="1156" ht="15" customHeight="1">
      <c r="A1156" s="26" t="n"/>
      <c r="B1156" s="26" t="n"/>
      <c r="C1156" s="26" t="n"/>
      <c r="D1156" s="26" t="n"/>
      <c r="E1156" s="26" t="n"/>
      <c r="F1156" s="26" t="n"/>
      <c r="G1156" s="26" t="n"/>
      <c r="H1156" s="26" t="n"/>
      <c r="I1156" s="26" t="n"/>
    </row>
    <row r="1157" ht="15" customHeight="1">
      <c r="A1157" s="26" t="n"/>
      <c r="B1157" s="26" t="n"/>
      <c r="C1157" s="26" t="n"/>
      <c r="D1157" s="26" t="n"/>
      <c r="E1157" s="26" t="n"/>
      <c r="F1157" s="26" t="n"/>
      <c r="G1157" s="26" t="n"/>
      <c r="H1157" s="26" t="n"/>
      <c r="I1157" s="26" t="n"/>
    </row>
    <row r="1158" ht="15" customHeight="1">
      <c r="A1158" s="26" t="n"/>
      <c r="B1158" s="26" t="n"/>
      <c r="C1158" s="26" t="n"/>
      <c r="D1158" s="26" t="n"/>
      <c r="E1158" s="26" t="n"/>
      <c r="F1158" s="26" t="n"/>
      <c r="G1158" s="26" t="n"/>
      <c r="H1158" s="26" t="n"/>
      <c r="I1158" s="26" t="n"/>
    </row>
    <row r="1159" ht="15" customHeight="1">
      <c r="A1159" s="26" t="n"/>
      <c r="B1159" s="26" t="n"/>
      <c r="C1159" s="26" t="n"/>
      <c r="D1159" s="26" t="n"/>
      <c r="E1159" s="26" t="n"/>
      <c r="F1159" s="26" t="n"/>
      <c r="G1159" s="26" t="n"/>
      <c r="H1159" s="26" t="n"/>
      <c r="I1159" s="26" t="n"/>
    </row>
    <row r="1160" ht="15" customHeight="1">
      <c r="A1160" s="26" t="n"/>
      <c r="B1160" s="26" t="n"/>
      <c r="C1160" s="26" t="n"/>
      <c r="D1160" s="26" t="n"/>
      <c r="E1160" s="26" t="n"/>
      <c r="F1160" s="26" t="n"/>
      <c r="G1160" s="26" t="n"/>
      <c r="H1160" s="26" t="n"/>
      <c r="I1160" s="26" t="n"/>
    </row>
    <row r="1161" ht="15" customHeight="1">
      <c r="A1161" s="26" t="n"/>
      <c r="B1161" s="26" t="n"/>
      <c r="C1161" s="26" t="n"/>
      <c r="D1161" s="26" t="n"/>
      <c r="E1161" s="26" t="n"/>
      <c r="F1161" s="26" t="n"/>
      <c r="G1161" s="26" t="n"/>
      <c r="H1161" s="26" t="n"/>
      <c r="I1161" s="26" t="n"/>
    </row>
    <row r="1162" ht="15" customHeight="1">
      <c r="A1162" s="26" t="n"/>
      <c r="B1162" s="26" t="n"/>
      <c r="C1162" s="26" t="n"/>
      <c r="D1162" s="26" t="n"/>
      <c r="E1162" s="26" t="n"/>
      <c r="F1162" s="26" t="n"/>
      <c r="G1162" s="26" t="n"/>
      <c r="H1162" s="26" t="n"/>
      <c r="I1162" s="26" t="n"/>
    </row>
    <row r="1163" ht="15" customHeight="1">
      <c r="A1163" s="26" t="n"/>
      <c r="B1163" s="26" t="n"/>
      <c r="C1163" s="26" t="n"/>
      <c r="D1163" s="26" t="n"/>
      <c r="E1163" s="26" t="n"/>
      <c r="F1163" s="26" t="n"/>
      <c r="G1163" s="26" t="n"/>
      <c r="H1163" s="26" t="n"/>
      <c r="I1163" s="26" t="n"/>
    </row>
    <row r="1164" ht="15" customHeight="1">
      <c r="A1164" s="26" t="n"/>
      <c r="B1164" s="26" t="n"/>
      <c r="C1164" s="26" t="n"/>
      <c r="D1164" s="26" t="n"/>
      <c r="E1164" s="26" t="n"/>
      <c r="F1164" s="26" t="n"/>
      <c r="G1164" s="26" t="n"/>
      <c r="H1164" s="26" t="n"/>
      <c r="I1164" s="26" t="n"/>
    </row>
    <row r="1165" ht="15" customHeight="1">
      <c r="A1165" s="26" t="n"/>
      <c r="B1165" s="26" t="n"/>
      <c r="C1165" s="26" t="n"/>
      <c r="D1165" s="26" t="n"/>
      <c r="E1165" s="26" t="n"/>
      <c r="F1165" s="26" t="n"/>
      <c r="G1165" s="26" t="n"/>
      <c r="H1165" s="26" t="n"/>
      <c r="I1165" s="26" t="n"/>
    </row>
    <row r="1166" ht="15" customHeight="1">
      <c r="A1166" s="26" t="n"/>
      <c r="B1166" s="26" t="n"/>
      <c r="C1166" s="26" t="n"/>
      <c r="D1166" s="26" t="n"/>
      <c r="E1166" s="26" t="n"/>
      <c r="F1166" s="26" t="n"/>
      <c r="G1166" s="26" t="n"/>
      <c r="H1166" s="26" t="n"/>
      <c r="I1166" s="26" t="n"/>
    </row>
    <row r="1167" ht="15" customHeight="1">
      <c r="A1167" s="26" t="n"/>
      <c r="B1167" s="26" t="n"/>
      <c r="C1167" s="26" t="n"/>
      <c r="D1167" s="26" t="n"/>
      <c r="E1167" s="26" t="n"/>
      <c r="F1167" s="26" t="n"/>
      <c r="G1167" s="26" t="n"/>
      <c r="H1167" s="26" t="n"/>
      <c r="I1167" s="26" t="n"/>
    </row>
    <row r="1168" ht="15" customHeight="1">
      <c r="A1168" s="26" t="n"/>
      <c r="B1168" s="26" t="n"/>
      <c r="C1168" s="26" t="n"/>
      <c r="D1168" s="26" t="n"/>
      <c r="E1168" s="26" t="n"/>
      <c r="F1168" s="26" t="n"/>
      <c r="G1168" s="26" t="n"/>
      <c r="H1168" s="26" t="n"/>
      <c r="I1168" s="26" t="n"/>
    </row>
  </sheetData>
  <dataValidations count="1">
    <dataValidation sqref="A6:A1168" showDropDown="0" showInputMessage="0" showErrorMessage="1" allowBlank="1" errorTitle="Invalid Date" error="Enter a valid date after year 2000." type="date" operator="greaterThan">
      <formula1>DATE(2000,1,1)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G1017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10" defaultColWidth="8.6640625" defaultRowHeight="15"/>
  <cols>
    <col width="8" customWidth="1" min="1" max="1"/>
    <col width="14" customWidth="1" min="2" max="2"/>
    <col width="22" customWidth="1" min="3" max="3"/>
    <col width="12" customWidth="1" min="4" max="4"/>
    <col width="16" customWidth="1" min="5" max="6"/>
    <col width="20" customWidth="1" min="7" max="7"/>
  </cols>
  <sheetData>
    <row r="2" ht="18" customHeight="1">
      <c r="B2" s="16" t="inlineStr">
        <is>
          <t>Staff Salaries</t>
        </is>
      </c>
    </row>
    <row r="3" ht="15" customHeight="1">
      <c r="B3" s="12" t="inlineStr">
        <is>
          <t>Monthly company payroll — feeds into total expenses</t>
        </is>
      </c>
    </row>
    <row r="4" ht="17.25" customHeight="1">
      <c r="A4" s="17" t="inlineStr">
        <is>
          <t>ANNUAL PAYROLL TOTAL:</t>
        </is>
      </c>
      <c r="E4" s="29">
        <f>SUMPRODUCT((Staff_Salaries!A6:A5000=Dashboard!$B$1)*(Staff_Salaries!E6:E5000))</f>
        <v/>
      </c>
      <c r="F4" s="30" t="inlineStr">
        <is>
          <t>Staff count:</t>
        </is>
      </c>
      <c r="G4" s="31">
        <f>COUNTA(Employee_Data!C6:C5000)</f>
        <v/>
      </c>
    </row>
    <row r="5" ht="23.25" customHeight="1">
      <c r="A5" s="19" t="inlineStr">
        <is>
          <t>Year</t>
        </is>
      </c>
      <c r="B5" s="19" t="inlineStr">
        <is>
          <t>Month</t>
        </is>
      </c>
      <c r="C5" s="19" t="inlineStr">
        <is>
          <t>Description</t>
        </is>
      </c>
      <c r="D5" s="19" t="inlineStr">
        <is>
          <t>Staff Count</t>
        </is>
      </c>
      <c r="E5" s="19" t="inlineStr">
        <is>
          <t>Total Paid</t>
        </is>
      </c>
      <c r="F5" s="19" t="inlineStr">
        <is>
          <t>Payment Method</t>
        </is>
      </c>
      <c r="G5" s="19" t="inlineStr">
        <is>
          <t>Notes</t>
        </is>
      </c>
    </row>
    <row r="6" ht="15" customHeight="1">
      <c r="A6" s="21" t="n">
        <v>2024</v>
      </c>
      <c r="B6" s="21" t="inlineStr">
        <is>
          <t>January</t>
        </is>
      </c>
      <c r="C6" s="21" t="inlineStr">
        <is>
          <t>Monthly staff payroll</t>
        </is>
      </c>
      <c r="D6" s="21" t="n">
        <v>12</v>
      </c>
      <c r="E6" s="22" t="n">
        <v>407669</v>
      </c>
      <c r="F6" s="21" t="inlineStr">
        <is>
          <t>Bank Transfer</t>
        </is>
      </c>
      <c r="G6" s="21" t="n"/>
    </row>
    <row r="7" ht="15" customHeight="1">
      <c r="A7" s="24" t="n">
        <v>2024</v>
      </c>
      <c r="B7" s="24" t="inlineStr">
        <is>
          <t>February</t>
        </is>
      </c>
      <c r="C7" s="24" t="inlineStr">
        <is>
          <t>Monthly staff payroll</t>
        </is>
      </c>
      <c r="D7" s="24" t="n">
        <v>12</v>
      </c>
      <c r="E7" s="25" t="n">
        <v>406109</v>
      </c>
      <c r="F7" s="24" t="inlineStr">
        <is>
          <t>Bank Transfer</t>
        </is>
      </c>
      <c r="G7" s="24" t="n"/>
    </row>
    <row r="8" ht="15" customHeight="1">
      <c r="A8" s="21" t="n">
        <v>2024</v>
      </c>
      <c r="B8" s="21" t="inlineStr">
        <is>
          <t>March</t>
        </is>
      </c>
      <c r="C8" s="21" t="inlineStr">
        <is>
          <t>Monthly staff payroll</t>
        </is>
      </c>
      <c r="D8" s="21" t="n">
        <v>12</v>
      </c>
      <c r="E8" s="22" t="n">
        <v>401121</v>
      </c>
      <c r="F8" s="21" t="inlineStr">
        <is>
          <t>Bank Transfer</t>
        </is>
      </c>
      <c r="G8" s="21" t="n"/>
    </row>
    <row r="9" ht="15" customHeight="1">
      <c r="A9" s="24" t="n">
        <v>2024</v>
      </c>
      <c r="B9" s="24" t="inlineStr">
        <is>
          <t>April</t>
        </is>
      </c>
      <c r="C9" s="24" t="inlineStr">
        <is>
          <t>Monthly staff payroll</t>
        </is>
      </c>
      <c r="D9" s="24" t="n">
        <v>12</v>
      </c>
      <c r="E9" s="25" t="n">
        <v>411259</v>
      </c>
      <c r="F9" s="24" t="inlineStr">
        <is>
          <t>Bank Transfer</t>
        </is>
      </c>
      <c r="G9" s="24" t="n"/>
    </row>
    <row r="10" ht="15" customHeight="1">
      <c r="A10" s="21" t="n">
        <v>2024</v>
      </c>
      <c r="B10" s="21" t="inlineStr">
        <is>
          <t>May</t>
        </is>
      </c>
      <c r="C10" s="21" t="inlineStr">
        <is>
          <t>Monthly staff payroll</t>
        </is>
      </c>
      <c r="D10" s="21" t="n">
        <v>12</v>
      </c>
      <c r="E10" s="22" t="n">
        <v>411302</v>
      </c>
      <c r="F10" s="21" t="inlineStr">
        <is>
          <t>Bank Transfer</t>
        </is>
      </c>
      <c r="G10" s="21" t="n"/>
    </row>
    <row r="11" ht="15" customHeight="1">
      <c r="A11" s="24" t="n">
        <v>2024</v>
      </c>
      <c r="B11" s="24" t="inlineStr">
        <is>
          <t>June</t>
        </is>
      </c>
      <c r="C11" s="24" t="inlineStr">
        <is>
          <t>Monthly staff payroll</t>
        </is>
      </c>
      <c r="D11" s="24" t="n">
        <v>12</v>
      </c>
      <c r="E11" s="25" t="n">
        <v>407037</v>
      </c>
      <c r="F11" s="24" t="inlineStr">
        <is>
          <t>Bank Transfer</t>
        </is>
      </c>
      <c r="G11" s="24" t="n"/>
    </row>
    <row r="12" ht="15" customHeight="1">
      <c r="A12" s="21" t="n">
        <v>2024</v>
      </c>
      <c r="B12" s="21" t="inlineStr">
        <is>
          <t>July</t>
        </is>
      </c>
      <c r="C12" s="21" t="inlineStr">
        <is>
          <t>Monthly staff payroll</t>
        </is>
      </c>
      <c r="D12" s="21" t="n">
        <v>12</v>
      </c>
      <c r="E12" s="22" t="n">
        <v>412015</v>
      </c>
      <c r="F12" s="21" t="inlineStr">
        <is>
          <t>Bank Transfer</t>
        </is>
      </c>
      <c r="G12" s="21" t="n"/>
    </row>
    <row r="13" ht="15" customHeight="1">
      <c r="A13" s="24" t="n">
        <v>2024</v>
      </c>
      <c r="B13" s="24" t="inlineStr">
        <is>
          <t>August</t>
        </is>
      </c>
      <c r="C13" s="24" t="inlineStr">
        <is>
          <t>Monthly staff payroll</t>
        </is>
      </c>
      <c r="D13" s="24" t="n">
        <v>12</v>
      </c>
      <c r="E13" s="25" t="n">
        <v>403739</v>
      </c>
      <c r="F13" s="24" t="inlineStr">
        <is>
          <t>Bank Transfer</t>
        </is>
      </c>
      <c r="G13" s="24" t="n"/>
    </row>
    <row r="14" ht="15" customHeight="1">
      <c r="A14" s="21" t="n">
        <v>2024</v>
      </c>
      <c r="B14" s="21" t="inlineStr">
        <is>
          <t>September</t>
        </is>
      </c>
      <c r="C14" s="21" t="inlineStr">
        <is>
          <t>Monthly staff payroll</t>
        </is>
      </c>
      <c r="D14" s="21" t="n">
        <v>12</v>
      </c>
      <c r="E14" s="22" t="n">
        <v>397707</v>
      </c>
      <c r="F14" s="21" t="inlineStr">
        <is>
          <t>Bank Transfer</t>
        </is>
      </c>
      <c r="G14" s="21" t="n"/>
    </row>
    <row r="15" ht="15" customHeight="1">
      <c r="A15" s="24" t="n">
        <v>2024</v>
      </c>
      <c r="B15" s="24" t="inlineStr">
        <is>
          <t>October</t>
        </is>
      </c>
      <c r="C15" s="24" t="inlineStr">
        <is>
          <t>Monthly staff payroll</t>
        </is>
      </c>
      <c r="D15" s="24" t="n">
        <v>12</v>
      </c>
      <c r="E15" s="25" t="n">
        <v>408910</v>
      </c>
      <c r="F15" s="24" t="inlineStr">
        <is>
          <t>Bank Transfer</t>
        </is>
      </c>
      <c r="G15" s="24" t="n"/>
    </row>
    <row r="16" ht="15" customHeight="1">
      <c r="A16" s="21" t="n">
        <v>2024</v>
      </c>
      <c r="B16" s="21" t="inlineStr">
        <is>
          <t>November</t>
        </is>
      </c>
      <c r="C16" s="21" t="inlineStr">
        <is>
          <t>Monthly staff payroll</t>
        </is>
      </c>
      <c r="D16" s="21" t="n">
        <v>12</v>
      </c>
      <c r="E16" s="22" t="n">
        <v>397586</v>
      </c>
      <c r="F16" s="21" t="inlineStr">
        <is>
          <t>Bank Transfer</t>
        </is>
      </c>
      <c r="G16" s="21" t="n"/>
    </row>
    <row r="17" ht="15" customHeight="1">
      <c r="A17" s="24" t="n">
        <v>2024</v>
      </c>
      <c r="B17" s="24" t="inlineStr">
        <is>
          <t>December</t>
        </is>
      </c>
      <c r="C17" s="24" t="inlineStr">
        <is>
          <t>Monthly staff payroll</t>
        </is>
      </c>
      <c r="D17" s="24" t="n">
        <v>12</v>
      </c>
      <c r="E17" s="25" t="n">
        <v>409110</v>
      </c>
      <c r="F17" s="24" t="inlineStr">
        <is>
          <t>Bank Transfer</t>
        </is>
      </c>
      <c r="G17" s="24" t="n"/>
    </row>
    <row r="18" ht="15" customHeight="1">
      <c r="A18" s="26" t="n"/>
      <c r="B18" s="26" t="n"/>
      <c r="C18" s="26" t="n"/>
      <c r="D18" s="26" t="n"/>
      <c r="E18" s="26" t="n"/>
      <c r="F18" s="26" t="n"/>
      <c r="G18" s="26" t="n"/>
    </row>
    <row r="19" ht="15" customHeight="1">
      <c r="A19" s="26" t="n"/>
      <c r="B19" s="26" t="n"/>
      <c r="C19" s="26" t="n"/>
      <c r="D19" s="26" t="n"/>
      <c r="E19" s="26" t="n"/>
      <c r="F19" s="26" t="n"/>
      <c r="G19" s="26" t="n"/>
    </row>
    <row r="20" ht="15" customHeight="1">
      <c r="A20" s="26" t="n"/>
      <c r="B20" s="26" t="n"/>
      <c r="C20" s="26" t="n"/>
      <c r="D20" s="26" t="n"/>
      <c r="E20" s="26" t="n"/>
      <c r="F20" s="26" t="n"/>
      <c r="G20" s="26" t="n"/>
    </row>
    <row r="21" ht="15" customHeight="1">
      <c r="A21" s="26" t="n"/>
      <c r="B21" s="26" t="n"/>
      <c r="C21" s="26" t="n"/>
      <c r="D21" s="26" t="n"/>
      <c r="E21" s="26" t="n"/>
      <c r="F21" s="26" t="n"/>
      <c r="G21" s="26" t="n"/>
    </row>
    <row r="22" ht="15" customHeight="1">
      <c r="A22" s="26" t="n"/>
      <c r="B22" s="26" t="n"/>
      <c r="C22" s="26" t="n"/>
      <c r="D22" s="26" t="n"/>
      <c r="E22" s="26" t="n"/>
      <c r="F22" s="26" t="n"/>
      <c r="G22" s="26" t="n"/>
    </row>
    <row r="23" ht="15" customHeight="1">
      <c r="A23" s="26" t="n"/>
      <c r="B23" s="26" t="n"/>
      <c r="C23" s="26" t="n"/>
      <c r="D23" s="26" t="n"/>
      <c r="E23" s="26" t="n"/>
      <c r="F23" s="26" t="n"/>
      <c r="G23" s="26" t="n"/>
    </row>
    <row r="24" ht="15" customHeight="1">
      <c r="A24" s="26" t="n"/>
      <c r="B24" s="26" t="n"/>
      <c r="C24" s="26" t="n"/>
      <c r="D24" s="26" t="n"/>
      <c r="E24" s="26" t="n"/>
      <c r="F24" s="26" t="n"/>
      <c r="G24" s="26" t="n"/>
    </row>
    <row r="25" ht="15" customHeight="1">
      <c r="A25" s="26" t="n"/>
      <c r="B25" s="26" t="n"/>
      <c r="C25" s="26" t="n"/>
      <c r="D25" s="26" t="n"/>
      <c r="E25" s="26" t="n"/>
      <c r="F25" s="26" t="n"/>
      <c r="G25" s="26" t="n"/>
    </row>
    <row r="26" ht="15" customHeight="1">
      <c r="A26" s="26" t="n"/>
      <c r="B26" s="26" t="n"/>
      <c r="C26" s="26" t="n"/>
      <c r="D26" s="26" t="n"/>
      <c r="E26" s="26" t="n"/>
      <c r="F26" s="26" t="n"/>
      <c r="G26" s="26" t="n"/>
    </row>
    <row r="27" ht="15" customHeight="1">
      <c r="A27" s="26" t="n"/>
      <c r="B27" s="26" t="n"/>
      <c r="C27" s="26" t="n"/>
      <c r="D27" s="26" t="n"/>
      <c r="E27" s="26" t="n"/>
      <c r="F27" s="26" t="n"/>
      <c r="G27" s="26" t="n"/>
    </row>
    <row r="28" ht="15" customHeight="1">
      <c r="A28" s="26" t="n"/>
      <c r="B28" s="26" t="n"/>
      <c r="C28" s="26" t="n"/>
      <c r="D28" s="26" t="n"/>
      <c r="E28" s="26" t="n"/>
      <c r="F28" s="26" t="n"/>
      <c r="G28" s="26" t="n"/>
    </row>
    <row r="29" ht="15" customHeight="1">
      <c r="A29" s="26" t="n"/>
      <c r="B29" s="26" t="n"/>
      <c r="C29" s="26" t="n"/>
      <c r="D29" s="26" t="n"/>
      <c r="E29" s="26" t="n"/>
      <c r="F29" s="26" t="n"/>
      <c r="G29" s="26" t="n"/>
    </row>
    <row r="30" ht="15" customHeight="1">
      <c r="A30" s="26" t="n"/>
      <c r="B30" s="26" t="n"/>
      <c r="C30" s="26" t="n"/>
      <c r="D30" s="26" t="n"/>
      <c r="E30" s="26" t="n"/>
      <c r="F30" s="26" t="n"/>
      <c r="G30" s="26" t="n"/>
    </row>
    <row r="31" ht="15" customHeight="1">
      <c r="A31" s="26" t="n"/>
      <c r="B31" s="26" t="n"/>
      <c r="C31" s="26" t="n"/>
      <c r="D31" s="26" t="n"/>
      <c r="E31" s="26" t="n"/>
      <c r="F31" s="26" t="n"/>
      <c r="G31" s="26" t="n"/>
    </row>
    <row r="32" ht="15" customHeight="1">
      <c r="A32" s="26" t="n"/>
      <c r="B32" s="26" t="n"/>
      <c r="C32" s="26" t="n"/>
      <c r="D32" s="26" t="n"/>
      <c r="E32" s="26" t="n"/>
      <c r="F32" s="26" t="n"/>
      <c r="G32" s="26" t="n"/>
    </row>
    <row r="33" ht="15" customHeight="1">
      <c r="A33" s="26" t="n"/>
      <c r="B33" s="26" t="n"/>
      <c r="C33" s="26" t="n"/>
      <c r="D33" s="26" t="n"/>
      <c r="E33" s="26" t="n"/>
      <c r="F33" s="26" t="n"/>
      <c r="G33" s="26" t="n"/>
    </row>
    <row r="34" ht="15" customHeight="1">
      <c r="A34" s="26" t="n"/>
      <c r="B34" s="26" t="n"/>
      <c r="C34" s="26" t="n"/>
      <c r="D34" s="26" t="n"/>
      <c r="E34" s="26" t="n"/>
      <c r="F34" s="26" t="n"/>
      <c r="G34" s="26" t="n"/>
    </row>
    <row r="35" ht="15" customHeight="1">
      <c r="A35" s="26" t="n"/>
      <c r="B35" s="26" t="n"/>
      <c r="C35" s="26" t="n"/>
      <c r="D35" s="26" t="n"/>
      <c r="E35" s="26" t="n"/>
      <c r="F35" s="26" t="n"/>
      <c r="G35" s="26" t="n"/>
    </row>
    <row r="36" ht="15" customHeight="1">
      <c r="A36" s="26" t="n"/>
      <c r="B36" s="26" t="n"/>
      <c r="C36" s="26" t="n"/>
      <c r="D36" s="26" t="n"/>
      <c r="E36" s="26" t="n"/>
      <c r="F36" s="26" t="n"/>
      <c r="G36" s="26" t="n"/>
    </row>
    <row r="37" ht="15" customHeight="1">
      <c r="A37" s="26" t="n"/>
      <c r="B37" s="26" t="n"/>
      <c r="C37" s="26" t="n"/>
      <c r="D37" s="26" t="n"/>
      <c r="E37" s="26" t="n"/>
      <c r="F37" s="26" t="n"/>
      <c r="G37" s="26" t="n"/>
    </row>
    <row r="38" ht="15" customHeight="1">
      <c r="A38" s="26" t="n"/>
      <c r="B38" s="26" t="n"/>
      <c r="C38" s="26" t="n"/>
      <c r="D38" s="26" t="n"/>
      <c r="E38" s="26" t="n"/>
      <c r="F38" s="26" t="n"/>
      <c r="G38" s="26" t="n"/>
    </row>
    <row r="39" ht="15" customHeight="1">
      <c r="A39" s="26" t="n"/>
      <c r="B39" s="26" t="n"/>
      <c r="C39" s="26" t="n"/>
      <c r="D39" s="26" t="n"/>
      <c r="E39" s="26" t="n"/>
      <c r="F39" s="26" t="n"/>
      <c r="G39" s="26" t="n"/>
    </row>
    <row r="40" ht="15" customHeight="1">
      <c r="A40" s="26" t="n"/>
      <c r="B40" s="26" t="n"/>
      <c r="C40" s="26" t="n"/>
      <c r="D40" s="26" t="n"/>
      <c r="E40" s="26" t="n"/>
      <c r="F40" s="26" t="n"/>
      <c r="G40" s="26" t="n"/>
    </row>
    <row r="41" ht="15" customHeight="1">
      <c r="A41" s="26" t="n"/>
      <c r="B41" s="26" t="n"/>
      <c r="C41" s="26" t="n"/>
      <c r="D41" s="26" t="n"/>
      <c r="E41" s="26" t="n"/>
      <c r="F41" s="26" t="n"/>
      <c r="G41" s="26" t="n"/>
    </row>
    <row r="42" ht="15" customHeight="1">
      <c r="A42" s="26" t="n"/>
      <c r="B42" s="26" t="n"/>
      <c r="C42" s="26" t="n"/>
      <c r="D42" s="26" t="n"/>
      <c r="E42" s="26" t="n"/>
      <c r="F42" s="26" t="n"/>
      <c r="G42" s="26" t="n"/>
    </row>
    <row r="43" ht="15" customHeight="1">
      <c r="A43" s="26" t="n"/>
      <c r="B43" s="26" t="n"/>
      <c r="C43" s="26" t="n"/>
      <c r="D43" s="26" t="n"/>
      <c r="E43" s="26" t="n"/>
      <c r="F43" s="26" t="n"/>
      <c r="G43" s="26" t="n"/>
    </row>
    <row r="44" ht="15" customHeight="1">
      <c r="A44" s="26" t="n"/>
      <c r="B44" s="26" t="n"/>
      <c r="C44" s="26" t="n"/>
      <c r="D44" s="26" t="n"/>
      <c r="E44" s="26" t="n"/>
      <c r="F44" s="26" t="n"/>
      <c r="G44" s="26" t="n"/>
    </row>
    <row r="45" ht="15" customHeight="1">
      <c r="A45" s="26" t="n"/>
      <c r="B45" s="26" t="n"/>
      <c r="C45" s="26" t="n"/>
      <c r="D45" s="26" t="n"/>
      <c r="E45" s="26" t="n"/>
      <c r="F45" s="26" t="n"/>
      <c r="G45" s="26" t="n"/>
    </row>
    <row r="46" ht="15" customHeight="1">
      <c r="A46" s="26" t="n"/>
      <c r="B46" s="26" t="n"/>
      <c r="C46" s="26" t="n"/>
      <c r="D46" s="26" t="n"/>
      <c r="E46" s="26" t="n"/>
      <c r="F46" s="26" t="n"/>
      <c r="G46" s="26" t="n"/>
    </row>
    <row r="47" ht="15" customHeight="1">
      <c r="A47" s="26" t="n"/>
      <c r="B47" s="26" t="n"/>
      <c r="C47" s="26" t="n"/>
      <c r="D47" s="26" t="n"/>
      <c r="E47" s="26" t="n"/>
      <c r="F47" s="26" t="n"/>
      <c r="G47" s="26" t="n"/>
    </row>
    <row r="48" ht="15" customHeight="1">
      <c r="A48" s="26" t="n"/>
      <c r="B48" s="26" t="n"/>
      <c r="C48" s="26" t="n"/>
      <c r="D48" s="26" t="n"/>
      <c r="E48" s="26" t="n"/>
      <c r="F48" s="26" t="n"/>
      <c r="G48" s="26" t="n"/>
    </row>
    <row r="49" ht="15" customHeight="1">
      <c r="A49" s="26" t="n"/>
      <c r="B49" s="26" t="n"/>
      <c r="C49" s="26" t="n"/>
      <c r="D49" s="26" t="n"/>
      <c r="E49" s="26" t="n"/>
      <c r="F49" s="26" t="n"/>
      <c r="G49" s="26" t="n"/>
    </row>
    <row r="50" ht="15" customHeight="1">
      <c r="A50" s="26" t="n"/>
      <c r="B50" s="26" t="n"/>
      <c r="C50" s="26" t="n"/>
      <c r="D50" s="26" t="n"/>
      <c r="E50" s="26" t="n"/>
      <c r="F50" s="26" t="n"/>
      <c r="G50" s="26" t="n"/>
    </row>
    <row r="51" ht="15" customHeight="1">
      <c r="A51" s="26" t="n"/>
      <c r="B51" s="26" t="n"/>
      <c r="C51" s="26" t="n"/>
      <c r="D51" s="26" t="n"/>
      <c r="E51" s="26" t="n"/>
      <c r="F51" s="26" t="n"/>
      <c r="G51" s="26" t="n"/>
    </row>
    <row r="52" ht="15" customHeight="1">
      <c r="A52" s="26" t="n"/>
      <c r="B52" s="26" t="n"/>
      <c r="C52" s="26" t="n"/>
      <c r="D52" s="26" t="n"/>
      <c r="E52" s="26" t="n"/>
      <c r="F52" s="26" t="n"/>
      <c r="G52" s="26" t="n"/>
    </row>
    <row r="53" ht="15" customHeight="1">
      <c r="A53" s="26" t="n"/>
      <c r="B53" s="26" t="n"/>
      <c r="C53" s="26" t="n"/>
      <c r="D53" s="26" t="n"/>
      <c r="E53" s="26" t="n"/>
      <c r="F53" s="26" t="n"/>
      <c r="G53" s="26" t="n"/>
    </row>
    <row r="54" ht="15" customHeight="1">
      <c r="A54" s="26" t="n"/>
      <c r="B54" s="26" t="n"/>
      <c r="C54" s="26" t="n"/>
      <c r="D54" s="26" t="n"/>
      <c r="E54" s="26" t="n"/>
      <c r="F54" s="26" t="n"/>
      <c r="G54" s="26" t="n"/>
    </row>
    <row r="55" ht="15" customHeight="1">
      <c r="A55" s="26" t="n"/>
      <c r="B55" s="26" t="n"/>
      <c r="C55" s="26" t="n"/>
      <c r="D55" s="26" t="n"/>
      <c r="E55" s="26" t="n"/>
      <c r="F55" s="26" t="n"/>
      <c r="G55" s="26" t="n"/>
    </row>
    <row r="56" ht="15" customHeight="1">
      <c r="A56" s="26" t="n"/>
      <c r="B56" s="26" t="n"/>
      <c r="C56" s="26" t="n"/>
      <c r="D56" s="26" t="n"/>
      <c r="E56" s="26" t="n"/>
      <c r="F56" s="26" t="n"/>
      <c r="G56" s="26" t="n"/>
    </row>
    <row r="57" ht="15" customHeight="1">
      <c r="A57" s="26" t="n"/>
      <c r="B57" s="26" t="n"/>
      <c r="C57" s="26" t="n"/>
      <c r="D57" s="26" t="n"/>
      <c r="E57" s="26" t="n"/>
      <c r="F57" s="26" t="n"/>
      <c r="G57" s="26" t="n"/>
    </row>
    <row r="58" ht="15" customHeight="1">
      <c r="A58" s="26" t="n"/>
      <c r="B58" s="26" t="n"/>
      <c r="C58" s="26" t="n"/>
      <c r="D58" s="26" t="n"/>
      <c r="E58" s="26" t="n"/>
      <c r="F58" s="26" t="n"/>
      <c r="G58" s="26" t="n"/>
    </row>
    <row r="59" ht="15" customHeight="1">
      <c r="A59" s="26" t="n"/>
      <c r="B59" s="26" t="n"/>
      <c r="C59" s="26" t="n"/>
      <c r="D59" s="26" t="n"/>
      <c r="E59" s="26" t="n"/>
      <c r="F59" s="26" t="n"/>
      <c r="G59" s="26" t="n"/>
    </row>
    <row r="60" ht="15" customHeight="1">
      <c r="A60" s="26" t="n"/>
      <c r="B60" s="26" t="n"/>
      <c r="C60" s="26" t="n"/>
      <c r="D60" s="26" t="n"/>
      <c r="E60" s="26" t="n"/>
      <c r="F60" s="26" t="n"/>
      <c r="G60" s="26" t="n"/>
    </row>
    <row r="61" ht="15" customHeight="1">
      <c r="A61" s="26" t="n"/>
      <c r="B61" s="26" t="n"/>
      <c r="C61" s="26" t="n"/>
      <c r="D61" s="26" t="n"/>
      <c r="E61" s="26" t="n"/>
      <c r="F61" s="26" t="n"/>
      <c r="G61" s="26" t="n"/>
    </row>
    <row r="62" ht="15" customHeight="1">
      <c r="A62" s="26" t="n"/>
      <c r="B62" s="26" t="n"/>
      <c r="C62" s="26" t="n"/>
      <c r="D62" s="26" t="n"/>
      <c r="E62" s="26" t="n"/>
      <c r="F62" s="26" t="n"/>
      <c r="G62" s="26" t="n"/>
    </row>
    <row r="63" ht="15" customHeight="1">
      <c r="A63" s="26" t="n"/>
      <c r="B63" s="26" t="n"/>
      <c r="C63" s="26" t="n"/>
      <c r="D63" s="26" t="n"/>
      <c r="E63" s="26" t="n"/>
      <c r="F63" s="26" t="n"/>
      <c r="G63" s="26" t="n"/>
    </row>
    <row r="64" ht="15" customHeight="1">
      <c r="A64" s="26" t="n"/>
      <c r="B64" s="26" t="n"/>
      <c r="C64" s="26" t="n"/>
      <c r="D64" s="26" t="n"/>
      <c r="E64" s="26" t="n"/>
      <c r="F64" s="26" t="n"/>
      <c r="G64" s="26" t="n"/>
    </row>
    <row r="65" ht="15" customHeight="1">
      <c r="A65" s="26" t="n"/>
      <c r="B65" s="26" t="n"/>
      <c r="C65" s="26" t="n"/>
      <c r="D65" s="26" t="n"/>
      <c r="E65" s="26" t="n"/>
      <c r="F65" s="26" t="n"/>
      <c r="G65" s="26" t="n"/>
    </row>
    <row r="66" ht="15" customHeight="1">
      <c r="A66" s="26" t="n"/>
      <c r="B66" s="26" t="n"/>
      <c r="C66" s="26" t="n"/>
      <c r="D66" s="26" t="n"/>
      <c r="E66" s="26" t="n"/>
      <c r="F66" s="26" t="n"/>
      <c r="G66" s="26" t="n"/>
    </row>
    <row r="67" ht="15" customHeight="1">
      <c r="A67" s="26" t="n"/>
      <c r="B67" s="26" t="n"/>
      <c r="C67" s="26" t="n"/>
      <c r="D67" s="26" t="n"/>
      <c r="E67" s="26" t="n"/>
      <c r="F67" s="26" t="n"/>
      <c r="G67" s="26" t="n"/>
    </row>
    <row r="68" ht="15" customHeight="1">
      <c r="A68" s="26" t="n"/>
      <c r="B68" s="26" t="n"/>
      <c r="C68" s="26" t="n"/>
      <c r="D68" s="26" t="n"/>
      <c r="E68" s="26" t="n"/>
      <c r="F68" s="26" t="n"/>
      <c r="G68" s="26" t="n"/>
    </row>
    <row r="69" ht="15" customHeight="1">
      <c r="A69" s="26" t="n"/>
      <c r="B69" s="26" t="n"/>
      <c r="C69" s="26" t="n"/>
      <c r="D69" s="26" t="n"/>
      <c r="E69" s="26" t="n"/>
      <c r="F69" s="26" t="n"/>
      <c r="G69" s="26" t="n"/>
    </row>
    <row r="70" ht="15" customHeight="1">
      <c r="A70" s="26" t="n"/>
      <c r="B70" s="26" t="n"/>
      <c r="C70" s="26" t="n"/>
      <c r="D70" s="26" t="n"/>
      <c r="E70" s="26" t="n"/>
      <c r="F70" s="26" t="n"/>
      <c r="G70" s="26" t="n"/>
    </row>
    <row r="71" ht="15" customHeight="1">
      <c r="A71" s="26" t="n"/>
      <c r="B71" s="26" t="n"/>
      <c r="C71" s="26" t="n"/>
      <c r="D71" s="26" t="n"/>
      <c r="E71" s="26" t="n"/>
      <c r="F71" s="26" t="n"/>
      <c r="G71" s="26" t="n"/>
    </row>
    <row r="72" ht="15" customHeight="1">
      <c r="A72" s="26" t="n"/>
      <c r="B72" s="26" t="n"/>
      <c r="C72" s="26" t="n"/>
      <c r="D72" s="26" t="n"/>
      <c r="E72" s="26" t="n"/>
      <c r="F72" s="26" t="n"/>
      <c r="G72" s="26" t="n"/>
    </row>
    <row r="73" ht="15" customHeight="1">
      <c r="A73" s="26" t="n"/>
      <c r="B73" s="26" t="n"/>
      <c r="C73" s="26" t="n"/>
      <c r="D73" s="26" t="n"/>
      <c r="E73" s="26" t="n"/>
      <c r="F73" s="26" t="n"/>
      <c r="G73" s="26" t="n"/>
    </row>
    <row r="74" ht="15" customHeight="1">
      <c r="A74" s="26" t="n"/>
      <c r="B74" s="26" t="n"/>
      <c r="C74" s="26" t="n"/>
      <c r="D74" s="26" t="n"/>
      <c r="E74" s="26" t="n"/>
      <c r="F74" s="26" t="n"/>
      <c r="G74" s="26" t="n"/>
    </row>
    <row r="75" ht="15" customHeight="1">
      <c r="A75" s="26" t="n"/>
      <c r="B75" s="26" t="n"/>
      <c r="C75" s="26" t="n"/>
      <c r="D75" s="26" t="n"/>
      <c r="E75" s="26" t="n"/>
      <c r="F75" s="26" t="n"/>
      <c r="G75" s="26" t="n"/>
    </row>
    <row r="76" ht="15" customHeight="1">
      <c r="A76" s="26" t="n"/>
      <c r="B76" s="26" t="n"/>
      <c r="C76" s="26" t="n"/>
      <c r="D76" s="26" t="n"/>
      <c r="E76" s="26" t="n"/>
      <c r="F76" s="26" t="n"/>
      <c r="G76" s="26" t="n"/>
    </row>
    <row r="77" ht="15" customHeight="1">
      <c r="A77" s="26" t="n"/>
      <c r="B77" s="26" t="n"/>
      <c r="C77" s="26" t="n"/>
      <c r="D77" s="26" t="n"/>
      <c r="E77" s="26" t="n"/>
      <c r="F77" s="26" t="n"/>
      <c r="G77" s="26" t="n"/>
    </row>
    <row r="78" ht="15" customHeight="1">
      <c r="A78" s="26" t="n"/>
      <c r="B78" s="26" t="n"/>
      <c r="C78" s="26" t="n"/>
      <c r="D78" s="26" t="n"/>
      <c r="E78" s="26" t="n"/>
      <c r="F78" s="26" t="n"/>
      <c r="G78" s="26" t="n"/>
    </row>
    <row r="79" ht="15" customHeight="1">
      <c r="A79" s="26" t="n"/>
      <c r="B79" s="26" t="n"/>
      <c r="C79" s="26" t="n"/>
      <c r="D79" s="26" t="n"/>
      <c r="E79" s="26" t="n"/>
      <c r="F79" s="26" t="n"/>
      <c r="G79" s="26" t="n"/>
    </row>
    <row r="80" ht="15" customHeight="1">
      <c r="A80" s="26" t="n"/>
      <c r="B80" s="26" t="n"/>
      <c r="C80" s="26" t="n"/>
      <c r="D80" s="26" t="n"/>
      <c r="E80" s="26" t="n"/>
      <c r="F80" s="26" t="n"/>
      <c r="G80" s="26" t="n"/>
    </row>
    <row r="81" ht="15" customHeight="1">
      <c r="A81" s="26" t="n"/>
      <c r="B81" s="26" t="n"/>
      <c r="C81" s="26" t="n"/>
      <c r="D81" s="26" t="n"/>
      <c r="E81" s="26" t="n"/>
      <c r="F81" s="26" t="n"/>
      <c r="G81" s="26" t="n"/>
    </row>
    <row r="82" ht="15" customHeight="1">
      <c r="A82" s="26" t="n"/>
      <c r="B82" s="26" t="n"/>
      <c r="C82" s="26" t="n"/>
      <c r="D82" s="26" t="n"/>
      <c r="E82" s="26" t="n"/>
      <c r="F82" s="26" t="n"/>
      <c r="G82" s="26" t="n"/>
    </row>
    <row r="83" ht="15" customHeight="1">
      <c r="A83" s="26" t="n"/>
      <c r="B83" s="26" t="n"/>
      <c r="C83" s="26" t="n"/>
      <c r="D83" s="26" t="n"/>
      <c r="E83" s="26" t="n"/>
      <c r="F83" s="26" t="n"/>
      <c r="G83" s="26" t="n"/>
    </row>
    <row r="84" ht="15" customHeight="1">
      <c r="A84" s="26" t="n"/>
      <c r="B84" s="26" t="n"/>
      <c r="C84" s="26" t="n"/>
      <c r="D84" s="26" t="n"/>
      <c r="E84" s="26" t="n"/>
      <c r="F84" s="26" t="n"/>
      <c r="G84" s="26" t="n"/>
    </row>
    <row r="85" ht="15" customHeight="1">
      <c r="A85" s="26" t="n"/>
      <c r="B85" s="26" t="n"/>
      <c r="C85" s="26" t="n"/>
      <c r="D85" s="26" t="n"/>
      <c r="E85" s="26" t="n"/>
      <c r="F85" s="26" t="n"/>
      <c r="G85" s="26" t="n"/>
    </row>
    <row r="86" ht="15" customHeight="1">
      <c r="A86" s="26" t="n"/>
      <c r="B86" s="26" t="n"/>
      <c r="C86" s="26" t="n"/>
      <c r="D86" s="26" t="n"/>
      <c r="E86" s="26" t="n"/>
      <c r="F86" s="26" t="n"/>
      <c r="G86" s="26" t="n"/>
    </row>
    <row r="87" ht="15" customHeight="1">
      <c r="A87" s="26" t="n"/>
      <c r="B87" s="26" t="n"/>
      <c r="C87" s="26" t="n"/>
      <c r="D87" s="26" t="n"/>
      <c r="E87" s="26" t="n"/>
      <c r="F87" s="26" t="n"/>
      <c r="G87" s="26" t="n"/>
    </row>
    <row r="88" ht="15" customHeight="1">
      <c r="A88" s="26" t="n"/>
      <c r="B88" s="26" t="n"/>
      <c r="C88" s="26" t="n"/>
      <c r="D88" s="26" t="n"/>
      <c r="E88" s="26" t="n"/>
      <c r="F88" s="26" t="n"/>
      <c r="G88" s="26" t="n"/>
    </row>
    <row r="89" ht="15" customHeight="1">
      <c r="A89" s="26" t="n"/>
      <c r="B89" s="26" t="n"/>
      <c r="C89" s="26" t="n"/>
      <c r="D89" s="26" t="n"/>
      <c r="E89" s="26" t="n"/>
      <c r="F89" s="26" t="n"/>
      <c r="G89" s="26" t="n"/>
    </row>
    <row r="90" ht="15" customHeight="1">
      <c r="A90" s="26" t="n"/>
      <c r="B90" s="26" t="n"/>
      <c r="C90" s="26" t="n"/>
      <c r="D90" s="26" t="n"/>
      <c r="E90" s="26" t="n"/>
      <c r="F90" s="26" t="n"/>
      <c r="G90" s="26" t="n"/>
    </row>
    <row r="91" ht="15" customHeight="1">
      <c r="A91" s="26" t="n"/>
      <c r="B91" s="26" t="n"/>
      <c r="C91" s="26" t="n"/>
      <c r="D91" s="26" t="n"/>
      <c r="E91" s="26" t="n"/>
      <c r="F91" s="26" t="n"/>
      <c r="G91" s="26" t="n"/>
    </row>
    <row r="92" ht="15" customHeight="1">
      <c r="A92" s="26" t="n"/>
      <c r="B92" s="26" t="n"/>
      <c r="C92" s="26" t="n"/>
      <c r="D92" s="26" t="n"/>
      <c r="E92" s="26" t="n"/>
      <c r="F92" s="26" t="n"/>
      <c r="G92" s="26" t="n"/>
    </row>
    <row r="93" ht="15" customHeight="1">
      <c r="A93" s="26" t="n"/>
      <c r="B93" s="26" t="n"/>
      <c r="C93" s="26" t="n"/>
      <c r="D93" s="26" t="n"/>
      <c r="E93" s="26" t="n"/>
      <c r="F93" s="26" t="n"/>
      <c r="G93" s="26" t="n"/>
    </row>
    <row r="94" ht="15" customHeight="1">
      <c r="A94" s="26" t="n"/>
      <c r="B94" s="26" t="n"/>
      <c r="C94" s="26" t="n"/>
      <c r="D94" s="26" t="n"/>
      <c r="E94" s="26" t="n"/>
      <c r="F94" s="26" t="n"/>
      <c r="G94" s="26" t="n"/>
    </row>
    <row r="95" ht="15" customHeight="1">
      <c r="A95" s="26" t="n"/>
      <c r="B95" s="26" t="n"/>
      <c r="C95" s="26" t="n"/>
      <c r="D95" s="26" t="n"/>
      <c r="E95" s="26" t="n"/>
      <c r="F95" s="26" t="n"/>
      <c r="G95" s="26" t="n"/>
    </row>
    <row r="96" ht="15" customHeight="1">
      <c r="A96" s="26" t="n"/>
      <c r="B96" s="26" t="n"/>
      <c r="C96" s="26" t="n"/>
      <c r="D96" s="26" t="n"/>
      <c r="E96" s="26" t="n"/>
      <c r="F96" s="26" t="n"/>
      <c r="G96" s="26" t="n"/>
    </row>
    <row r="97" ht="15" customHeight="1">
      <c r="A97" s="26" t="n"/>
      <c r="B97" s="26" t="n"/>
      <c r="C97" s="26" t="n"/>
      <c r="D97" s="26" t="n"/>
      <c r="E97" s="26" t="n"/>
      <c r="F97" s="26" t="n"/>
      <c r="G97" s="26" t="n"/>
    </row>
    <row r="98" ht="15" customHeight="1">
      <c r="A98" s="26" t="n"/>
      <c r="B98" s="26" t="n"/>
      <c r="C98" s="26" t="n"/>
      <c r="D98" s="26" t="n"/>
      <c r="E98" s="26" t="n"/>
      <c r="F98" s="26" t="n"/>
      <c r="G98" s="26" t="n"/>
    </row>
    <row r="99" ht="15" customHeight="1">
      <c r="A99" s="26" t="n"/>
      <c r="B99" s="26" t="n"/>
      <c r="C99" s="26" t="n"/>
      <c r="D99" s="26" t="n"/>
      <c r="E99" s="26" t="n"/>
      <c r="F99" s="26" t="n"/>
      <c r="G99" s="26" t="n"/>
    </row>
    <row r="100" ht="15" customHeight="1">
      <c r="A100" s="26" t="n"/>
      <c r="B100" s="26" t="n"/>
      <c r="C100" s="26" t="n"/>
      <c r="D100" s="26" t="n"/>
      <c r="E100" s="26" t="n"/>
      <c r="F100" s="26" t="n"/>
      <c r="G100" s="26" t="n"/>
    </row>
    <row r="101" ht="15" customHeight="1">
      <c r="A101" s="26" t="n"/>
      <c r="B101" s="26" t="n"/>
      <c r="C101" s="26" t="n"/>
      <c r="D101" s="26" t="n"/>
      <c r="E101" s="26" t="n"/>
      <c r="F101" s="26" t="n"/>
      <c r="G101" s="26" t="n"/>
    </row>
    <row r="102" ht="15" customHeight="1">
      <c r="A102" s="26" t="n"/>
      <c r="B102" s="26" t="n"/>
      <c r="C102" s="26" t="n"/>
      <c r="D102" s="26" t="n"/>
      <c r="E102" s="26" t="n"/>
      <c r="F102" s="26" t="n"/>
      <c r="G102" s="26" t="n"/>
    </row>
    <row r="103" ht="15" customHeight="1">
      <c r="A103" s="26" t="n"/>
      <c r="B103" s="26" t="n"/>
      <c r="C103" s="26" t="n"/>
      <c r="D103" s="26" t="n"/>
      <c r="E103" s="26" t="n"/>
      <c r="F103" s="26" t="n"/>
      <c r="G103" s="26" t="n"/>
    </row>
    <row r="104" ht="15" customHeight="1">
      <c r="A104" s="26" t="n"/>
      <c r="B104" s="26" t="n"/>
      <c r="C104" s="26" t="n"/>
      <c r="D104" s="26" t="n"/>
      <c r="E104" s="26" t="n"/>
      <c r="F104" s="26" t="n"/>
      <c r="G104" s="26" t="n"/>
    </row>
    <row r="105" ht="15" customHeight="1">
      <c r="A105" s="26" t="n"/>
      <c r="B105" s="26" t="n"/>
      <c r="C105" s="26" t="n"/>
      <c r="D105" s="26" t="n"/>
      <c r="E105" s="26" t="n"/>
      <c r="F105" s="26" t="n"/>
      <c r="G105" s="26" t="n"/>
    </row>
    <row r="106" ht="15" customHeight="1">
      <c r="A106" s="26" t="n"/>
      <c r="B106" s="26" t="n"/>
      <c r="C106" s="26" t="n"/>
      <c r="D106" s="26" t="n"/>
      <c r="E106" s="26" t="n"/>
      <c r="F106" s="26" t="n"/>
      <c r="G106" s="26" t="n"/>
    </row>
    <row r="107" ht="15" customHeight="1">
      <c r="A107" s="26" t="n"/>
      <c r="B107" s="26" t="n"/>
      <c r="C107" s="26" t="n"/>
      <c r="D107" s="26" t="n"/>
      <c r="E107" s="26" t="n"/>
      <c r="F107" s="26" t="n"/>
      <c r="G107" s="26" t="n"/>
    </row>
    <row r="108" ht="15" customHeight="1">
      <c r="A108" s="26" t="n"/>
      <c r="B108" s="26" t="n"/>
      <c r="C108" s="26" t="n"/>
      <c r="D108" s="26" t="n"/>
      <c r="E108" s="26" t="n"/>
      <c r="F108" s="26" t="n"/>
      <c r="G108" s="26" t="n"/>
    </row>
    <row r="109" ht="15" customHeight="1">
      <c r="A109" s="26" t="n"/>
      <c r="B109" s="26" t="n"/>
      <c r="C109" s="26" t="n"/>
      <c r="D109" s="26" t="n"/>
      <c r="E109" s="26" t="n"/>
      <c r="F109" s="26" t="n"/>
      <c r="G109" s="26" t="n"/>
    </row>
    <row r="110" ht="15" customHeight="1">
      <c r="A110" s="26" t="n"/>
      <c r="B110" s="26" t="n"/>
      <c r="C110" s="26" t="n"/>
      <c r="D110" s="26" t="n"/>
      <c r="E110" s="26" t="n"/>
      <c r="F110" s="26" t="n"/>
      <c r="G110" s="26" t="n"/>
    </row>
    <row r="111" ht="15" customHeight="1">
      <c r="A111" s="26" t="n"/>
      <c r="B111" s="26" t="n"/>
      <c r="C111" s="26" t="n"/>
      <c r="D111" s="26" t="n"/>
      <c r="E111" s="26" t="n"/>
      <c r="F111" s="26" t="n"/>
      <c r="G111" s="26" t="n"/>
    </row>
    <row r="112" ht="15" customHeight="1">
      <c r="A112" s="26" t="n"/>
      <c r="B112" s="26" t="n"/>
      <c r="C112" s="26" t="n"/>
      <c r="D112" s="26" t="n"/>
      <c r="E112" s="26" t="n"/>
      <c r="F112" s="26" t="n"/>
      <c r="G112" s="26" t="n"/>
    </row>
    <row r="113" ht="15" customHeight="1">
      <c r="A113" s="26" t="n"/>
      <c r="B113" s="26" t="n"/>
      <c r="C113" s="26" t="n"/>
      <c r="D113" s="26" t="n"/>
      <c r="E113" s="26" t="n"/>
      <c r="F113" s="26" t="n"/>
      <c r="G113" s="26" t="n"/>
    </row>
    <row r="114" ht="15" customHeight="1">
      <c r="A114" s="26" t="n"/>
      <c r="B114" s="26" t="n"/>
      <c r="C114" s="26" t="n"/>
      <c r="D114" s="26" t="n"/>
      <c r="E114" s="26" t="n"/>
      <c r="F114" s="26" t="n"/>
      <c r="G114" s="26" t="n"/>
    </row>
    <row r="115" ht="15" customHeight="1">
      <c r="A115" s="26" t="n"/>
      <c r="B115" s="26" t="n"/>
      <c r="C115" s="26" t="n"/>
      <c r="D115" s="26" t="n"/>
      <c r="E115" s="26" t="n"/>
      <c r="F115" s="26" t="n"/>
      <c r="G115" s="26" t="n"/>
    </row>
    <row r="116" ht="15" customHeight="1">
      <c r="A116" s="26" t="n"/>
      <c r="B116" s="26" t="n"/>
      <c r="C116" s="26" t="n"/>
      <c r="D116" s="26" t="n"/>
      <c r="E116" s="26" t="n"/>
      <c r="F116" s="26" t="n"/>
      <c r="G116" s="26" t="n"/>
    </row>
    <row r="117" ht="15" customHeight="1">
      <c r="A117" s="26" t="n"/>
      <c r="B117" s="26" t="n"/>
      <c r="C117" s="26" t="n"/>
      <c r="D117" s="26" t="n"/>
      <c r="E117" s="26" t="n"/>
      <c r="F117" s="26" t="n"/>
      <c r="G117" s="26" t="n"/>
    </row>
    <row r="118" ht="15" customHeight="1">
      <c r="A118" s="26" t="n"/>
      <c r="B118" s="26" t="n"/>
      <c r="C118" s="26" t="n"/>
      <c r="D118" s="26" t="n"/>
      <c r="E118" s="26" t="n"/>
      <c r="F118" s="26" t="n"/>
      <c r="G118" s="26" t="n"/>
    </row>
    <row r="119" ht="15" customHeight="1">
      <c r="A119" s="26" t="n"/>
      <c r="B119" s="26" t="n"/>
      <c r="C119" s="26" t="n"/>
      <c r="D119" s="26" t="n"/>
      <c r="E119" s="26" t="n"/>
      <c r="F119" s="26" t="n"/>
      <c r="G119" s="26" t="n"/>
    </row>
    <row r="120" ht="15" customHeight="1">
      <c r="A120" s="26" t="n"/>
      <c r="B120" s="26" t="n"/>
      <c r="C120" s="26" t="n"/>
      <c r="D120" s="26" t="n"/>
      <c r="E120" s="26" t="n"/>
      <c r="F120" s="26" t="n"/>
      <c r="G120" s="26" t="n"/>
    </row>
    <row r="121" ht="15" customHeight="1">
      <c r="A121" s="26" t="n"/>
      <c r="B121" s="26" t="n"/>
      <c r="C121" s="26" t="n"/>
      <c r="D121" s="26" t="n"/>
      <c r="E121" s="26" t="n"/>
      <c r="F121" s="26" t="n"/>
      <c r="G121" s="26" t="n"/>
    </row>
    <row r="122" ht="15" customHeight="1">
      <c r="A122" s="26" t="n"/>
      <c r="B122" s="26" t="n"/>
      <c r="C122" s="26" t="n"/>
      <c r="D122" s="26" t="n"/>
      <c r="E122" s="26" t="n"/>
      <c r="F122" s="26" t="n"/>
      <c r="G122" s="26" t="n"/>
    </row>
    <row r="123" ht="15" customHeight="1">
      <c r="A123" s="26" t="n"/>
      <c r="B123" s="26" t="n"/>
      <c r="C123" s="26" t="n"/>
      <c r="D123" s="26" t="n"/>
      <c r="E123" s="26" t="n"/>
      <c r="F123" s="26" t="n"/>
      <c r="G123" s="26" t="n"/>
    </row>
    <row r="124" ht="15" customHeight="1">
      <c r="A124" s="26" t="n"/>
      <c r="B124" s="26" t="n"/>
      <c r="C124" s="26" t="n"/>
      <c r="D124" s="26" t="n"/>
      <c r="E124" s="26" t="n"/>
      <c r="F124" s="26" t="n"/>
      <c r="G124" s="26" t="n"/>
    </row>
    <row r="125" ht="15" customHeight="1">
      <c r="A125" s="26" t="n"/>
      <c r="B125" s="26" t="n"/>
      <c r="C125" s="26" t="n"/>
      <c r="D125" s="26" t="n"/>
      <c r="E125" s="26" t="n"/>
      <c r="F125" s="26" t="n"/>
      <c r="G125" s="26" t="n"/>
    </row>
    <row r="126" ht="15" customHeight="1">
      <c r="A126" s="26" t="n"/>
      <c r="B126" s="26" t="n"/>
      <c r="C126" s="26" t="n"/>
      <c r="D126" s="26" t="n"/>
      <c r="E126" s="26" t="n"/>
      <c r="F126" s="26" t="n"/>
      <c r="G126" s="26" t="n"/>
    </row>
    <row r="127" ht="15" customHeight="1">
      <c r="A127" s="26" t="n"/>
      <c r="B127" s="26" t="n"/>
      <c r="C127" s="26" t="n"/>
      <c r="D127" s="26" t="n"/>
      <c r="E127" s="26" t="n"/>
      <c r="F127" s="26" t="n"/>
      <c r="G127" s="26" t="n"/>
    </row>
    <row r="128" ht="15" customHeight="1">
      <c r="A128" s="26" t="n"/>
      <c r="B128" s="26" t="n"/>
      <c r="C128" s="26" t="n"/>
      <c r="D128" s="26" t="n"/>
      <c r="E128" s="26" t="n"/>
      <c r="F128" s="26" t="n"/>
      <c r="G128" s="26" t="n"/>
    </row>
    <row r="129" ht="15" customHeight="1">
      <c r="A129" s="26" t="n"/>
      <c r="B129" s="26" t="n"/>
      <c r="C129" s="26" t="n"/>
      <c r="D129" s="26" t="n"/>
      <c r="E129" s="26" t="n"/>
      <c r="F129" s="26" t="n"/>
      <c r="G129" s="26" t="n"/>
    </row>
    <row r="130" ht="15" customHeight="1">
      <c r="A130" s="26" t="n"/>
      <c r="B130" s="26" t="n"/>
      <c r="C130" s="26" t="n"/>
      <c r="D130" s="26" t="n"/>
      <c r="E130" s="26" t="n"/>
      <c r="F130" s="26" t="n"/>
      <c r="G130" s="26" t="n"/>
    </row>
    <row r="131" ht="15" customHeight="1">
      <c r="A131" s="26" t="n"/>
      <c r="B131" s="26" t="n"/>
      <c r="C131" s="26" t="n"/>
      <c r="D131" s="26" t="n"/>
      <c r="E131" s="26" t="n"/>
      <c r="F131" s="26" t="n"/>
      <c r="G131" s="26" t="n"/>
    </row>
    <row r="132" ht="15" customHeight="1">
      <c r="A132" s="26" t="n"/>
      <c r="B132" s="26" t="n"/>
      <c r="C132" s="26" t="n"/>
      <c r="D132" s="26" t="n"/>
      <c r="E132" s="26" t="n"/>
      <c r="F132" s="26" t="n"/>
      <c r="G132" s="26" t="n"/>
    </row>
    <row r="133" ht="15" customHeight="1">
      <c r="A133" s="26" t="n"/>
      <c r="B133" s="26" t="n"/>
      <c r="C133" s="26" t="n"/>
      <c r="D133" s="26" t="n"/>
      <c r="E133" s="26" t="n"/>
      <c r="F133" s="26" t="n"/>
      <c r="G133" s="26" t="n"/>
    </row>
    <row r="134" ht="15" customHeight="1">
      <c r="A134" s="26" t="n"/>
      <c r="B134" s="26" t="n"/>
      <c r="C134" s="26" t="n"/>
      <c r="D134" s="26" t="n"/>
      <c r="E134" s="26" t="n"/>
      <c r="F134" s="26" t="n"/>
      <c r="G134" s="26" t="n"/>
    </row>
    <row r="135" ht="15" customHeight="1">
      <c r="A135" s="26" t="n"/>
      <c r="B135" s="26" t="n"/>
      <c r="C135" s="26" t="n"/>
      <c r="D135" s="26" t="n"/>
      <c r="E135" s="26" t="n"/>
      <c r="F135" s="26" t="n"/>
      <c r="G135" s="26" t="n"/>
    </row>
    <row r="136" ht="15" customHeight="1">
      <c r="A136" s="26" t="n"/>
      <c r="B136" s="26" t="n"/>
      <c r="C136" s="26" t="n"/>
      <c r="D136" s="26" t="n"/>
      <c r="E136" s="26" t="n"/>
      <c r="F136" s="26" t="n"/>
      <c r="G136" s="26" t="n"/>
    </row>
    <row r="137" ht="15" customHeight="1">
      <c r="A137" s="26" t="n"/>
      <c r="B137" s="26" t="n"/>
      <c r="C137" s="26" t="n"/>
      <c r="D137" s="26" t="n"/>
      <c r="E137" s="26" t="n"/>
      <c r="F137" s="26" t="n"/>
      <c r="G137" s="26" t="n"/>
    </row>
    <row r="138" ht="15" customHeight="1">
      <c r="A138" s="26" t="n"/>
      <c r="B138" s="26" t="n"/>
      <c r="C138" s="26" t="n"/>
      <c r="D138" s="26" t="n"/>
      <c r="E138" s="26" t="n"/>
      <c r="F138" s="26" t="n"/>
      <c r="G138" s="26" t="n"/>
    </row>
    <row r="139" ht="15" customHeight="1">
      <c r="A139" s="26" t="n"/>
      <c r="B139" s="26" t="n"/>
      <c r="C139" s="26" t="n"/>
      <c r="D139" s="26" t="n"/>
      <c r="E139" s="26" t="n"/>
      <c r="F139" s="26" t="n"/>
      <c r="G139" s="26" t="n"/>
    </row>
    <row r="140" ht="15" customHeight="1">
      <c r="A140" s="26" t="n"/>
      <c r="B140" s="26" t="n"/>
      <c r="C140" s="26" t="n"/>
      <c r="D140" s="26" t="n"/>
      <c r="E140" s="26" t="n"/>
      <c r="F140" s="26" t="n"/>
      <c r="G140" s="26" t="n"/>
    </row>
    <row r="141" ht="15" customHeight="1">
      <c r="A141" s="26" t="n"/>
      <c r="B141" s="26" t="n"/>
      <c r="C141" s="26" t="n"/>
      <c r="D141" s="26" t="n"/>
      <c r="E141" s="26" t="n"/>
      <c r="F141" s="26" t="n"/>
      <c r="G141" s="26" t="n"/>
    </row>
    <row r="142" ht="15" customHeight="1">
      <c r="A142" s="26" t="n"/>
      <c r="B142" s="26" t="n"/>
      <c r="C142" s="26" t="n"/>
      <c r="D142" s="26" t="n"/>
      <c r="E142" s="26" t="n"/>
      <c r="F142" s="26" t="n"/>
      <c r="G142" s="26" t="n"/>
    </row>
    <row r="143" ht="15" customHeight="1">
      <c r="A143" s="26" t="n"/>
      <c r="B143" s="26" t="n"/>
      <c r="C143" s="26" t="n"/>
      <c r="D143" s="26" t="n"/>
      <c r="E143" s="26" t="n"/>
      <c r="F143" s="26" t="n"/>
      <c r="G143" s="26" t="n"/>
    </row>
    <row r="144" ht="15" customHeight="1">
      <c r="A144" s="26" t="n"/>
      <c r="B144" s="26" t="n"/>
      <c r="C144" s="26" t="n"/>
      <c r="D144" s="26" t="n"/>
      <c r="E144" s="26" t="n"/>
      <c r="F144" s="26" t="n"/>
      <c r="G144" s="26" t="n"/>
    </row>
    <row r="145" ht="15" customHeight="1">
      <c r="A145" s="26" t="n"/>
      <c r="B145" s="26" t="n"/>
      <c r="C145" s="26" t="n"/>
      <c r="D145" s="26" t="n"/>
      <c r="E145" s="26" t="n"/>
      <c r="F145" s="26" t="n"/>
      <c r="G145" s="26" t="n"/>
    </row>
    <row r="146" ht="15" customHeight="1">
      <c r="A146" s="26" t="n"/>
      <c r="B146" s="26" t="n"/>
      <c r="C146" s="26" t="n"/>
      <c r="D146" s="26" t="n"/>
      <c r="E146" s="26" t="n"/>
      <c r="F146" s="26" t="n"/>
      <c r="G146" s="26" t="n"/>
    </row>
    <row r="147" ht="15" customHeight="1">
      <c r="A147" s="26" t="n"/>
      <c r="B147" s="26" t="n"/>
      <c r="C147" s="26" t="n"/>
      <c r="D147" s="26" t="n"/>
      <c r="E147" s="26" t="n"/>
      <c r="F147" s="26" t="n"/>
      <c r="G147" s="26" t="n"/>
    </row>
    <row r="148" ht="15" customHeight="1">
      <c r="A148" s="26" t="n"/>
      <c r="B148" s="26" t="n"/>
      <c r="C148" s="26" t="n"/>
      <c r="D148" s="26" t="n"/>
      <c r="E148" s="26" t="n"/>
      <c r="F148" s="26" t="n"/>
      <c r="G148" s="26" t="n"/>
    </row>
    <row r="149" ht="15" customHeight="1">
      <c r="A149" s="26" t="n"/>
      <c r="B149" s="26" t="n"/>
      <c r="C149" s="26" t="n"/>
      <c r="D149" s="26" t="n"/>
      <c r="E149" s="26" t="n"/>
      <c r="F149" s="26" t="n"/>
      <c r="G149" s="26" t="n"/>
    </row>
    <row r="150" ht="15" customHeight="1">
      <c r="A150" s="26" t="n"/>
      <c r="B150" s="26" t="n"/>
      <c r="C150" s="26" t="n"/>
      <c r="D150" s="26" t="n"/>
      <c r="E150" s="26" t="n"/>
      <c r="F150" s="26" t="n"/>
      <c r="G150" s="26" t="n"/>
    </row>
    <row r="151" ht="15" customHeight="1">
      <c r="A151" s="26" t="n"/>
      <c r="B151" s="26" t="n"/>
      <c r="C151" s="26" t="n"/>
      <c r="D151" s="26" t="n"/>
      <c r="E151" s="26" t="n"/>
      <c r="F151" s="26" t="n"/>
      <c r="G151" s="26" t="n"/>
    </row>
    <row r="152" ht="15" customHeight="1">
      <c r="A152" s="26" t="n"/>
      <c r="B152" s="26" t="n"/>
      <c r="C152" s="26" t="n"/>
      <c r="D152" s="26" t="n"/>
      <c r="E152" s="26" t="n"/>
      <c r="F152" s="26" t="n"/>
      <c r="G152" s="26" t="n"/>
    </row>
    <row r="153" ht="15" customHeight="1">
      <c r="A153" s="26" t="n"/>
      <c r="B153" s="26" t="n"/>
      <c r="C153" s="26" t="n"/>
      <c r="D153" s="26" t="n"/>
      <c r="E153" s="26" t="n"/>
      <c r="F153" s="26" t="n"/>
      <c r="G153" s="26" t="n"/>
    </row>
    <row r="154" ht="15" customHeight="1">
      <c r="A154" s="26" t="n"/>
      <c r="B154" s="26" t="n"/>
      <c r="C154" s="26" t="n"/>
      <c r="D154" s="26" t="n"/>
      <c r="E154" s="26" t="n"/>
      <c r="F154" s="26" t="n"/>
      <c r="G154" s="26" t="n"/>
    </row>
    <row r="155" ht="15" customHeight="1">
      <c r="A155" s="26" t="n"/>
      <c r="B155" s="26" t="n"/>
      <c r="C155" s="26" t="n"/>
      <c r="D155" s="26" t="n"/>
      <c r="E155" s="26" t="n"/>
      <c r="F155" s="26" t="n"/>
      <c r="G155" s="26" t="n"/>
    </row>
    <row r="156" ht="15" customHeight="1">
      <c r="A156" s="26" t="n"/>
      <c r="B156" s="26" t="n"/>
      <c r="C156" s="26" t="n"/>
      <c r="D156" s="26" t="n"/>
      <c r="E156" s="26" t="n"/>
      <c r="F156" s="26" t="n"/>
      <c r="G156" s="26" t="n"/>
    </row>
    <row r="157" ht="15" customHeight="1">
      <c r="A157" s="26" t="n"/>
      <c r="B157" s="26" t="n"/>
      <c r="C157" s="26" t="n"/>
      <c r="D157" s="26" t="n"/>
      <c r="E157" s="26" t="n"/>
      <c r="F157" s="26" t="n"/>
      <c r="G157" s="26" t="n"/>
    </row>
    <row r="158" ht="15" customHeight="1">
      <c r="A158" s="26" t="n"/>
      <c r="B158" s="26" t="n"/>
      <c r="C158" s="26" t="n"/>
      <c r="D158" s="26" t="n"/>
      <c r="E158" s="26" t="n"/>
      <c r="F158" s="26" t="n"/>
      <c r="G158" s="26" t="n"/>
    </row>
    <row r="159" ht="15" customHeight="1">
      <c r="A159" s="26" t="n"/>
      <c r="B159" s="26" t="n"/>
      <c r="C159" s="26" t="n"/>
      <c r="D159" s="26" t="n"/>
      <c r="E159" s="26" t="n"/>
      <c r="F159" s="26" t="n"/>
      <c r="G159" s="26" t="n"/>
    </row>
    <row r="160" ht="15" customHeight="1">
      <c r="A160" s="26" t="n"/>
      <c r="B160" s="26" t="n"/>
      <c r="C160" s="26" t="n"/>
      <c r="D160" s="26" t="n"/>
      <c r="E160" s="26" t="n"/>
      <c r="F160" s="26" t="n"/>
      <c r="G160" s="26" t="n"/>
    </row>
    <row r="161" ht="15" customHeight="1">
      <c r="A161" s="26" t="n"/>
      <c r="B161" s="26" t="n"/>
      <c r="C161" s="26" t="n"/>
      <c r="D161" s="26" t="n"/>
      <c r="E161" s="26" t="n"/>
      <c r="F161" s="26" t="n"/>
      <c r="G161" s="26" t="n"/>
    </row>
    <row r="162" ht="15" customHeight="1">
      <c r="A162" s="26" t="n"/>
      <c r="B162" s="26" t="n"/>
      <c r="C162" s="26" t="n"/>
      <c r="D162" s="26" t="n"/>
      <c r="E162" s="26" t="n"/>
      <c r="F162" s="26" t="n"/>
      <c r="G162" s="26" t="n"/>
    </row>
    <row r="163" ht="15" customHeight="1">
      <c r="A163" s="26" t="n"/>
      <c r="B163" s="26" t="n"/>
      <c r="C163" s="26" t="n"/>
      <c r="D163" s="26" t="n"/>
      <c r="E163" s="26" t="n"/>
      <c r="F163" s="26" t="n"/>
      <c r="G163" s="26" t="n"/>
    </row>
    <row r="164" ht="15" customHeight="1">
      <c r="A164" s="26" t="n"/>
      <c r="B164" s="26" t="n"/>
      <c r="C164" s="26" t="n"/>
      <c r="D164" s="26" t="n"/>
      <c r="E164" s="26" t="n"/>
      <c r="F164" s="26" t="n"/>
      <c r="G164" s="26" t="n"/>
    </row>
    <row r="165" ht="15" customHeight="1">
      <c r="A165" s="26" t="n"/>
      <c r="B165" s="26" t="n"/>
      <c r="C165" s="26" t="n"/>
      <c r="D165" s="26" t="n"/>
      <c r="E165" s="26" t="n"/>
      <c r="F165" s="26" t="n"/>
      <c r="G165" s="26" t="n"/>
    </row>
    <row r="166" ht="15" customHeight="1">
      <c r="A166" s="26" t="n"/>
      <c r="B166" s="26" t="n"/>
      <c r="C166" s="26" t="n"/>
      <c r="D166" s="26" t="n"/>
      <c r="E166" s="26" t="n"/>
      <c r="F166" s="26" t="n"/>
      <c r="G166" s="26" t="n"/>
    </row>
    <row r="167" ht="15" customHeight="1">
      <c r="A167" s="26" t="n"/>
      <c r="B167" s="26" t="n"/>
      <c r="C167" s="26" t="n"/>
      <c r="D167" s="26" t="n"/>
      <c r="E167" s="26" t="n"/>
      <c r="F167" s="26" t="n"/>
      <c r="G167" s="26" t="n"/>
    </row>
    <row r="168" ht="15" customHeight="1">
      <c r="A168" s="26" t="n"/>
      <c r="B168" s="26" t="n"/>
      <c r="C168" s="26" t="n"/>
      <c r="D168" s="26" t="n"/>
      <c r="E168" s="26" t="n"/>
      <c r="F168" s="26" t="n"/>
      <c r="G168" s="26" t="n"/>
    </row>
    <row r="169" ht="15" customHeight="1">
      <c r="A169" s="26" t="n"/>
      <c r="B169" s="26" t="n"/>
      <c r="C169" s="26" t="n"/>
      <c r="D169" s="26" t="n"/>
      <c r="E169" s="26" t="n"/>
      <c r="F169" s="26" t="n"/>
      <c r="G169" s="26" t="n"/>
    </row>
    <row r="170" ht="15" customHeight="1">
      <c r="A170" s="26" t="n"/>
      <c r="B170" s="26" t="n"/>
      <c r="C170" s="26" t="n"/>
      <c r="D170" s="26" t="n"/>
      <c r="E170" s="26" t="n"/>
      <c r="F170" s="26" t="n"/>
      <c r="G170" s="26" t="n"/>
    </row>
    <row r="171" ht="15" customHeight="1">
      <c r="A171" s="26" t="n"/>
      <c r="B171" s="26" t="n"/>
      <c r="C171" s="26" t="n"/>
      <c r="D171" s="26" t="n"/>
      <c r="E171" s="26" t="n"/>
      <c r="F171" s="26" t="n"/>
      <c r="G171" s="26" t="n"/>
    </row>
    <row r="172" ht="15" customHeight="1">
      <c r="A172" s="26" t="n"/>
      <c r="B172" s="26" t="n"/>
      <c r="C172" s="26" t="n"/>
      <c r="D172" s="26" t="n"/>
      <c r="E172" s="26" t="n"/>
      <c r="F172" s="26" t="n"/>
      <c r="G172" s="26" t="n"/>
    </row>
    <row r="173" ht="15" customHeight="1">
      <c r="A173" s="26" t="n"/>
      <c r="B173" s="26" t="n"/>
      <c r="C173" s="26" t="n"/>
      <c r="D173" s="26" t="n"/>
      <c r="E173" s="26" t="n"/>
      <c r="F173" s="26" t="n"/>
      <c r="G173" s="26" t="n"/>
    </row>
    <row r="174" ht="15" customHeight="1">
      <c r="A174" s="26" t="n"/>
      <c r="B174" s="26" t="n"/>
      <c r="C174" s="26" t="n"/>
      <c r="D174" s="26" t="n"/>
      <c r="E174" s="26" t="n"/>
      <c r="F174" s="26" t="n"/>
      <c r="G174" s="26" t="n"/>
    </row>
    <row r="175" ht="15" customHeight="1">
      <c r="A175" s="26" t="n"/>
      <c r="B175" s="26" t="n"/>
      <c r="C175" s="26" t="n"/>
      <c r="D175" s="26" t="n"/>
      <c r="E175" s="26" t="n"/>
      <c r="F175" s="26" t="n"/>
      <c r="G175" s="26" t="n"/>
    </row>
    <row r="176" ht="15" customHeight="1">
      <c r="A176" s="26" t="n"/>
      <c r="B176" s="26" t="n"/>
      <c r="C176" s="26" t="n"/>
      <c r="D176" s="26" t="n"/>
      <c r="E176" s="26" t="n"/>
      <c r="F176" s="26" t="n"/>
      <c r="G176" s="26" t="n"/>
    </row>
    <row r="177" ht="15" customHeight="1">
      <c r="A177" s="26" t="n"/>
      <c r="B177" s="26" t="n"/>
      <c r="C177" s="26" t="n"/>
      <c r="D177" s="26" t="n"/>
      <c r="E177" s="26" t="n"/>
      <c r="F177" s="26" t="n"/>
      <c r="G177" s="26" t="n"/>
    </row>
    <row r="178" ht="15" customHeight="1">
      <c r="A178" s="26" t="n"/>
      <c r="B178" s="26" t="n"/>
      <c r="C178" s="26" t="n"/>
      <c r="D178" s="26" t="n"/>
      <c r="E178" s="26" t="n"/>
      <c r="F178" s="26" t="n"/>
      <c r="G178" s="26" t="n"/>
    </row>
    <row r="179" ht="15" customHeight="1">
      <c r="A179" s="26" t="n"/>
      <c r="B179" s="26" t="n"/>
      <c r="C179" s="26" t="n"/>
      <c r="D179" s="26" t="n"/>
      <c r="E179" s="26" t="n"/>
      <c r="F179" s="26" t="n"/>
      <c r="G179" s="26" t="n"/>
    </row>
    <row r="180" ht="15" customHeight="1">
      <c r="A180" s="26" t="n"/>
      <c r="B180" s="26" t="n"/>
      <c r="C180" s="26" t="n"/>
      <c r="D180" s="26" t="n"/>
      <c r="E180" s="26" t="n"/>
      <c r="F180" s="26" t="n"/>
      <c r="G180" s="26" t="n"/>
    </row>
    <row r="181" ht="15" customHeight="1">
      <c r="A181" s="26" t="n"/>
      <c r="B181" s="26" t="n"/>
      <c r="C181" s="26" t="n"/>
      <c r="D181" s="26" t="n"/>
      <c r="E181" s="26" t="n"/>
      <c r="F181" s="26" t="n"/>
      <c r="G181" s="26" t="n"/>
    </row>
    <row r="182" ht="15" customHeight="1">
      <c r="A182" s="26" t="n"/>
      <c r="B182" s="26" t="n"/>
      <c r="C182" s="26" t="n"/>
      <c r="D182" s="26" t="n"/>
      <c r="E182" s="26" t="n"/>
      <c r="F182" s="26" t="n"/>
      <c r="G182" s="26" t="n"/>
    </row>
    <row r="183" ht="15" customHeight="1">
      <c r="A183" s="26" t="n"/>
      <c r="B183" s="26" t="n"/>
      <c r="C183" s="26" t="n"/>
      <c r="D183" s="26" t="n"/>
      <c r="E183" s="26" t="n"/>
      <c r="F183" s="26" t="n"/>
      <c r="G183" s="26" t="n"/>
    </row>
    <row r="184" ht="15" customHeight="1">
      <c r="A184" s="26" t="n"/>
      <c r="B184" s="26" t="n"/>
      <c r="C184" s="26" t="n"/>
      <c r="D184" s="26" t="n"/>
      <c r="E184" s="26" t="n"/>
      <c r="F184" s="26" t="n"/>
      <c r="G184" s="26" t="n"/>
    </row>
    <row r="185" ht="15" customHeight="1">
      <c r="A185" s="26" t="n"/>
      <c r="B185" s="26" t="n"/>
      <c r="C185" s="26" t="n"/>
      <c r="D185" s="26" t="n"/>
      <c r="E185" s="26" t="n"/>
      <c r="F185" s="26" t="n"/>
      <c r="G185" s="26" t="n"/>
    </row>
    <row r="186" ht="15" customHeight="1">
      <c r="A186" s="26" t="n"/>
      <c r="B186" s="26" t="n"/>
      <c r="C186" s="26" t="n"/>
      <c r="D186" s="26" t="n"/>
      <c r="E186" s="26" t="n"/>
      <c r="F186" s="26" t="n"/>
      <c r="G186" s="26" t="n"/>
    </row>
    <row r="187" ht="15" customHeight="1">
      <c r="A187" s="26" t="n"/>
      <c r="B187" s="26" t="n"/>
      <c r="C187" s="26" t="n"/>
      <c r="D187" s="26" t="n"/>
      <c r="E187" s="26" t="n"/>
      <c r="F187" s="26" t="n"/>
      <c r="G187" s="26" t="n"/>
    </row>
    <row r="188" ht="15" customHeight="1">
      <c r="A188" s="26" t="n"/>
      <c r="B188" s="26" t="n"/>
      <c r="C188" s="26" t="n"/>
      <c r="D188" s="26" t="n"/>
      <c r="E188" s="26" t="n"/>
      <c r="F188" s="26" t="n"/>
      <c r="G188" s="26" t="n"/>
    </row>
    <row r="189" ht="15" customHeight="1">
      <c r="A189" s="26" t="n"/>
      <c r="B189" s="26" t="n"/>
      <c r="C189" s="26" t="n"/>
      <c r="D189" s="26" t="n"/>
      <c r="E189" s="26" t="n"/>
      <c r="F189" s="26" t="n"/>
      <c r="G189" s="26" t="n"/>
    </row>
    <row r="190" ht="15" customHeight="1">
      <c r="A190" s="26" t="n"/>
      <c r="B190" s="26" t="n"/>
      <c r="C190" s="26" t="n"/>
      <c r="D190" s="26" t="n"/>
      <c r="E190" s="26" t="n"/>
      <c r="F190" s="26" t="n"/>
      <c r="G190" s="26" t="n"/>
    </row>
    <row r="191" ht="15" customHeight="1">
      <c r="A191" s="26" t="n"/>
      <c r="B191" s="26" t="n"/>
      <c r="C191" s="26" t="n"/>
      <c r="D191" s="26" t="n"/>
      <c r="E191" s="26" t="n"/>
      <c r="F191" s="26" t="n"/>
      <c r="G191" s="26" t="n"/>
    </row>
    <row r="192" ht="15" customHeight="1">
      <c r="A192" s="26" t="n"/>
      <c r="B192" s="26" t="n"/>
      <c r="C192" s="26" t="n"/>
      <c r="D192" s="26" t="n"/>
      <c r="E192" s="26" t="n"/>
      <c r="F192" s="26" t="n"/>
      <c r="G192" s="26" t="n"/>
    </row>
    <row r="193" ht="15" customHeight="1">
      <c r="A193" s="26" t="n"/>
      <c r="B193" s="26" t="n"/>
      <c r="C193" s="26" t="n"/>
      <c r="D193" s="26" t="n"/>
      <c r="E193" s="26" t="n"/>
      <c r="F193" s="26" t="n"/>
      <c r="G193" s="26" t="n"/>
    </row>
    <row r="194" ht="15" customHeight="1">
      <c r="A194" s="26" t="n"/>
      <c r="B194" s="26" t="n"/>
      <c r="C194" s="26" t="n"/>
      <c r="D194" s="26" t="n"/>
      <c r="E194" s="26" t="n"/>
      <c r="F194" s="26" t="n"/>
      <c r="G194" s="26" t="n"/>
    </row>
    <row r="195" ht="15" customHeight="1">
      <c r="A195" s="26" t="n"/>
      <c r="B195" s="26" t="n"/>
      <c r="C195" s="26" t="n"/>
      <c r="D195" s="26" t="n"/>
      <c r="E195" s="26" t="n"/>
      <c r="F195" s="26" t="n"/>
      <c r="G195" s="26" t="n"/>
    </row>
    <row r="196" ht="15" customHeight="1">
      <c r="A196" s="26" t="n"/>
      <c r="B196" s="26" t="n"/>
      <c r="C196" s="26" t="n"/>
      <c r="D196" s="26" t="n"/>
      <c r="E196" s="26" t="n"/>
      <c r="F196" s="26" t="n"/>
      <c r="G196" s="26" t="n"/>
    </row>
    <row r="197" ht="15" customHeight="1">
      <c r="A197" s="26" t="n"/>
      <c r="B197" s="26" t="n"/>
      <c r="C197" s="26" t="n"/>
      <c r="D197" s="26" t="n"/>
      <c r="E197" s="26" t="n"/>
      <c r="F197" s="26" t="n"/>
      <c r="G197" s="26" t="n"/>
    </row>
    <row r="198" ht="15" customHeight="1">
      <c r="A198" s="26" t="n"/>
      <c r="B198" s="26" t="n"/>
      <c r="C198" s="26" t="n"/>
      <c r="D198" s="26" t="n"/>
      <c r="E198" s="26" t="n"/>
      <c r="F198" s="26" t="n"/>
      <c r="G198" s="26" t="n"/>
    </row>
    <row r="199" ht="15" customHeight="1">
      <c r="A199" s="26" t="n"/>
      <c r="B199" s="26" t="n"/>
      <c r="C199" s="26" t="n"/>
      <c r="D199" s="26" t="n"/>
      <c r="E199" s="26" t="n"/>
      <c r="F199" s="26" t="n"/>
      <c r="G199" s="26" t="n"/>
    </row>
    <row r="200" ht="15" customHeight="1">
      <c r="A200" s="26" t="n"/>
      <c r="B200" s="26" t="n"/>
      <c r="C200" s="26" t="n"/>
      <c r="D200" s="26" t="n"/>
      <c r="E200" s="26" t="n"/>
      <c r="F200" s="26" t="n"/>
      <c r="G200" s="26" t="n"/>
    </row>
    <row r="201" ht="15" customHeight="1">
      <c r="A201" s="26" t="n"/>
      <c r="B201" s="26" t="n"/>
      <c r="C201" s="26" t="n"/>
      <c r="D201" s="26" t="n"/>
      <c r="E201" s="26" t="n"/>
      <c r="F201" s="26" t="n"/>
      <c r="G201" s="26" t="n"/>
    </row>
    <row r="202" ht="15" customHeight="1">
      <c r="A202" s="26" t="n"/>
      <c r="B202" s="26" t="n"/>
      <c r="C202" s="26" t="n"/>
      <c r="D202" s="26" t="n"/>
      <c r="E202" s="26" t="n"/>
      <c r="F202" s="26" t="n"/>
      <c r="G202" s="26" t="n"/>
    </row>
    <row r="203" ht="15" customHeight="1">
      <c r="A203" s="26" t="n"/>
      <c r="B203" s="26" t="n"/>
      <c r="C203" s="26" t="n"/>
      <c r="D203" s="26" t="n"/>
      <c r="E203" s="26" t="n"/>
      <c r="F203" s="26" t="n"/>
      <c r="G203" s="26" t="n"/>
    </row>
    <row r="204" ht="15" customHeight="1">
      <c r="A204" s="26" t="n"/>
      <c r="B204" s="26" t="n"/>
      <c r="C204" s="26" t="n"/>
      <c r="D204" s="26" t="n"/>
      <c r="E204" s="26" t="n"/>
      <c r="F204" s="26" t="n"/>
      <c r="G204" s="26" t="n"/>
    </row>
    <row r="205" ht="15" customHeight="1">
      <c r="A205" s="26" t="n"/>
      <c r="B205" s="26" t="n"/>
      <c r="C205" s="26" t="n"/>
      <c r="D205" s="26" t="n"/>
      <c r="E205" s="26" t="n"/>
      <c r="F205" s="26" t="n"/>
      <c r="G205" s="26" t="n"/>
    </row>
    <row r="206" ht="15" customHeight="1">
      <c r="A206" s="26" t="n"/>
      <c r="B206" s="26" t="n"/>
      <c r="C206" s="26" t="n"/>
      <c r="D206" s="26" t="n"/>
      <c r="E206" s="26" t="n"/>
      <c r="F206" s="26" t="n"/>
      <c r="G206" s="26" t="n"/>
    </row>
    <row r="207" ht="15" customHeight="1">
      <c r="A207" s="26" t="n"/>
      <c r="B207" s="26" t="n"/>
      <c r="C207" s="26" t="n"/>
      <c r="D207" s="26" t="n"/>
      <c r="E207" s="26" t="n"/>
      <c r="F207" s="26" t="n"/>
      <c r="G207" s="26" t="n"/>
    </row>
    <row r="208" ht="15" customHeight="1">
      <c r="A208" s="26" t="n"/>
      <c r="B208" s="26" t="n"/>
      <c r="C208" s="26" t="n"/>
      <c r="D208" s="26" t="n"/>
      <c r="E208" s="26" t="n"/>
      <c r="F208" s="26" t="n"/>
      <c r="G208" s="26" t="n"/>
    </row>
    <row r="209" ht="15" customHeight="1">
      <c r="A209" s="26" t="n"/>
      <c r="B209" s="26" t="n"/>
      <c r="C209" s="26" t="n"/>
      <c r="D209" s="26" t="n"/>
      <c r="E209" s="26" t="n"/>
      <c r="F209" s="26" t="n"/>
      <c r="G209" s="26" t="n"/>
    </row>
    <row r="210" ht="15" customHeight="1">
      <c r="A210" s="26" t="n"/>
      <c r="B210" s="26" t="n"/>
      <c r="C210" s="26" t="n"/>
      <c r="D210" s="26" t="n"/>
      <c r="E210" s="26" t="n"/>
      <c r="F210" s="26" t="n"/>
      <c r="G210" s="26" t="n"/>
    </row>
    <row r="211" ht="15" customHeight="1">
      <c r="A211" s="26" t="n"/>
      <c r="B211" s="26" t="n"/>
      <c r="C211" s="26" t="n"/>
      <c r="D211" s="26" t="n"/>
      <c r="E211" s="26" t="n"/>
      <c r="F211" s="26" t="n"/>
      <c r="G211" s="26" t="n"/>
    </row>
    <row r="212" ht="15" customHeight="1">
      <c r="A212" s="26" t="n"/>
      <c r="B212" s="26" t="n"/>
      <c r="C212" s="26" t="n"/>
      <c r="D212" s="26" t="n"/>
      <c r="E212" s="26" t="n"/>
      <c r="F212" s="26" t="n"/>
      <c r="G212" s="26" t="n"/>
    </row>
    <row r="213" ht="15" customHeight="1">
      <c r="A213" s="26" t="n"/>
      <c r="B213" s="26" t="n"/>
      <c r="C213" s="26" t="n"/>
      <c r="D213" s="26" t="n"/>
      <c r="E213" s="26" t="n"/>
      <c r="F213" s="26" t="n"/>
      <c r="G213" s="26" t="n"/>
    </row>
    <row r="214" ht="15" customHeight="1">
      <c r="A214" s="26" t="n"/>
      <c r="B214" s="26" t="n"/>
      <c r="C214" s="26" t="n"/>
      <c r="D214" s="26" t="n"/>
      <c r="E214" s="26" t="n"/>
      <c r="F214" s="26" t="n"/>
      <c r="G214" s="26" t="n"/>
    </row>
    <row r="215" ht="15" customHeight="1">
      <c r="A215" s="26" t="n"/>
      <c r="B215" s="26" t="n"/>
      <c r="C215" s="26" t="n"/>
      <c r="D215" s="26" t="n"/>
      <c r="E215" s="26" t="n"/>
      <c r="F215" s="26" t="n"/>
      <c r="G215" s="26" t="n"/>
    </row>
    <row r="216" ht="15" customHeight="1">
      <c r="A216" s="26" t="n"/>
      <c r="B216" s="26" t="n"/>
      <c r="C216" s="26" t="n"/>
      <c r="D216" s="26" t="n"/>
      <c r="E216" s="26" t="n"/>
      <c r="F216" s="26" t="n"/>
      <c r="G216" s="26" t="n"/>
    </row>
    <row r="217" ht="15" customHeight="1">
      <c r="A217" s="26" t="n"/>
      <c r="B217" s="26" t="n"/>
      <c r="C217" s="26" t="n"/>
      <c r="D217" s="26" t="n"/>
      <c r="E217" s="26" t="n"/>
      <c r="F217" s="26" t="n"/>
      <c r="G217" s="26" t="n"/>
    </row>
    <row r="218" ht="15" customHeight="1">
      <c r="A218" s="26" t="n"/>
      <c r="B218" s="26" t="n"/>
      <c r="C218" s="26" t="n"/>
      <c r="D218" s="26" t="n"/>
      <c r="E218" s="26" t="n"/>
      <c r="F218" s="26" t="n"/>
      <c r="G218" s="26" t="n"/>
    </row>
    <row r="219" ht="15" customHeight="1">
      <c r="A219" s="26" t="n"/>
      <c r="B219" s="26" t="n"/>
      <c r="C219" s="26" t="n"/>
      <c r="D219" s="26" t="n"/>
      <c r="E219" s="26" t="n"/>
      <c r="F219" s="26" t="n"/>
      <c r="G219" s="26" t="n"/>
    </row>
    <row r="220" ht="15" customHeight="1">
      <c r="A220" s="26" t="n"/>
      <c r="B220" s="26" t="n"/>
      <c r="C220" s="26" t="n"/>
      <c r="D220" s="26" t="n"/>
      <c r="E220" s="26" t="n"/>
      <c r="F220" s="26" t="n"/>
      <c r="G220" s="26" t="n"/>
    </row>
    <row r="221" ht="15" customHeight="1">
      <c r="A221" s="26" t="n"/>
      <c r="B221" s="26" t="n"/>
      <c r="C221" s="26" t="n"/>
      <c r="D221" s="26" t="n"/>
      <c r="E221" s="26" t="n"/>
      <c r="F221" s="26" t="n"/>
      <c r="G221" s="26" t="n"/>
    </row>
    <row r="222" ht="15" customHeight="1">
      <c r="A222" s="26" t="n"/>
      <c r="B222" s="26" t="n"/>
      <c r="C222" s="26" t="n"/>
      <c r="D222" s="26" t="n"/>
      <c r="E222" s="26" t="n"/>
      <c r="F222" s="26" t="n"/>
      <c r="G222" s="26" t="n"/>
    </row>
    <row r="223" ht="15" customHeight="1">
      <c r="A223" s="26" t="n"/>
      <c r="B223" s="26" t="n"/>
      <c r="C223" s="26" t="n"/>
      <c r="D223" s="26" t="n"/>
      <c r="E223" s="26" t="n"/>
      <c r="F223" s="26" t="n"/>
      <c r="G223" s="26" t="n"/>
    </row>
    <row r="224" ht="15" customHeight="1">
      <c r="A224" s="26" t="n"/>
      <c r="B224" s="26" t="n"/>
      <c r="C224" s="26" t="n"/>
      <c r="D224" s="26" t="n"/>
      <c r="E224" s="26" t="n"/>
      <c r="F224" s="26" t="n"/>
      <c r="G224" s="26" t="n"/>
    </row>
    <row r="225" ht="15" customHeight="1">
      <c r="A225" s="26" t="n"/>
      <c r="B225" s="26" t="n"/>
      <c r="C225" s="26" t="n"/>
      <c r="D225" s="26" t="n"/>
      <c r="E225" s="26" t="n"/>
      <c r="F225" s="26" t="n"/>
      <c r="G225" s="26" t="n"/>
    </row>
    <row r="226" ht="15" customHeight="1">
      <c r="A226" s="26" t="n"/>
      <c r="B226" s="26" t="n"/>
      <c r="C226" s="26" t="n"/>
      <c r="D226" s="26" t="n"/>
      <c r="E226" s="26" t="n"/>
      <c r="F226" s="26" t="n"/>
      <c r="G226" s="26" t="n"/>
    </row>
    <row r="227" ht="15" customHeight="1">
      <c r="A227" s="26" t="n"/>
      <c r="B227" s="26" t="n"/>
      <c r="C227" s="26" t="n"/>
      <c r="D227" s="26" t="n"/>
      <c r="E227" s="26" t="n"/>
      <c r="F227" s="26" t="n"/>
      <c r="G227" s="26" t="n"/>
    </row>
    <row r="228" ht="15" customHeight="1">
      <c r="A228" s="26" t="n"/>
      <c r="B228" s="26" t="n"/>
      <c r="C228" s="26" t="n"/>
      <c r="D228" s="26" t="n"/>
      <c r="E228" s="26" t="n"/>
      <c r="F228" s="26" t="n"/>
      <c r="G228" s="26" t="n"/>
    </row>
    <row r="229" ht="15" customHeight="1">
      <c r="A229" s="26" t="n"/>
      <c r="B229" s="26" t="n"/>
      <c r="C229" s="26" t="n"/>
      <c r="D229" s="26" t="n"/>
      <c r="E229" s="26" t="n"/>
      <c r="F229" s="26" t="n"/>
      <c r="G229" s="26" t="n"/>
    </row>
    <row r="230" ht="15" customHeight="1">
      <c r="A230" s="26" t="n"/>
      <c r="B230" s="26" t="n"/>
      <c r="C230" s="26" t="n"/>
      <c r="D230" s="26" t="n"/>
      <c r="E230" s="26" t="n"/>
      <c r="F230" s="26" t="n"/>
      <c r="G230" s="26" t="n"/>
    </row>
    <row r="231" ht="15" customHeight="1">
      <c r="A231" s="26" t="n"/>
      <c r="B231" s="26" t="n"/>
      <c r="C231" s="26" t="n"/>
      <c r="D231" s="26" t="n"/>
      <c r="E231" s="26" t="n"/>
      <c r="F231" s="26" t="n"/>
      <c r="G231" s="26" t="n"/>
    </row>
    <row r="232" ht="15" customHeight="1">
      <c r="A232" s="26" t="n"/>
      <c r="B232" s="26" t="n"/>
      <c r="C232" s="26" t="n"/>
      <c r="D232" s="26" t="n"/>
      <c r="E232" s="26" t="n"/>
      <c r="F232" s="26" t="n"/>
      <c r="G232" s="26" t="n"/>
    </row>
    <row r="233" ht="15" customHeight="1">
      <c r="A233" s="26" t="n"/>
      <c r="B233" s="26" t="n"/>
      <c r="C233" s="26" t="n"/>
      <c r="D233" s="26" t="n"/>
      <c r="E233" s="26" t="n"/>
      <c r="F233" s="26" t="n"/>
      <c r="G233" s="26" t="n"/>
    </row>
    <row r="234" ht="15" customHeight="1">
      <c r="A234" s="26" t="n"/>
      <c r="B234" s="26" t="n"/>
      <c r="C234" s="26" t="n"/>
      <c r="D234" s="26" t="n"/>
      <c r="E234" s="26" t="n"/>
      <c r="F234" s="26" t="n"/>
      <c r="G234" s="26" t="n"/>
    </row>
    <row r="235" ht="15" customHeight="1">
      <c r="A235" s="26" t="n"/>
      <c r="B235" s="26" t="n"/>
      <c r="C235" s="26" t="n"/>
      <c r="D235" s="26" t="n"/>
      <c r="E235" s="26" t="n"/>
      <c r="F235" s="26" t="n"/>
      <c r="G235" s="26" t="n"/>
    </row>
    <row r="236" ht="15" customHeight="1">
      <c r="A236" s="26" t="n"/>
      <c r="B236" s="26" t="n"/>
      <c r="C236" s="26" t="n"/>
      <c r="D236" s="26" t="n"/>
      <c r="E236" s="26" t="n"/>
      <c r="F236" s="26" t="n"/>
      <c r="G236" s="26" t="n"/>
    </row>
    <row r="237" ht="15" customHeight="1">
      <c r="A237" s="26" t="n"/>
      <c r="B237" s="26" t="n"/>
      <c r="C237" s="26" t="n"/>
      <c r="D237" s="26" t="n"/>
      <c r="E237" s="26" t="n"/>
      <c r="F237" s="26" t="n"/>
      <c r="G237" s="26" t="n"/>
    </row>
    <row r="238" ht="15" customHeight="1">
      <c r="A238" s="26" t="n"/>
      <c r="B238" s="26" t="n"/>
      <c r="C238" s="26" t="n"/>
      <c r="D238" s="26" t="n"/>
      <c r="E238" s="26" t="n"/>
      <c r="F238" s="26" t="n"/>
      <c r="G238" s="26" t="n"/>
    </row>
    <row r="239" ht="15" customHeight="1">
      <c r="A239" s="26" t="n"/>
      <c r="B239" s="26" t="n"/>
      <c r="C239" s="26" t="n"/>
      <c r="D239" s="26" t="n"/>
      <c r="E239" s="26" t="n"/>
      <c r="F239" s="26" t="n"/>
      <c r="G239" s="26" t="n"/>
    </row>
    <row r="240" ht="15" customHeight="1">
      <c r="A240" s="26" t="n"/>
      <c r="B240" s="26" t="n"/>
      <c r="C240" s="26" t="n"/>
      <c r="D240" s="26" t="n"/>
      <c r="E240" s="26" t="n"/>
      <c r="F240" s="26" t="n"/>
      <c r="G240" s="26" t="n"/>
    </row>
    <row r="241" ht="15" customHeight="1">
      <c r="A241" s="26" t="n"/>
      <c r="B241" s="26" t="n"/>
      <c r="C241" s="26" t="n"/>
      <c r="D241" s="26" t="n"/>
      <c r="E241" s="26" t="n"/>
      <c r="F241" s="26" t="n"/>
      <c r="G241" s="26" t="n"/>
    </row>
    <row r="242" ht="15" customHeight="1">
      <c r="A242" s="26" t="n"/>
      <c r="B242" s="26" t="n"/>
      <c r="C242" s="26" t="n"/>
      <c r="D242" s="26" t="n"/>
      <c r="E242" s="26" t="n"/>
      <c r="F242" s="26" t="n"/>
      <c r="G242" s="26" t="n"/>
    </row>
    <row r="243" ht="15" customHeight="1">
      <c r="A243" s="26" t="n"/>
      <c r="B243" s="26" t="n"/>
      <c r="C243" s="26" t="n"/>
      <c r="D243" s="26" t="n"/>
      <c r="E243" s="26" t="n"/>
      <c r="F243" s="26" t="n"/>
      <c r="G243" s="26" t="n"/>
    </row>
    <row r="244" ht="15" customHeight="1">
      <c r="A244" s="26" t="n"/>
      <c r="B244" s="26" t="n"/>
      <c r="C244" s="26" t="n"/>
      <c r="D244" s="26" t="n"/>
      <c r="E244" s="26" t="n"/>
      <c r="F244" s="26" t="n"/>
      <c r="G244" s="26" t="n"/>
    </row>
    <row r="245" ht="15" customHeight="1">
      <c r="A245" s="26" t="n"/>
      <c r="B245" s="26" t="n"/>
      <c r="C245" s="26" t="n"/>
      <c r="D245" s="26" t="n"/>
      <c r="E245" s="26" t="n"/>
      <c r="F245" s="26" t="n"/>
      <c r="G245" s="26" t="n"/>
    </row>
    <row r="246" ht="15" customHeight="1">
      <c r="A246" s="26" t="n"/>
      <c r="B246" s="26" t="n"/>
      <c r="C246" s="26" t="n"/>
      <c r="D246" s="26" t="n"/>
      <c r="E246" s="26" t="n"/>
      <c r="F246" s="26" t="n"/>
      <c r="G246" s="26" t="n"/>
    </row>
    <row r="247" ht="15" customHeight="1">
      <c r="A247" s="26" t="n"/>
      <c r="B247" s="26" t="n"/>
      <c r="C247" s="26" t="n"/>
      <c r="D247" s="26" t="n"/>
      <c r="E247" s="26" t="n"/>
      <c r="F247" s="26" t="n"/>
      <c r="G247" s="26" t="n"/>
    </row>
    <row r="248" ht="15" customHeight="1">
      <c r="A248" s="26" t="n"/>
      <c r="B248" s="26" t="n"/>
      <c r="C248" s="26" t="n"/>
      <c r="D248" s="26" t="n"/>
      <c r="E248" s="26" t="n"/>
      <c r="F248" s="26" t="n"/>
      <c r="G248" s="26" t="n"/>
    </row>
    <row r="249" ht="15" customHeight="1">
      <c r="A249" s="26" t="n"/>
      <c r="B249" s="26" t="n"/>
      <c r="C249" s="26" t="n"/>
      <c r="D249" s="26" t="n"/>
      <c r="E249" s="26" t="n"/>
      <c r="F249" s="26" t="n"/>
      <c r="G249" s="26" t="n"/>
    </row>
    <row r="250" ht="15" customHeight="1">
      <c r="A250" s="26" t="n"/>
      <c r="B250" s="26" t="n"/>
      <c r="C250" s="26" t="n"/>
      <c r="D250" s="26" t="n"/>
      <c r="E250" s="26" t="n"/>
      <c r="F250" s="26" t="n"/>
      <c r="G250" s="26" t="n"/>
    </row>
    <row r="251" ht="15" customHeight="1">
      <c r="A251" s="26" t="n"/>
      <c r="B251" s="26" t="n"/>
      <c r="C251" s="26" t="n"/>
      <c r="D251" s="26" t="n"/>
      <c r="E251" s="26" t="n"/>
      <c r="F251" s="26" t="n"/>
      <c r="G251" s="26" t="n"/>
    </row>
    <row r="252" ht="15" customHeight="1">
      <c r="A252" s="26" t="n"/>
      <c r="B252" s="26" t="n"/>
      <c r="C252" s="26" t="n"/>
      <c r="D252" s="26" t="n"/>
      <c r="E252" s="26" t="n"/>
      <c r="F252" s="26" t="n"/>
      <c r="G252" s="26" t="n"/>
    </row>
    <row r="253" ht="15" customHeight="1">
      <c r="A253" s="26" t="n"/>
      <c r="B253" s="26" t="n"/>
      <c r="C253" s="26" t="n"/>
      <c r="D253" s="26" t="n"/>
      <c r="E253" s="26" t="n"/>
      <c r="F253" s="26" t="n"/>
      <c r="G253" s="26" t="n"/>
    </row>
    <row r="254" ht="15" customHeight="1">
      <c r="A254" s="26" t="n"/>
      <c r="B254" s="26" t="n"/>
      <c r="C254" s="26" t="n"/>
      <c r="D254" s="26" t="n"/>
      <c r="E254" s="26" t="n"/>
      <c r="F254" s="26" t="n"/>
      <c r="G254" s="26" t="n"/>
    </row>
    <row r="255" ht="15" customHeight="1">
      <c r="A255" s="26" t="n"/>
      <c r="B255" s="26" t="n"/>
      <c r="C255" s="26" t="n"/>
      <c r="D255" s="26" t="n"/>
      <c r="E255" s="26" t="n"/>
      <c r="F255" s="26" t="n"/>
      <c r="G255" s="26" t="n"/>
    </row>
    <row r="256" ht="15" customHeight="1">
      <c r="A256" s="26" t="n"/>
      <c r="B256" s="26" t="n"/>
      <c r="C256" s="26" t="n"/>
      <c r="D256" s="26" t="n"/>
      <c r="E256" s="26" t="n"/>
      <c r="F256" s="26" t="n"/>
      <c r="G256" s="26" t="n"/>
    </row>
    <row r="257" ht="15" customHeight="1">
      <c r="A257" s="26" t="n"/>
      <c r="B257" s="26" t="n"/>
      <c r="C257" s="26" t="n"/>
      <c r="D257" s="26" t="n"/>
      <c r="E257" s="26" t="n"/>
      <c r="F257" s="26" t="n"/>
      <c r="G257" s="26" t="n"/>
    </row>
    <row r="258" ht="15" customHeight="1">
      <c r="A258" s="26" t="n"/>
      <c r="B258" s="26" t="n"/>
      <c r="C258" s="26" t="n"/>
      <c r="D258" s="26" t="n"/>
      <c r="E258" s="26" t="n"/>
      <c r="F258" s="26" t="n"/>
      <c r="G258" s="26" t="n"/>
    </row>
    <row r="259" ht="15" customHeight="1">
      <c r="A259" s="26" t="n"/>
      <c r="B259" s="26" t="n"/>
      <c r="C259" s="26" t="n"/>
      <c r="D259" s="26" t="n"/>
      <c r="E259" s="26" t="n"/>
      <c r="F259" s="26" t="n"/>
      <c r="G259" s="26" t="n"/>
    </row>
    <row r="260" ht="15" customHeight="1">
      <c r="A260" s="26" t="n"/>
      <c r="B260" s="26" t="n"/>
      <c r="C260" s="26" t="n"/>
      <c r="D260" s="26" t="n"/>
      <c r="E260" s="26" t="n"/>
      <c r="F260" s="26" t="n"/>
      <c r="G260" s="26" t="n"/>
    </row>
    <row r="261" ht="15" customHeight="1">
      <c r="A261" s="26" t="n"/>
      <c r="B261" s="26" t="n"/>
      <c r="C261" s="26" t="n"/>
      <c r="D261" s="26" t="n"/>
      <c r="E261" s="26" t="n"/>
      <c r="F261" s="26" t="n"/>
      <c r="G261" s="26" t="n"/>
    </row>
    <row r="262" ht="15" customHeight="1">
      <c r="A262" s="26" t="n"/>
      <c r="B262" s="26" t="n"/>
      <c r="C262" s="26" t="n"/>
      <c r="D262" s="26" t="n"/>
      <c r="E262" s="26" t="n"/>
      <c r="F262" s="26" t="n"/>
      <c r="G262" s="26" t="n"/>
    </row>
    <row r="263" ht="15" customHeight="1">
      <c r="A263" s="26" t="n"/>
      <c r="B263" s="26" t="n"/>
      <c r="C263" s="26" t="n"/>
      <c r="D263" s="26" t="n"/>
      <c r="E263" s="26" t="n"/>
      <c r="F263" s="26" t="n"/>
      <c r="G263" s="26" t="n"/>
    </row>
    <row r="264" ht="15" customHeight="1">
      <c r="A264" s="26" t="n"/>
      <c r="B264" s="26" t="n"/>
      <c r="C264" s="26" t="n"/>
      <c r="D264" s="26" t="n"/>
      <c r="E264" s="26" t="n"/>
      <c r="F264" s="26" t="n"/>
      <c r="G264" s="26" t="n"/>
    </row>
    <row r="265" ht="15" customHeight="1">
      <c r="A265" s="26" t="n"/>
      <c r="B265" s="26" t="n"/>
      <c r="C265" s="26" t="n"/>
      <c r="D265" s="26" t="n"/>
      <c r="E265" s="26" t="n"/>
      <c r="F265" s="26" t="n"/>
      <c r="G265" s="26" t="n"/>
    </row>
    <row r="266" ht="15" customHeight="1">
      <c r="A266" s="26" t="n"/>
      <c r="B266" s="26" t="n"/>
      <c r="C266" s="26" t="n"/>
      <c r="D266" s="26" t="n"/>
      <c r="E266" s="26" t="n"/>
      <c r="F266" s="26" t="n"/>
      <c r="G266" s="26" t="n"/>
    </row>
    <row r="267" ht="15" customHeight="1">
      <c r="A267" s="26" t="n"/>
      <c r="B267" s="26" t="n"/>
      <c r="C267" s="26" t="n"/>
      <c r="D267" s="26" t="n"/>
      <c r="E267" s="26" t="n"/>
      <c r="F267" s="26" t="n"/>
      <c r="G267" s="26" t="n"/>
    </row>
    <row r="268" ht="15" customHeight="1">
      <c r="A268" s="26" t="n"/>
      <c r="B268" s="26" t="n"/>
      <c r="C268" s="26" t="n"/>
      <c r="D268" s="26" t="n"/>
      <c r="E268" s="26" t="n"/>
      <c r="F268" s="26" t="n"/>
      <c r="G268" s="26" t="n"/>
    </row>
    <row r="269" ht="15" customHeight="1">
      <c r="A269" s="26" t="n"/>
      <c r="B269" s="26" t="n"/>
      <c r="C269" s="26" t="n"/>
      <c r="D269" s="26" t="n"/>
      <c r="E269" s="26" t="n"/>
      <c r="F269" s="26" t="n"/>
      <c r="G269" s="26" t="n"/>
    </row>
    <row r="270" ht="15" customHeight="1">
      <c r="A270" s="26" t="n"/>
      <c r="B270" s="26" t="n"/>
      <c r="C270" s="26" t="n"/>
      <c r="D270" s="26" t="n"/>
      <c r="E270" s="26" t="n"/>
      <c r="F270" s="26" t="n"/>
      <c r="G270" s="26" t="n"/>
    </row>
    <row r="271" ht="15" customHeight="1">
      <c r="A271" s="26" t="n"/>
      <c r="B271" s="26" t="n"/>
      <c r="C271" s="26" t="n"/>
      <c r="D271" s="26" t="n"/>
      <c r="E271" s="26" t="n"/>
      <c r="F271" s="26" t="n"/>
      <c r="G271" s="26" t="n"/>
    </row>
    <row r="272" ht="15" customHeight="1">
      <c r="A272" s="26" t="n"/>
      <c r="B272" s="26" t="n"/>
      <c r="C272" s="26" t="n"/>
      <c r="D272" s="26" t="n"/>
      <c r="E272" s="26" t="n"/>
      <c r="F272" s="26" t="n"/>
      <c r="G272" s="26" t="n"/>
    </row>
    <row r="273" ht="15" customHeight="1">
      <c r="A273" s="26" t="n"/>
      <c r="B273" s="26" t="n"/>
      <c r="C273" s="26" t="n"/>
      <c r="D273" s="26" t="n"/>
      <c r="E273" s="26" t="n"/>
      <c r="F273" s="26" t="n"/>
      <c r="G273" s="26" t="n"/>
    </row>
    <row r="274" ht="15" customHeight="1">
      <c r="A274" s="26" t="n"/>
      <c r="B274" s="26" t="n"/>
      <c r="C274" s="26" t="n"/>
      <c r="D274" s="26" t="n"/>
      <c r="E274" s="26" t="n"/>
      <c r="F274" s="26" t="n"/>
      <c r="G274" s="26" t="n"/>
    </row>
    <row r="275" ht="15" customHeight="1">
      <c r="A275" s="26" t="n"/>
      <c r="B275" s="26" t="n"/>
      <c r="C275" s="26" t="n"/>
      <c r="D275" s="26" t="n"/>
      <c r="E275" s="26" t="n"/>
      <c r="F275" s="26" t="n"/>
      <c r="G275" s="26" t="n"/>
    </row>
    <row r="276" ht="15" customHeight="1">
      <c r="A276" s="26" t="n"/>
      <c r="B276" s="26" t="n"/>
      <c r="C276" s="26" t="n"/>
      <c r="D276" s="26" t="n"/>
      <c r="E276" s="26" t="n"/>
      <c r="F276" s="26" t="n"/>
      <c r="G276" s="26" t="n"/>
    </row>
    <row r="277" ht="15" customHeight="1">
      <c r="A277" s="26" t="n"/>
      <c r="B277" s="26" t="n"/>
      <c r="C277" s="26" t="n"/>
      <c r="D277" s="26" t="n"/>
      <c r="E277" s="26" t="n"/>
      <c r="F277" s="26" t="n"/>
      <c r="G277" s="26" t="n"/>
    </row>
    <row r="278" ht="15" customHeight="1">
      <c r="A278" s="26" t="n"/>
      <c r="B278" s="26" t="n"/>
      <c r="C278" s="26" t="n"/>
      <c r="D278" s="26" t="n"/>
      <c r="E278" s="26" t="n"/>
      <c r="F278" s="26" t="n"/>
      <c r="G278" s="26" t="n"/>
    </row>
    <row r="279" ht="15" customHeight="1">
      <c r="A279" s="26" t="n"/>
      <c r="B279" s="26" t="n"/>
      <c r="C279" s="26" t="n"/>
      <c r="D279" s="26" t="n"/>
      <c r="E279" s="26" t="n"/>
      <c r="F279" s="26" t="n"/>
      <c r="G279" s="26" t="n"/>
    </row>
    <row r="280" ht="15" customHeight="1">
      <c r="A280" s="26" t="n"/>
      <c r="B280" s="26" t="n"/>
      <c r="C280" s="26" t="n"/>
      <c r="D280" s="26" t="n"/>
      <c r="E280" s="26" t="n"/>
      <c r="F280" s="26" t="n"/>
      <c r="G280" s="26" t="n"/>
    </row>
    <row r="281" ht="15" customHeight="1">
      <c r="A281" s="26" t="n"/>
      <c r="B281" s="26" t="n"/>
      <c r="C281" s="26" t="n"/>
      <c r="D281" s="26" t="n"/>
      <c r="E281" s="26" t="n"/>
      <c r="F281" s="26" t="n"/>
      <c r="G281" s="26" t="n"/>
    </row>
    <row r="282" ht="15" customHeight="1">
      <c r="A282" s="26" t="n"/>
      <c r="B282" s="26" t="n"/>
      <c r="C282" s="26" t="n"/>
      <c r="D282" s="26" t="n"/>
      <c r="E282" s="26" t="n"/>
      <c r="F282" s="26" t="n"/>
      <c r="G282" s="26" t="n"/>
    </row>
    <row r="283" ht="15" customHeight="1">
      <c r="A283" s="26" t="n"/>
      <c r="B283" s="26" t="n"/>
      <c r="C283" s="26" t="n"/>
      <c r="D283" s="26" t="n"/>
      <c r="E283" s="26" t="n"/>
      <c r="F283" s="26" t="n"/>
      <c r="G283" s="26" t="n"/>
    </row>
    <row r="284" ht="15" customHeight="1">
      <c r="A284" s="26" t="n"/>
      <c r="B284" s="26" t="n"/>
      <c r="C284" s="26" t="n"/>
      <c r="D284" s="26" t="n"/>
      <c r="E284" s="26" t="n"/>
      <c r="F284" s="26" t="n"/>
      <c r="G284" s="26" t="n"/>
    </row>
    <row r="285" ht="15" customHeight="1">
      <c r="A285" s="26" t="n"/>
      <c r="B285" s="26" t="n"/>
      <c r="C285" s="26" t="n"/>
      <c r="D285" s="26" t="n"/>
      <c r="E285" s="26" t="n"/>
      <c r="F285" s="26" t="n"/>
      <c r="G285" s="26" t="n"/>
    </row>
    <row r="286" ht="15" customHeight="1">
      <c r="A286" s="26" t="n"/>
      <c r="B286" s="26" t="n"/>
      <c r="C286" s="26" t="n"/>
      <c r="D286" s="26" t="n"/>
      <c r="E286" s="26" t="n"/>
      <c r="F286" s="26" t="n"/>
      <c r="G286" s="26" t="n"/>
    </row>
    <row r="287" ht="15" customHeight="1">
      <c r="A287" s="26" t="n"/>
      <c r="B287" s="26" t="n"/>
      <c r="C287" s="26" t="n"/>
      <c r="D287" s="26" t="n"/>
      <c r="E287" s="26" t="n"/>
      <c r="F287" s="26" t="n"/>
      <c r="G287" s="26" t="n"/>
    </row>
    <row r="288" ht="15" customHeight="1">
      <c r="A288" s="26" t="n"/>
      <c r="B288" s="26" t="n"/>
      <c r="C288" s="26" t="n"/>
      <c r="D288" s="26" t="n"/>
      <c r="E288" s="26" t="n"/>
      <c r="F288" s="26" t="n"/>
      <c r="G288" s="26" t="n"/>
    </row>
    <row r="289" ht="15" customHeight="1">
      <c r="A289" s="26" t="n"/>
      <c r="B289" s="26" t="n"/>
      <c r="C289" s="26" t="n"/>
      <c r="D289" s="26" t="n"/>
      <c r="E289" s="26" t="n"/>
      <c r="F289" s="26" t="n"/>
      <c r="G289" s="26" t="n"/>
    </row>
    <row r="290" ht="15" customHeight="1">
      <c r="A290" s="26" t="n"/>
      <c r="B290" s="26" t="n"/>
      <c r="C290" s="26" t="n"/>
      <c r="D290" s="26" t="n"/>
      <c r="E290" s="26" t="n"/>
      <c r="F290" s="26" t="n"/>
      <c r="G290" s="26" t="n"/>
    </row>
    <row r="291" ht="15" customHeight="1">
      <c r="A291" s="26" t="n"/>
      <c r="B291" s="26" t="n"/>
      <c r="C291" s="26" t="n"/>
      <c r="D291" s="26" t="n"/>
      <c r="E291" s="26" t="n"/>
      <c r="F291" s="26" t="n"/>
      <c r="G291" s="26" t="n"/>
    </row>
    <row r="292" ht="15" customHeight="1">
      <c r="A292" s="26" t="n"/>
      <c r="B292" s="26" t="n"/>
      <c r="C292" s="26" t="n"/>
      <c r="D292" s="26" t="n"/>
      <c r="E292" s="26" t="n"/>
      <c r="F292" s="26" t="n"/>
      <c r="G292" s="26" t="n"/>
    </row>
    <row r="293" ht="15" customHeight="1">
      <c r="A293" s="26" t="n"/>
      <c r="B293" s="26" t="n"/>
      <c r="C293" s="26" t="n"/>
      <c r="D293" s="26" t="n"/>
      <c r="E293" s="26" t="n"/>
      <c r="F293" s="26" t="n"/>
      <c r="G293" s="26" t="n"/>
    </row>
    <row r="294" ht="15" customHeight="1">
      <c r="A294" s="26" t="n"/>
      <c r="B294" s="26" t="n"/>
      <c r="C294" s="26" t="n"/>
      <c r="D294" s="26" t="n"/>
      <c r="E294" s="26" t="n"/>
      <c r="F294" s="26" t="n"/>
      <c r="G294" s="26" t="n"/>
    </row>
    <row r="295" ht="15" customHeight="1">
      <c r="A295" s="26" t="n"/>
      <c r="B295" s="26" t="n"/>
      <c r="C295" s="26" t="n"/>
      <c r="D295" s="26" t="n"/>
      <c r="E295" s="26" t="n"/>
      <c r="F295" s="26" t="n"/>
      <c r="G295" s="26" t="n"/>
    </row>
    <row r="296" ht="15" customHeight="1">
      <c r="A296" s="26" t="n"/>
      <c r="B296" s="26" t="n"/>
      <c r="C296" s="26" t="n"/>
      <c r="D296" s="26" t="n"/>
      <c r="E296" s="26" t="n"/>
      <c r="F296" s="26" t="n"/>
      <c r="G296" s="26" t="n"/>
    </row>
    <row r="297" ht="15" customHeight="1">
      <c r="A297" s="26" t="n"/>
      <c r="B297" s="26" t="n"/>
      <c r="C297" s="26" t="n"/>
      <c r="D297" s="26" t="n"/>
      <c r="E297" s="26" t="n"/>
      <c r="F297" s="26" t="n"/>
      <c r="G297" s="26" t="n"/>
    </row>
    <row r="298" ht="15" customHeight="1">
      <c r="A298" s="26" t="n"/>
      <c r="B298" s="26" t="n"/>
      <c r="C298" s="26" t="n"/>
      <c r="D298" s="26" t="n"/>
      <c r="E298" s="26" t="n"/>
      <c r="F298" s="26" t="n"/>
      <c r="G298" s="26" t="n"/>
    </row>
    <row r="299" ht="15" customHeight="1">
      <c r="A299" s="26" t="n"/>
      <c r="B299" s="26" t="n"/>
      <c r="C299" s="26" t="n"/>
      <c r="D299" s="26" t="n"/>
      <c r="E299" s="26" t="n"/>
      <c r="F299" s="26" t="n"/>
      <c r="G299" s="26" t="n"/>
    </row>
    <row r="300" ht="15" customHeight="1">
      <c r="A300" s="26" t="n"/>
      <c r="B300" s="26" t="n"/>
      <c r="C300" s="26" t="n"/>
      <c r="D300" s="26" t="n"/>
      <c r="E300" s="26" t="n"/>
      <c r="F300" s="26" t="n"/>
      <c r="G300" s="26" t="n"/>
    </row>
    <row r="301" ht="15" customHeight="1">
      <c r="A301" s="26" t="n"/>
      <c r="B301" s="26" t="n"/>
      <c r="C301" s="26" t="n"/>
      <c r="D301" s="26" t="n"/>
      <c r="E301" s="26" t="n"/>
      <c r="F301" s="26" t="n"/>
      <c r="G301" s="26" t="n"/>
    </row>
    <row r="302" ht="15" customHeight="1">
      <c r="A302" s="26" t="n"/>
      <c r="B302" s="26" t="n"/>
      <c r="C302" s="26" t="n"/>
      <c r="D302" s="26" t="n"/>
      <c r="E302" s="26" t="n"/>
      <c r="F302" s="26" t="n"/>
      <c r="G302" s="26" t="n"/>
    </row>
    <row r="303" ht="15" customHeight="1">
      <c r="A303" s="26" t="n"/>
      <c r="B303" s="26" t="n"/>
      <c r="C303" s="26" t="n"/>
      <c r="D303" s="26" t="n"/>
      <c r="E303" s="26" t="n"/>
      <c r="F303" s="26" t="n"/>
      <c r="G303" s="26" t="n"/>
    </row>
    <row r="304" ht="15" customHeight="1">
      <c r="A304" s="26" t="n"/>
      <c r="B304" s="26" t="n"/>
      <c r="C304" s="26" t="n"/>
      <c r="D304" s="26" t="n"/>
      <c r="E304" s="26" t="n"/>
      <c r="F304" s="26" t="n"/>
      <c r="G304" s="26" t="n"/>
    </row>
    <row r="305" ht="15" customHeight="1">
      <c r="A305" s="26" t="n"/>
      <c r="B305" s="26" t="n"/>
      <c r="C305" s="26" t="n"/>
      <c r="D305" s="26" t="n"/>
      <c r="E305" s="26" t="n"/>
      <c r="F305" s="26" t="n"/>
      <c r="G305" s="26" t="n"/>
    </row>
    <row r="306" ht="15" customHeight="1">
      <c r="A306" s="26" t="n"/>
      <c r="B306" s="26" t="n"/>
      <c r="C306" s="26" t="n"/>
      <c r="D306" s="26" t="n"/>
      <c r="E306" s="26" t="n"/>
      <c r="F306" s="26" t="n"/>
      <c r="G306" s="26" t="n"/>
    </row>
    <row r="307" ht="15" customHeight="1">
      <c r="A307" s="26" t="n"/>
      <c r="B307" s="26" t="n"/>
      <c r="C307" s="26" t="n"/>
      <c r="D307" s="26" t="n"/>
      <c r="E307" s="26" t="n"/>
      <c r="F307" s="26" t="n"/>
      <c r="G307" s="26" t="n"/>
    </row>
    <row r="308" ht="15" customHeight="1">
      <c r="A308" s="26" t="n"/>
      <c r="B308" s="26" t="n"/>
      <c r="C308" s="26" t="n"/>
      <c r="D308" s="26" t="n"/>
      <c r="E308" s="26" t="n"/>
      <c r="F308" s="26" t="n"/>
      <c r="G308" s="26" t="n"/>
    </row>
    <row r="309" ht="15" customHeight="1">
      <c r="A309" s="26" t="n"/>
      <c r="B309" s="26" t="n"/>
      <c r="C309" s="26" t="n"/>
      <c r="D309" s="26" t="n"/>
      <c r="E309" s="26" t="n"/>
      <c r="F309" s="26" t="n"/>
      <c r="G309" s="26" t="n"/>
    </row>
    <row r="310" ht="15" customHeight="1">
      <c r="A310" s="26" t="n"/>
      <c r="B310" s="26" t="n"/>
      <c r="C310" s="26" t="n"/>
      <c r="D310" s="26" t="n"/>
      <c r="E310" s="26" t="n"/>
      <c r="F310" s="26" t="n"/>
      <c r="G310" s="26" t="n"/>
    </row>
    <row r="311" ht="15" customHeight="1">
      <c r="A311" s="26" t="n"/>
      <c r="B311" s="26" t="n"/>
      <c r="C311" s="26" t="n"/>
      <c r="D311" s="26" t="n"/>
      <c r="E311" s="26" t="n"/>
      <c r="F311" s="26" t="n"/>
      <c r="G311" s="26" t="n"/>
    </row>
    <row r="312" ht="15" customHeight="1">
      <c r="A312" s="26" t="n"/>
      <c r="B312" s="26" t="n"/>
      <c r="C312" s="26" t="n"/>
      <c r="D312" s="26" t="n"/>
      <c r="E312" s="26" t="n"/>
      <c r="F312" s="26" t="n"/>
      <c r="G312" s="26" t="n"/>
    </row>
    <row r="313" ht="15" customHeight="1">
      <c r="A313" s="26" t="n"/>
      <c r="B313" s="26" t="n"/>
      <c r="C313" s="26" t="n"/>
      <c r="D313" s="26" t="n"/>
      <c r="E313" s="26" t="n"/>
      <c r="F313" s="26" t="n"/>
      <c r="G313" s="26" t="n"/>
    </row>
    <row r="314" ht="15" customHeight="1">
      <c r="A314" s="26" t="n"/>
      <c r="B314" s="26" t="n"/>
      <c r="C314" s="26" t="n"/>
      <c r="D314" s="26" t="n"/>
      <c r="E314" s="26" t="n"/>
      <c r="F314" s="26" t="n"/>
      <c r="G314" s="26" t="n"/>
    </row>
    <row r="315" ht="15" customHeight="1">
      <c r="A315" s="26" t="n"/>
      <c r="B315" s="26" t="n"/>
      <c r="C315" s="26" t="n"/>
      <c r="D315" s="26" t="n"/>
      <c r="E315" s="26" t="n"/>
      <c r="F315" s="26" t="n"/>
      <c r="G315" s="26" t="n"/>
    </row>
    <row r="316" ht="15" customHeight="1">
      <c r="A316" s="26" t="n"/>
      <c r="B316" s="26" t="n"/>
      <c r="C316" s="26" t="n"/>
      <c r="D316" s="26" t="n"/>
      <c r="E316" s="26" t="n"/>
      <c r="F316" s="26" t="n"/>
      <c r="G316" s="26" t="n"/>
    </row>
    <row r="317" ht="15" customHeight="1">
      <c r="A317" s="26" t="n"/>
      <c r="B317" s="26" t="n"/>
      <c r="C317" s="26" t="n"/>
      <c r="D317" s="26" t="n"/>
      <c r="E317" s="26" t="n"/>
      <c r="F317" s="26" t="n"/>
      <c r="G317" s="26" t="n"/>
    </row>
    <row r="318" ht="15" customHeight="1">
      <c r="A318" s="26" t="n"/>
      <c r="B318" s="26" t="n"/>
      <c r="C318" s="26" t="n"/>
      <c r="D318" s="26" t="n"/>
      <c r="E318" s="26" t="n"/>
      <c r="F318" s="26" t="n"/>
      <c r="G318" s="26" t="n"/>
    </row>
    <row r="319" ht="15" customHeight="1">
      <c r="A319" s="26" t="n"/>
      <c r="B319" s="26" t="n"/>
      <c r="C319" s="26" t="n"/>
      <c r="D319" s="26" t="n"/>
      <c r="E319" s="26" t="n"/>
      <c r="F319" s="26" t="n"/>
      <c r="G319" s="26" t="n"/>
    </row>
    <row r="320" ht="15" customHeight="1">
      <c r="A320" s="26" t="n"/>
      <c r="B320" s="26" t="n"/>
      <c r="C320" s="26" t="n"/>
      <c r="D320" s="26" t="n"/>
      <c r="E320" s="26" t="n"/>
      <c r="F320" s="26" t="n"/>
      <c r="G320" s="26" t="n"/>
    </row>
    <row r="321" ht="15" customHeight="1">
      <c r="A321" s="26" t="n"/>
      <c r="B321" s="26" t="n"/>
      <c r="C321" s="26" t="n"/>
      <c r="D321" s="26" t="n"/>
      <c r="E321" s="26" t="n"/>
      <c r="F321" s="26" t="n"/>
      <c r="G321" s="26" t="n"/>
    </row>
    <row r="322" ht="15" customHeight="1">
      <c r="A322" s="26" t="n"/>
      <c r="B322" s="26" t="n"/>
      <c r="C322" s="26" t="n"/>
      <c r="D322" s="26" t="n"/>
      <c r="E322" s="26" t="n"/>
      <c r="F322" s="26" t="n"/>
      <c r="G322" s="26" t="n"/>
    </row>
    <row r="323" ht="15" customHeight="1">
      <c r="A323" s="26" t="n"/>
      <c r="B323" s="26" t="n"/>
      <c r="C323" s="26" t="n"/>
      <c r="D323" s="26" t="n"/>
      <c r="E323" s="26" t="n"/>
      <c r="F323" s="26" t="n"/>
      <c r="G323" s="26" t="n"/>
    </row>
    <row r="324" ht="15" customHeight="1">
      <c r="A324" s="26" t="n"/>
      <c r="B324" s="26" t="n"/>
      <c r="C324" s="26" t="n"/>
      <c r="D324" s="26" t="n"/>
      <c r="E324" s="26" t="n"/>
      <c r="F324" s="26" t="n"/>
      <c r="G324" s="26" t="n"/>
    </row>
    <row r="325" ht="15" customHeight="1">
      <c r="A325" s="26" t="n"/>
      <c r="B325" s="26" t="n"/>
      <c r="C325" s="26" t="n"/>
      <c r="D325" s="26" t="n"/>
      <c r="E325" s="26" t="n"/>
      <c r="F325" s="26" t="n"/>
      <c r="G325" s="26" t="n"/>
    </row>
    <row r="326" ht="15" customHeight="1">
      <c r="A326" s="26" t="n"/>
      <c r="B326" s="26" t="n"/>
      <c r="C326" s="26" t="n"/>
      <c r="D326" s="26" t="n"/>
      <c r="E326" s="26" t="n"/>
      <c r="F326" s="26" t="n"/>
      <c r="G326" s="26" t="n"/>
    </row>
    <row r="327" ht="15" customHeight="1">
      <c r="A327" s="26" t="n"/>
      <c r="B327" s="26" t="n"/>
      <c r="C327" s="26" t="n"/>
      <c r="D327" s="26" t="n"/>
      <c r="E327" s="26" t="n"/>
      <c r="F327" s="26" t="n"/>
      <c r="G327" s="26" t="n"/>
    </row>
    <row r="328" ht="15" customHeight="1">
      <c r="A328" s="26" t="n"/>
      <c r="B328" s="26" t="n"/>
      <c r="C328" s="26" t="n"/>
      <c r="D328" s="26" t="n"/>
      <c r="E328" s="26" t="n"/>
      <c r="F328" s="26" t="n"/>
      <c r="G328" s="26" t="n"/>
    </row>
    <row r="329" ht="15" customHeight="1">
      <c r="A329" s="26" t="n"/>
      <c r="B329" s="26" t="n"/>
      <c r="C329" s="26" t="n"/>
      <c r="D329" s="26" t="n"/>
      <c r="E329" s="26" t="n"/>
      <c r="F329" s="26" t="n"/>
      <c r="G329" s="26" t="n"/>
    </row>
    <row r="330" ht="15" customHeight="1">
      <c r="A330" s="26" t="n"/>
      <c r="B330" s="26" t="n"/>
      <c r="C330" s="26" t="n"/>
      <c r="D330" s="26" t="n"/>
      <c r="E330" s="26" t="n"/>
      <c r="F330" s="26" t="n"/>
      <c r="G330" s="26" t="n"/>
    </row>
    <row r="331" ht="15" customHeight="1">
      <c r="A331" s="26" t="n"/>
      <c r="B331" s="26" t="n"/>
      <c r="C331" s="26" t="n"/>
      <c r="D331" s="26" t="n"/>
      <c r="E331" s="26" t="n"/>
      <c r="F331" s="26" t="n"/>
      <c r="G331" s="26" t="n"/>
    </row>
    <row r="332" ht="15" customHeight="1">
      <c r="A332" s="26" t="n"/>
      <c r="B332" s="26" t="n"/>
      <c r="C332" s="26" t="n"/>
      <c r="D332" s="26" t="n"/>
      <c r="E332" s="26" t="n"/>
      <c r="F332" s="26" t="n"/>
      <c r="G332" s="26" t="n"/>
    </row>
    <row r="333" ht="15" customHeight="1">
      <c r="A333" s="26" t="n"/>
      <c r="B333" s="26" t="n"/>
      <c r="C333" s="26" t="n"/>
      <c r="D333" s="26" t="n"/>
      <c r="E333" s="26" t="n"/>
      <c r="F333" s="26" t="n"/>
      <c r="G333" s="26" t="n"/>
    </row>
    <row r="334" ht="15" customHeight="1">
      <c r="A334" s="26" t="n"/>
      <c r="B334" s="26" t="n"/>
      <c r="C334" s="26" t="n"/>
      <c r="D334" s="26" t="n"/>
      <c r="E334" s="26" t="n"/>
      <c r="F334" s="26" t="n"/>
      <c r="G334" s="26" t="n"/>
    </row>
    <row r="335" ht="15" customHeight="1">
      <c r="A335" s="26" t="n"/>
      <c r="B335" s="26" t="n"/>
      <c r="C335" s="26" t="n"/>
      <c r="D335" s="26" t="n"/>
      <c r="E335" s="26" t="n"/>
      <c r="F335" s="26" t="n"/>
      <c r="G335" s="26" t="n"/>
    </row>
    <row r="336" ht="15" customHeight="1">
      <c r="A336" s="26" t="n"/>
      <c r="B336" s="26" t="n"/>
      <c r="C336" s="26" t="n"/>
      <c r="D336" s="26" t="n"/>
      <c r="E336" s="26" t="n"/>
      <c r="F336" s="26" t="n"/>
      <c r="G336" s="26" t="n"/>
    </row>
    <row r="337" ht="15" customHeight="1">
      <c r="A337" s="26" t="n"/>
      <c r="B337" s="26" t="n"/>
      <c r="C337" s="26" t="n"/>
      <c r="D337" s="26" t="n"/>
      <c r="E337" s="26" t="n"/>
      <c r="F337" s="26" t="n"/>
      <c r="G337" s="26" t="n"/>
    </row>
    <row r="338" ht="15" customHeight="1">
      <c r="A338" s="26" t="n"/>
      <c r="B338" s="26" t="n"/>
      <c r="C338" s="26" t="n"/>
      <c r="D338" s="26" t="n"/>
      <c r="E338" s="26" t="n"/>
      <c r="F338" s="26" t="n"/>
      <c r="G338" s="26" t="n"/>
    </row>
    <row r="339" ht="15" customHeight="1">
      <c r="A339" s="26" t="n"/>
      <c r="B339" s="26" t="n"/>
      <c r="C339" s="26" t="n"/>
      <c r="D339" s="26" t="n"/>
      <c r="E339" s="26" t="n"/>
      <c r="F339" s="26" t="n"/>
      <c r="G339" s="26" t="n"/>
    </row>
    <row r="340" ht="15" customHeight="1">
      <c r="A340" s="26" t="n"/>
      <c r="B340" s="26" t="n"/>
      <c r="C340" s="26" t="n"/>
      <c r="D340" s="26" t="n"/>
      <c r="E340" s="26" t="n"/>
      <c r="F340" s="26" t="n"/>
      <c r="G340" s="26" t="n"/>
    </row>
    <row r="341" ht="15" customHeight="1">
      <c r="A341" s="26" t="n"/>
      <c r="B341" s="26" t="n"/>
      <c r="C341" s="26" t="n"/>
      <c r="D341" s="26" t="n"/>
      <c r="E341" s="26" t="n"/>
      <c r="F341" s="26" t="n"/>
      <c r="G341" s="26" t="n"/>
    </row>
    <row r="342" ht="15" customHeight="1">
      <c r="A342" s="26" t="n"/>
      <c r="B342" s="26" t="n"/>
      <c r="C342" s="26" t="n"/>
      <c r="D342" s="26" t="n"/>
      <c r="E342" s="26" t="n"/>
      <c r="F342" s="26" t="n"/>
      <c r="G342" s="26" t="n"/>
    </row>
    <row r="343" ht="15" customHeight="1">
      <c r="A343" s="26" t="n"/>
      <c r="B343" s="26" t="n"/>
      <c r="C343" s="26" t="n"/>
      <c r="D343" s="26" t="n"/>
      <c r="E343" s="26" t="n"/>
      <c r="F343" s="26" t="n"/>
      <c r="G343" s="26" t="n"/>
    </row>
    <row r="344" ht="15" customHeight="1">
      <c r="A344" s="26" t="n"/>
      <c r="B344" s="26" t="n"/>
      <c r="C344" s="26" t="n"/>
      <c r="D344" s="26" t="n"/>
      <c r="E344" s="26" t="n"/>
      <c r="F344" s="26" t="n"/>
      <c r="G344" s="26" t="n"/>
    </row>
    <row r="345" ht="15" customHeight="1">
      <c r="A345" s="26" t="n"/>
      <c r="B345" s="26" t="n"/>
      <c r="C345" s="26" t="n"/>
      <c r="D345" s="26" t="n"/>
      <c r="E345" s="26" t="n"/>
      <c r="F345" s="26" t="n"/>
      <c r="G345" s="26" t="n"/>
    </row>
    <row r="346" ht="15" customHeight="1">
      <c r="A346" s="26" t="n"/>
      <c r="B346" s="26" t="n"/>
      <c r="C346" s="26" t="n"/>
      <c r="D346" s="26" t="n"/>
      <c r="E346" s="26" t="n"/>
      <c r="F346" s="26" t="n"/>
      <c r="G346" s="26" t="n"/>
    </row>
    <row r="347" ht="15" customHeight="1">
      <c r="A347" s="26" t="n"/>
      <c r="B347" s="26" t="n"/>
      <c r="C347" s="26" t="n"/>
      <c r="D347" s="26" t="n"/>
      <c r="E347" s="26" t="n"/>
      <c r="F347" s="26" t="n"/>
      <c r="G347" s="26" t="n"/>
    </row>
    <row r="348" ht="15" customHeight="1">
      <c r="A348" s="26" t="n"/>
      <c r="B348" s="26" t="n"/>
      <c r="C348" s="26" t="n"/>
      <c r="D348" s="26" t="n"/>
      <c r="E348" s="26" t="n"/>
      <c r="F348" s="26" t="n"/>
      <c r="G348" s="26" t="n"/>
    </row>
    <row r="349" ht="15" customHeight="1">
      <c r="A349" s="26" t="n"/>
      <c r="B349" s="26" t="n"/>
      <c r="C349" s="26" t="n"/>
      <c r="D349" s="26" t="n"/>
      <c r="E349" s="26" t="n"/>
      <c r="F349" s="26" t="n"/>
      <c r="G349" s="26" t="n"/>
    </row>
    <row r="350" ht="15" customHeight="1">
      <c r="A350" s="26" t="n"/>
      <c r="B350" s="26" t="n"/>
      <c r="C350" s="26" t="n"/>
      <c r="D350" s="26" t="n"/>
      <c r="E350" s="26" t="n"/>
      <c r="F350" s="26" t="n"/>
      <c r="G350" s="26" t="n"/>
    </row>
    <row r="351" ht="15" customHeight="1">
      <c r="A351" s="26" t="n"/>
      <c r="B351" s="26" t="n"/>
      <c r="C351" s="26" t="n"/>
      <c r="D351" s="26" t="n"/>
      <c r="E351" s="26" t="n"/>
      <c r="F351" s="26" t="n"/>
      <c r="G351" s="26" t="n"/>
    </row>
    <row r="352" ht="15" customHeight="1">
      <c r="A352" s="26" t="n"/>
      <c r="B352" s="26" t="n"/>
      <c r="C352" s="26" t="n"/>
      <c r="D352" s="26" t="n"/>
      <c r="E352" s="26" t="n"/>
      <c r="F352" s="26" t="n"/>
      <c r="G352" s="26" t="n"/>
    </row>
    <row r="353" ht="15" customHeight="1">
      <c r="A353" s="26" t="n"/>
      <c r="B353" s="26" t="n"/>
      <c r="C353" s="26" t="n"/>
      <c r="D353" s="26" t="n"/>
      <c r="E353" s="26" t="n"/>
      <c r="F353" s="26" t="n"/>
      <c r="G353" s="26" t="n"/>
    </row>
    <row r="354" ht="15" customHeight="1">
      <c r="A354" s="26" t="n"/>
      <c r="B354" s="26" t="n"/>
      <c r="C354" s="26" t="n"/>
      <c r="D354" s="26" t="n"/>
      <c r="E354" s="26" t="n"/>
      <c r="F354" s="26" t="n"/>
      <c r="G354" s="26" t="n"/>
    </row>
    <row r="355" ht="15" customHeight="1">
      <c r="A355" s="26" t="n"/>
      <c r="B355" s="26" t="n"/>
      <c r="C355" s="26" t="n"/>
      <c r="D355" s="26" t="n"/>
      <c r="E355" s="26" t="n"/>
      <c r="F355" s="26" t="n"/>
      <c r="G355" s="26" t="n"/>
    </row>
    <row r="356" ht="15" customHeight="1">
      <c r="A356" s="26" t="n"/>
      <c r="B356" s="26" t="n"/>
      <c r="C356" s="26" t="n"/>
      <c r="D356" s="26" t="n"/>
      <c r="E356" s="26" t="n"/>
      <c r="F356" s="26" t="n"/>
      <c r="G356" s="26" t="n"/>
    </row>
    <row r="357" ht="15" customHeight="1">
      <c r="A357" s="26" t="n"/>
      <c r="B357" s="26" t="n"/>
      <c r="C357" s="26" t="n"/>
      <c r="D357" s="26" t="n"/>
      <c r="E357" s="26" t="n"/>
      <c r="F357" s="26" t="n"/>
      <c r="G357" s="26" t="n"/>
    </row>
    <row r="358" ht="15" customHeight="1">
      <c r="A358" s="26" t="n"/>
      <c r="B358" s="26" t="n"/>
      <c r="C358" s="26" t="n"/>
      <c r="D358" s="26" t="n"/>
      <c r="E358" s="26" t="n"/>
      <c r="F358" s="26" t="n"/>
      <c r="G358" s="26" t="n"/>
    </row>
    <row r="359" ht="15" customHeight="1">
      <c r="A359" s="26" t="n"/>
      <c r="B359" s="26" t="n"/>
      <c r="C359" s="26" t="n"/>
      <c r="D359" s="26" t="n"/>
      <c r="E359" s="26" t="n"/>
      <c r="F359" s="26" t="n"/>
      <c r="G359" s="26" t="n"/>
    </row>
    <row r="360" ht="15" customHeight="1">
      <c r="A360" s="26" t="n"/>
      <c r="B360" s="26" t="n"/>
      <c r="C360" s="26" t="n"/>
      <c r="D360" s="26" t="n"/>
      <c r="E360" s="26" t="n"/>
      <c r="F360" s="26" t="n"/>
      <c r="G360" s="26" t="n"/>
    </row>
    <row r="361" ht="15" customHeight="1">
      <c r="A361" s="26" t="n"/>
      <c r="B361" s="26" t="n"/>
      <c r="C361" s="26" t="n"/>
      <c r="D361" s="26" t="n"/>
      <c r="E361" s="26" t="n"/>
      <c r="F361" s="26" t="n"/>
      <c r="G361" s="26" t="n"/>
    </row>
    <row r="362" ht="15" customHeight="1">
      <c r="A362" s="26" t="n"/>
      <c r="B362" s="26" t="n"/>
      <c r="C362" s="26" t="n"/>
      <c r="D362" s="26" t="n"/>
      <c r="E362" s="26" t="n"/>
      <c r="F362" s="26" t="n"/>
      <c r="G362" s="26" t="n"/>
    </row>
    <row r="363" ht="15" customHeight="1">
      <c r="A363" s="26" t="n"/>
      <c r="B363" s="26" t="n"/>
      <c r="C363" s="26" t="n"/>
      <c r="D363" s="26" t="n"/>
      <c r="E363" s="26" t="n"/>
      <c r="F363" s="26" t="n"/>
      <c r="G363" s="26" t="n"/>
    </row>
    <row r="364" ht="15" customHeight="1">
      <c r="A364" s="26" t="n"/>
      <c r="B364" s="26" t="n"/>
      <c r="C364" s="26" t="n"/>
      <c r="D364" s="26" t="n"/>
      <c r="E364" s="26" t="n"/>
      <c r="F364" s="26" t="n"/>
      <c r="G364" s="26" t="n"/>
    </row>
    <row r="365" ht="15" customHeight="1">
      <c r="A365" s="26" t="n"/>
      <c r="B365" s="26" t="n"/>
      <c r="C365" s="26" t="n"/>
      <c r="D365" s="26" t="n"/>
      <c r="E365" s="26" t="n"/>
      <c r="F365" s="26" t="n"/>
      <c r="G365" s="26" t="n"/>
    </row>
    <row r="366" ht="15" customHeight="1">
      <c r="A366" s="26" t="n"/>
      <c r="B366" s="26" t="n"/>
      <c r="C366" s="26" t="n"/>
      <c r="D366" s="26" t="n"/>
      <c r="E366" s="26" t="n"/>
      <c r="F366" s="26" t="n"/>
      <c r="G366" s="26" t="n"/>
    </row>
    <row r="367" ht="15" customHeight="1">
      <c r="A367" s="26" t="n"/>
      <c r="B367" s="26" t="n"/>
      <c r="C367" s="26" t="n"/>
      <c r="D367" s="26" t="n"/>
      <c r="E367" s="26" t="n"/>
      <c r="F367" s="26" t="n"/>
      <c r="G367" s="26" t="n"/>
    </row>
    <row r="368" ht="15" customHeight="1">
      <c r="A368" s="26" t="n"/>
      <c r="B368" s="26" t="n"/>
      <c r="C368" s="26" t="n"/>
      <c r="D368" s="26" t="n"/>
      <c r="E368" s="26" t="n"/>
      <c r="F368" s="26" t="n"/>
      <c r="G368" s="26" t="n"/>
    </row>
    <row r="369" ht="15" customHeight="1">
      <c r="A369" s="26" t="n"/>
      <c r="B369" s="26" t="n"/>
      <c r="C369" s="26" t="n"/>
      <c r="D369" s="26" t="n"/>
      <c r="E369" s="26" t="n"/>
      <c r="F369" s="26" t="n"/>
      <c r="G369" s="26" t="n"/>
    </row>
    <row r="370" ht="15" customHeight="1">
      <c r="A370" s="26" t="n"/>
      <c r="B370" s="26" t="n"/>
      <c r="C370" s="26" t="n"/>
      <c r="D370" s="26" t="n"/>
      <c r="E370" s="26" t="n"/>
      <c r="F370" s="26" t="n"/>
      <c r="G370" s="26" t="n"/>
    </row>
    <row r="371" ht="15" customHeight="1">
      <c r="A371" s="26" t="n"/>
      <c r="B371" s="26" t="n"/>
      <c r="C371" s="26" t="n"/>
      <c r="D371" s="26" t="n"/>
      <c r="E371" s="26" t="n"/>
      <c r="F371" s="26" t="n"/>
      <c r="G371" s="26" t="n"/>
    </row>
    <row r="372" ht="15" customHeight="1">
      <c r="A372" s="26" t="n"/>
      <c r="B372" s="26" t="n"/>
      <c r="C372" s="26" t="n"/>
      <c r="D372" s="26" t="n"/>
      <c r="E372" s="26" t="n"/>
      <c r="F372" s="26" t="n"/>
      <c r="G372" s="26" t="n"/>
    </row>
    <row r="373" ht="15" customHeight="1">
      <c r="A373" s="26" t="n"/>
      <c r="B373" s="26" t="n"/>
      <c r="C373" s="26" t="n"/>
      <c r="D373" s="26" t="n"/>
      <c r="E373" s="26" t="n"/>
      <c r="F373" s="26" t="n"/>
      <c r="G373" s="26" t="n"/>
    </row>
    <row r="374" ht="15" customHeight="1">
      <c r="A374" s="26" t="n"/>
      <c r="B374" s="26" t="n"/>
      <c r="C374" s="26" t="n"/>
      <c r="D374" s="26" t="n"/>
      <c r="E374" s="26" t="n"/>
      <c r="F374" s="26" t="n"/>
      <c r="G374" s="26" t="n"/>
    </row>
    <row r="375" ht="15" customHeight="1">
      <c r="A375" s="26" t="n"/>
      <c r="B375" s="26" t="n"/>
      <c r="C375" s="26" t="n"/>
      <c r="D375" s="26" t="n"/>
      <c r="E375" s="26" t="n"/>
      <c r="F375" s="26" t="n"/>
      <c r="G375" s="26" t="n"/>
    </row>
    <row r="376" ht="15" customHeight="1">
      <c r="A376" s="26" t="n"/>
      <c r="B376" s="26" t="n"/>
      <c r="C376" s="26" t="n"/>
      <c r="D376" s="26" t="n"/>
      <c r="E376" s="26" t="n"/>
      <c r="F376" s="26" t="n"/>
      <c r="G376" s="26" t="n"/>
    </row>
    <row r="377" ht="15" customHeight="1">
      <c r="A377" s="26" t="n"/>
      <c r="B377" s="26" t="n"/>
      <c r="C377" s="26" t="n"/>
      <c r="D377" s="26" t="n"/>
      <c r="E377" s="26" t="n"/>
      <c r="F377" s="26" t="n"/>
      <c r="G377" s="26" t="n"/>
    </row>
    <row r="378" ht="15" customHeight="1">
      <c r="A378" s="26" t="n"/>
      <c r="B378" s="26" t="n"/>
      <c r="C378" s="26" t="n"/>
      <c r="D378" s="26" t="n"/>
      <c r="E378" s="26" t="n"/>
      <c r="F378" s="26" t="n"/>
      <c r="G378" s="26" t="n"/>
    </row>
    <row r="379" ht="15" customHeight="1">
      <c r="A379" s="26" t="n"/>
      <c r="B379" s="26" t="n"/>
      <c r="C379" s="26" t="n"/>
      <c r="D379" s="26" t="n"/>
      <c r="E379" s="26" t="n"/>
      <c r="F379" s="26" t="n"/>
      <c r="G379" s="26" t="n"/>
    </row>
    <row r="380" ht="15" customHeight="1">
      <c r="A380" s="26" t="n"/>
      <c r="B380" s="26" t="n"/>
      <c r="C380" s="26" t="n"/>
      <c r="D380" s="26" t="n"/>
      <c r="E380" s="26" t="n"/>
      <c r="F380" s="26" t="n"/>
      <c r="G380" s="26" t="n"/>
    </row>
    <row r="381" ht="15" customHeight="1">
      <c r="A381" s="26" t="n"/>
      <c r="B381" s="26" t="n"/>
      <c r="C381" s="26" t="n"/>
      <c r="D381" s="26" t="n"/>
      <c r="E381" s="26" t="n"/>
      <c r="F381" s="26" t="n"/>
      <c r="G381" s="26" t="n"/>
    </row>
    <row r="382" ht="15" customHeight="1">
      <c r="A382" s="26" t="n"/>
      <c r="B382" s="26" t="n"/>
      <c r="C382" s="26" t="n"/>
      <c r="D382" s="26" t="n"/>
      <c r="E382" s="26" t="n"/>
      <c r="F382" s="26" t="n"/>
      <c r="G382" s="26" t="n"/>
    </row>
    <row r="383" ht="15" customHeight="1">
      <c r="A383" s="26" t="n"/>
      <c r="B383" s="26" t="n"/>
      <c r="C383" s="26" t="n"/>
      <c r="D383" s="26" t="n"/>
      <c r="E383" s="26" t="n"/>
      <c r="F383" s="26" t="n"/>
      <c r="G383" s="26" t="n"/>
    </row>
    <row r="384" ht="15" customHeight="1">
      <c r="A384" s="26" t="n"/>
      <c r="B384" s="26" t="n"/>
      <c r="C384" s="26" t="n"/>
      <c r="D384" s="26" t="n"/>
      <c r="E384" s="26" t="n"/>
      <c r="F384" s="26" t="n"/>
      <c r="G384" s="26" t="n"/>
    </row>
    <row r="385" ht="15" customHeight="1">
      <c r="A385" s="26" t="n"/>
      <c r="B385" s="26" t="n"/>
      <c r="C385" s="26" t="n"/>
      <c r="D385" s="26" t="n"/>
      <c r="E385" s="26" t="n"/>
      <c r="F385" s="26" t="n"/>
      <c r="G385" s="26" t="n"/>
    </row>
    <row r="386" ht="15" customHeight="1">
      <c r="A386" s="26" t="n"/>
      <c r="B386" s="26" t="n"/>
      <c r="C386" s="26" t="n"/>
      <c r="D386" s="26" t="n"/>
      <c r="E386" s="26" t="n"/>
      <c r="F386" s="26" t="n"/>
      <c r="G386" s="26" t="n"/>
    </row>
    <row r="387" ht="15" customHeight="1">
      <c r="A387" s="26" t="n"/>
      <c r="B387" s="26" t="n"/>
      <c r="C387" s="26" t="n"/>
      <c r="D387" s="26" t="n"/>
      <c r="E387" s="26" t="n"/>
      <c r="F387" s="26" t="n"/>
      <c r="G387" s="26" t="n"/>
    </row>
    <row r="388" ht="15" customHeight="1">
      <c r="A388" s="26" t="n"/>
      <c r="B388" s="26" t="n"/>
      <c r="C388" s="26" t="n"/>
      <c r="D388" s="26" t="n"/>
      <c r="E388" s="26" t="n"/>
      <c r="F388" s="26" t="n"/>
      <c r="G388" s="26" t="n"/>
    </row>
    <row r="389" ht="15" customHeight="1">
      <c r="A389" s="26" t="n"/>
      <c r="B389" s="26" t="n"/>
      <c r="C389" s="26" t="n"/>
      <c r="D389" s="26" t="n"/>
      <c r="E389" s="26" t="n"/>
      <c r="F389" s="26" t="n"/>
      <c r="G389" s="26" t="n"/>
    </row>
    <row r="390" ht="15" customHeight="1">
      <c r="A390" s="26" t="n"/>
      <c r="B390" s="26" t="n"/>
      <c r="C390" s="26" t="n"/>
      <c r="D390" s="26" t="n"/>
      <c r="E390" s="26" t="n"/>
      <c r="F390" s="26" t="n"/>
      <c r="G390" s="26" t="n"/>
    </row>
    <row r="391" ht="15" customHeight="1">
      <c r="A391" s="26" t="n"/>
      <c r="B391" s="26" t="n"/>
      <c r="C391" s="26" t="n"/>
      <c r="D391" s="26" t="n"/>
      <c r="E391" s="26" t="n"/>
      <c r="F391" s="26" t="n"/>
      <c r="G391" s="26" t="n"/>
    </row>
    <row r="392" ht="15" customHeight="1">
      <c r="A392" s="26" t="n"/>
      <c r="B392" s="26" t="n"/>
      <c r="C392" s="26" t="n"/>
      <c r="D392" s="26" t="n"/>
      <c r="E392" s="26" t="n"/>
      <c r="F392" s="26" t="n"/>
      <c r="G392" s="26" t="n"/>
    </row>
    <row r="393" ht="15" customHeight="1">
      <c r="A393" s="26" t="n"/>
      <c r="B393" s="26" t="n"/>
      <c r="C393" s="26" t="n"/>
      <c r="D393" s="26" t="n"/>
      <c r="E393" s="26" t="n"/>
      <c r="F393" s="26" t="n"/>
      <c r="G393" s="26" t="n"/>
    </row>
    <row r="394" ht="15" customHeight="1">
      <c r="A394" s="26" t="n"/>
      <c r="B394" s="26" t="n"/>
      <c r="C394" s="26" t="n"/>
      <c r="D394" s="26" t="n"/>
      <c r="E394" s="26" t="n"/>
      <c r="F394" s="26" t="n"/>
      <c r="G394" s="26" t="n"/>
    </row>
    <row r="395" ht="15" customHeight="1">
      <c r="A395" s="26" t="n"/>
      <c r="B395" s="26" t="n"/>
      <c r="C395" s="26" t="n"/>
      <c r="D395" s="26" t="n"/>
      <c r="E395" s="26" t="n"/>
      <c r="F395" s="26" t="n"/>
      <c r="G395" s="26" t="n"/>
    </row>
    <row r="396" ht="15" customHeight="1">
      <c r="A396" s="26" t="n"/>
      <c r="B396" s="26" t="n"/>
      <c r="C396" s="26" t="n"/>
      <c r="D396" s="26" t="n"/>
      <c r="E396" s="26" t="n"/>
      <c r="F396" s="26" t="n"/>
      <c r="G396" s="26" t="n"/>
    </row>
    <row r="397" ht="15" customHeight="1">
      <c r="A397" s="26" t="n"/>
      <c r="B397" s="26" t="n"/>
      <c r="C397" s="26" t="n"/>
      <c r="D397" s="26" t="n"/>
      <c r="E397" s="26" t="n"/>
      <c r="F397" s="26" t="n"/>
      <c r="G397" s="26" t="n"/>
    </row>
    <row r="398" ht="15" customHeight="1">
      <c r="A398" s="26" t="n"/>
      <c r="B398" s="26" t="n"/>
      <c r="C398" s="26" t="n"/>
      <c r="D398" s="26" t="n"/>
      <c r="E398" s="26" t="n"/>
      <c r="F398" s="26" t="n"/>
      <c r="G398" s="26" t="n"/>
    </row>
    <row r="399" ht="15" customHeight="1">
      <c r="A399" s="26" t="n"/>
      <c r="B399" s="26" t="n"/>
      <c r="C399" s="26" t="n"/>
      <c r="D399" s="26" t="n"/>
      <c r="E399" s="26" t="n"/>
      <c r="F399" s="26" t="n"/>
      <c r="G399" s="26" t="n"/>
    </row>
    <row r="400" ht="15" customHeight="1">
      <c r="A400" s="26" t="n"/>
      <c r="B400" s="26" t="n"/>
      <c r="C400" s="26" t="n"/>
      <c r="D400" s="26" t="n"/>
      <c r="E400" s="26" t="n"/>
      <c r="F400" s="26" t="n"/>
      <c r="G400" s="26" t="n"/>
    </row>
    <row r="401" ht="15" customHeight="1">
      <c r="A401" s="26" t="n"/>
      <c r="B401" s="26" t="n"/>
      <c r="C401" s="26" t="n"/>
      <c r="D401" s="26" t="n"/>
      <c r="E401" s="26" t="n"/>
      <c r="F401" s="26" t="n"/>
      <c r="G401" s="26" t="n"/>
    </row>
    <row r="402" ht="15" customHeight="1">
      <c r="A402" s="26" t="n"/>
      <c r="B402" s="26" t="n"/>
      <c r="C402" s="26" t="n"/>
      <c r="D402" s="26" t="n"/>
      <c r="E402" s="26" t="n"/>
      <c r="F402" s="26" t="n"/>
      <c r="G402" s="26" t="n"/>
    </row>
    <row r="403" ht="15" customHeight="1">
      <c r="A403" s="26" t="n"/>
      <c r="B403" s="26" t="n"/>
      <c r="C403" s="26" t="n"/>
      <c r="D403" s="26" t="n"/>
      <c r="E403" s="26" t="n"/>
      <c r="F403" s="26" t="n"/>
      <c r="G403" s="26" t="n"/>
    </row>
    <row r="404" ht="15" customHeight="1">
      <c r="A404" s="26" t="n"/>
      <c r="B404" s="26" t="n"/>
      <c r="C404" s="26" t="n"/>
      <c r="D404" s="26" t="n"/>
      <c r="E404" s="26" t="n"/>
      <c r="F404" s="26" t="n"/>
      <c r="G404" s="26" t="n"/>
    </row>
    <row r="405" ht="15" customHeight="1">
      <c r="A405" s="26" t="n"/>
      <c r="B405" s="26" t="n"/>
      <c r="C405" s="26" t="n"/>
      <c r="D405" s="26" t="n"/>
      <c r="E405" s="26" t="n"/>
      <c r="F405" s="26" t="n"/>
      <c r="G405" s="26" t="n"/>
    </row>
    <row r="406" ht="15" customHeight="1">
      <c r="A406" s="26" t="n"/>
      <c r="B406" s="26" t="n"/>
      <c r="C406" s="26" t="n"/>
      <c r="D406" s="26" t="n"/>
      <c r="E406" s="26" t="n"/>
      <c r="F406" s="26" t="n"/>
      <c r="G406" s="26" t="n"/>
    </row>
    <row r="407" ht="15" customHeight="1">
      <c r="A407" s="26" t="n"/>
      <c r="B407" s="26" t="n"/>
      <c r="C407" s="26" t="n"/>
      <c r="D407" s="26" t="n"/>
      <c r="E407" s="26" t="n"/>
      <c r="F407" s="26" t="n"/>
      <c r="G407" s="26" t="n"/>
    </row>
    <row r="408" ht="15" customHeight="1">
      <c r="A408" s="26" t="n"/>
      <c r="B408" s="26" t="n"/>
      <c r="C408" s="26" t="n"/>
      <c r="D408" s="26" t="n"/>
      <c r="E408" s="26" t="n"/>
      <c r="F408" s="26" t="n"/>
      <c r="G408" s="26" t="n"/>
    </row>
    <row r="409" ht="15" customHeight="1">
      <c r="A409" s="26" t="n"/>
      <c r="B409" s="26" t="n"/>
      <c r="C409" s="26" t="n"/>
      <c r="D409" s="26" t="n"/>
      <c r="E409" s="26" t="n"/>
      <c r="F409" s="26" t="n"/>
      <c r="G409" s="26" t="n"/>
    </row>
    <row r="410" ht="15" customHeight="1">
      <c r="A410" s="26" t="n"/>
      <c r="B410" s="26" t="n"/>
      <c r="C410" s="26" t="n"/>
      <c r="D410" s="26" t="n"/>
      <c r="E410" s="26" t="n"/>
      <c r="F410" s="26" t="n"/>
      <c r="G410" s="26" t="n"/>
    </row>
    <row r="411" ht="15" customHeight="1">
      <c r="A411" s="26" t="n"/>
      <c r="B411" s="26" t="n"/>
      <c r="C411" s="26" t="n"/>
      <c r="D411" s="26" t="n"/>
      <c r="E411" s="26" t="n"/>
      <c r="F411" s="26" t="n"/>
      <c r="G411" s="26" t="n"/>
    </row>
    <row r="412" ht="15" customHeight="1">
      <c r="A412" s="26" t="n"/>
      <c r="B412" s="26" t="n"/>
      <c r="C412" s="26" t="n"/>
      <c r="D412" s="26" t="n"/>
      <c r="E412" s="26" t="n"/>
      <c r="F412" s="26" t="n"/>
      <c r="G412" s="26" t="n"/>
    </row>
    <row r="413" ht="15" customHeight="1">
      <c r="A413" s="26" t="n"/>
      <c r="B413" s="26" t="n"/>
      <c r="C413" s="26" t="n"/>
      <c r="D413" s="26" t="n"/>
      <c r="E413" s="26" t="n"/>
      <c r="F413" s="26" t="n"/>
      <c r="G413" s="26" t="n"/>
    </row>
    <row r="414" ht="15" customHeight="1">
      <c r="A414" s="26" t="n"/>
      <c r="B414" s="26" t="n"/>
      <c r="C414" s="26" t="n"/>
      <c r="D414" s="26" t="n"/>
      <c r="E414" s="26" t="n"/>
      <c r="F414" s="26" t="n"/>
      <c r="G414" s="26" t="n"/>
    </row>
    <row r="415" ht="15" customHeight="1">
      <c r="A415" s="26" t="n"/>
      <c r="B415" s="26" t="n"/>
      <c r="C415" s="26" t="n"/>
      <c r="D415" s="26" t="n"/>
      <c r="E415" s="26" t="n"/>
      <c r="F415" s="26" t="n"/>
      <c r="G415" s="26" t="n"/>
    </row>
    <row r="416" ht="15" customHeight="1">
      <c r="A416" s="26" t="n"/>
      <c r="B416" s="26" t="n"/>
      <c r="C416" s="26" t="n"/>
      <c r="D416" s="26" t="n"/>
      <c r="E416" s="26" t="n"/>
      <c r="F416" s="26" t="n"/>
      <c r="G416" s="26" t="n"/>
    </row>
    <row r="417" ht="15" customHeight="1">
      <c r="A417" s="26" t="n"/>
      <c r="B417" s="26" t="n"/>
      <c r="C417" s="26" t="n"/>
      <c r="D417" s="26" t="n"/>
      <c r="E417" s="26" t="n"/>
      <c r="F417" s="26" t="n"/>
      <c r="G417" s="26" t="n"/>
    </row>
    <row r="418" ht="15" customHeight="1">
      <c r="A418" s="26" t="n"/>
      <c r="B418" s="26" t="n"/>
      <c r="C418" s="26" t="n"/>
      <c r="D418" s="26" t="n"/>
      <c r="E418" s="26" t="n"/>
      <c r="F418" s="26" t="n"/>
      <c r="G418" s="26" t="n"/>
    </row>
    <row r="419" ht="15" customHeight="1">
      <c r="A419" s="26" t="n"/>
      <c r="B419" s="26" t="n"/>
      <c r="C419" s="26" t="n"/>
      <c r="D419" s="26" t="n"/>
      <c r="E419" s="26" t="n"/>
      <c r="F419" s="26" t="n"/>
      <c r="G419" s="26" t="n"/>
    </row>
    <row r="420" ht="15" customHeight="1">
      <c r="A420" s="26" t="n"/>
      <c r="B420" s="26" t="n"/>
      <c r="C420" s="26" t="n"/>
      <c r="D420" s="26" t="n"/>
      <c r="E420" s="26" t="n"/>
      <c r="F420" s="26" t="n"/>
      <c r="G420" s="26" t="n"/>
    </row>
    <row r="421" ht="15" customHeight="1">
      <c r="A421" s="26" t="n"/>
      <c r="B421" s="26" t="n"/>
      <c r="C421" s="26" t="n"/>
      <c r="D421" s="26" t="n"/>
      <c r="E421" s="26" t="n"/>
      <c r="F421" s="26" t="n"/>
      <c r="G421" s="26" t="n"/>
    </row>
    <row r="422" ht="15" customHeight="1">
      <c r="A422" s="26" t="n"/>
      <c r="B422" s="26" t="n"/>
      <c r="C422" s="26" t="n"/>
      <c r="D422" s="26" t="n"/>
      <c r="E422" s="26" t="n"/>
      <c r="F422" s="26" t="n"/>
      <c r="G422" s="26" t="n"/>
    </row>
    <row r="423" ht="15" customHeight="1">
      <c r="A423" s="26" t="n"/>
      <c r="B423" s="26" t="n"/>
      <c r="C423" s="26" t="n"/>
      <c r="D423" s="26" t="n"/>
      <c r="E423" s="26" t="n"/>
      <c r="F423" s="26" t="n"/>
      <c r="G423" s="26" t="n"/>
    </row>
    <row r="424" ht="15" customHeight="1">
      <c r="A424" s="26" t="n"/>
      <c r="B424" s="26" t="n"/>
      <c r="C424" s="26" t="n"/>
      <c r="D424" s="26" t="n"/>
      <c r="E424" s="26" t="n"/>
      <c r="F424" s="26" t="n"/>
      <c r="G424" s="26" t="n"/>
    </row>
    <row r="425" ht="15" customHeight="1">
      <c r="A425" s="26" t="n"/>
      <c r="B425" s="26" t="n"/>
      <c r="C425" s="26" t="n"/>
      <c r="D425" s="26" t="n"/>
      <c r="E425" s="26" t="n"/>
      <c r="F425" s="26" t="n"/>
      <c r="G425" s="26" t="n"/>
    </row>
    <row r="426" ht="15" customHeight="1">
      <c r="A426" s="26" t="n"/>
      <c r="B426" s="26" t="n"/>
      <c r="C426" s="26" t="n"/>
      <c r="D426" s="26" t="n"/>
      <c r="E426" s="26" t="n"/>
      <c r="F426" s="26" t="n"/>
      <c r="G426" s="26" t="n"/>
    </row>
    <row r="427" ht="15" customHeight="1">
      <c r="A427" s="26" t="n"/>
      <c r="B427" s="26" t="n"/>
      <c r="C427" s="26" t="n"/>
      <c r="D427" s="26" t="n"/>
      <c r="E427" s="26" t="n"/>
      <c r="F427" s="26" t="n"/>
      <c r="G427" s="26" t="n"/>
    </row>
    <row r="428" ht="15" customHeight="1">
      <c r="A428" s="26" t="n"/>
      <c r="B428" s="26" t="n"/>
      <c r="C428" s="26" t="n"/>
      <c r="D428" s="26" t="n"/>
      <c r="E428" s="26" t="n"/>
      <c r="F428" s="26" t="n"/>
      <c r="G428" s="26" t="n"/>
    </row>
    <row r="429" ht="15" customHeight="1">
      <c r="A429" s="26" t="n"/>
      <c r="B429" s="26" t="n"/>
      <c r="C429" s="26" t="n"/>
      <c r="D429" s="26" t="n"/>
      <c r="E429" s="26" t="n"/>
      <c r="F429" s="26" t="n"/>
      <c r="G429" s="26" t="n"/>
    </row>
    <row r="430" ht="15" customHeight="1">
      <c r="A430" s="26" t="n"/>
      <c r="B430" s="26" t="n"/>
      <c r="C430" s="26" t="n"/>
      <c r="D430" s="26" t="n"/>
      <c r="E430" s="26" t="n"/>
      <c r="F430" s="26" t="n"/>
      <c r="G430" s="26" t="n"/>
    </row>
    <row r="431" ht="15" customHeight="1">
      <c r="A431" s="26" t="n"/>
      <c r="B431" s="26" t="n"/>
      <c r="C431" s="26" t="n"/>
      <c r="D431" s="26" t="n"/>
      <c r="E431" s="26" t="n"/>
      <c r="F431" s="26" t="n"/>
      <c r="G431" s="26" t="n"/>
    </row>
    <row r="432" ht="15" customHeight="1">
      <c r="A432" s="26" t="n"/>
      <c r="B432" s="26" t="n"/>
      <c r="C432" s="26" t="n"/>
      <c r="D432" s="26" t="n"/>
      <c r="E432" s="26" t="n"/>
      <c r="F432" s="26" t="n"/>
      <c r="G432" s="26" t="n"/>
    </row>
    <row r="433" ht="15" customHeight="1">
      <c r="A433" s="26" t="n"/>
      <c r="B433" s="26" t="n"/>
      <c r="C433" s="26" t="n"/>
      <c r="D433" s="26" t="n"/>
      <c r="E433" s="26" t="n"/>
      <c r="F433" s="26" t="n"/>
      <c r="G433" s="26" t="n"/>
    </row>
    <row r="434" ht="15" customHeight="1">
      <c r="A434" s="26" t="n"/>
      <c r="B434" s="26" t="n"/>
      <c r="C434" s="26" t="n"/>
      <c r="D434" s="26" t="n"/>
      <c r="E434" s="26" t="n"/>
      <c r="F434" s="26" t="n"/>
      <c r="G434" s="26" t="n"/>
    </row>
    <row r="435" ht="15" customHeight="1">
      <c r="A435" s="26" t="n"/>
      <c r="B435" s="26" t="n"/>
      <c r="C435" s="26" t="n"/>
      <c r="D435" s="26" t="n"/>
      <c r="E435" s="26" t="n"/>
      <c r="F435" s="26" t="n"/>
      <c r="G435" s="26" t="n"/>
    </row>
    <row r="436" ht="15" customHeight="1">
      <c r="A436" s="26" t="n"/>
      <c r="B436" s="26" t="n"/>
      <c r="C436" s="26" t="n"/>
      <c r="D436" s="26" t="n"/>
      <c r="E436" s="26" t="n"/>
      <c r="F436" s="26" t="n"/>
      <c r="G436" s="26" t="n"/>
    </row>
    <row r="437" ht="15" customHeight="1">
      <c r="A437" s="26" t="n"/>
      <c r="B437" s="26" t="n"/>
      <c r="C437" s="26" t="n"/>
      <c r="D437" s="26" t="n"/>
      <c r="E437" s="26" t="n"/>
      <c r="F437" s="26" t="n"/>
      <c r="G437" s="26" t="n"/>
    </row>
    <row r="438" ht="15" customHeight="1">
      <c r="A438" s="26" t="n"/>
      <c r="B438" s="26" t="n"/>
      <c r="C438" s="26" t="n"/>
      <c r="D438" s="26" t="n"/>
      <c r="E438" s="26" t="n"/>
      <c r="F438" s="26" t="n"/>
      <c r="G438" s="26" t="n"/>
    </row>
    <row r="439" ht="15" customHeight="1">
      <c r="A439" s="26" t="n"/>
      <c r="B439" s="26" t="n"/>
      <c r="C439" s="26" t="n"/>
      <c r="D439" s="26" t="n"/>
      <c r="E439" s="26" t="n"/>
      <c r="F439" s="26" t="n"/>
      <c r="G439" s="26" t="n"/>
    </row>
    <row r="440" ht="15" customHeight="1">
      <c r="A440" s="26" t="n"/>
      <c r="B440" s="26" t="n"/>
      <c r="C440" s="26" t="n"/>
      <c r="D440" s="26" t="n"/>
      <c r="E440" s="26" t="n"/>
      <c r="F440" s="26" t="n"/>
      <c r="G440" s="26" t="n"/>
    </row>
    <row r="441" ht="15" customHeight="1">
      <c r="A441" s="26" t="n"/>
      <c r="B441" s="26" t="n"/>
      <c r="C441" s="26" t="n"/>
      <c r="D441" s="26" t="n"/>
      <c r="E441" s="26" t="n"/>
      <c r="F441" s="26" t="n"/>
      <c r="G441" s="26" t="n"/>
    </row>
    <row r="442" ht="15" customHeight="1">
      <c r="A442" s="26" t="n"/>
      <c r="B442" s="26" t="n"/>
      <c r="C442" s="26" t="n"/>
      <c r="D442" s="26" t="n"/>
      <c r="E442" s="26" t="n"/>
      <c r="F442" s="26" t="n"/>
      <c r="G442" s="26" t="n"/>
    </row>
    <row r="443" ht="15" customHeight="1">
      <c r="A443" s="26" t="n"/>
      <c r="B443" s="26" t="n"/>
      <c r="C443" s="26" t="n"/>
      <c r="D443" s="26" t="n"/>
      <c r="E443" s="26" t="n"/>
      <c r="F443" s="26" t="n"/>
      <c r="G443" s="26" t="n"/>
    </row>
    <row r="444" ht="15" customHeight="1">
      <c r="A444" s="26" t="n"/>
      <c r="B444" s="26" t="n"/>
      <c r="C444" s="26" t="n"/>
      <c r="D444" s="26" t="n"/>
      <c r="E444" s="26" t="n"/>
      <c r="F444" s="26" t="n"/>
      <c r="G444" s="26" t="n"/>
    </row>
    <row r="445" ht="15" customHeight="1">
      <c r="A445" s="26" t="n"/>
      <c r="B445" s="26" t="n"/>
      <c r="C445" s="26" t="n"/>
      <c r="D445" s="26" t="n"/>
      <c r="E445" s="26" t="n"/>
      <c r="F445" s="26" t="n"/>
      <c r="G445" s="26" t="n"/>
    </row>
    <row r="446" ht="15" customHeight="1">
      <c r="A446" s="26" t="n"/>
      <c r="B446" s="26" t="n"/>
      <c r="C446" s="26" t="n"/>
      <c r="D446" s="26" t="n"/>
      <c r="E446" s="26" t="n"/>
      <c r="F446" s="26" t="n"/>
      <c r="G446" s="26" t="n"/>
    </row>
    <row r="447" ht="15" customHeight="1">
      <c r="A447" s="26" t="n"/>
      <c r="B447" s="26" t="n"/>
      <c r="C447" s="26" t="n"/>
      <c r="D447" s="26" t="n"/>
      <c r="E447" s="26" t="n"/>
      <c r="F447" s="26" t="n"/>
      <c r="G447" s="26" t="n"/>
    </row>
    <row r="448" ht="15" customHeight="1">
      <c r="A448" s="26" t="n"/>
      <c r="B448" s="26" t="n"/>
      <c r="C448" s="26" t="n"/>
      <c r="D448" s="26" t="n"/>
      <c r="E448" s="26" t="n"/>
      <c r="F448" s="26" t="n"/>
      <c r="G448" s="26" t="n"/>
    </row>
    <row r="449" ht="15" customHeight="1">
      <c r="A449" s="26" t="n"/>
      <c r="B449" s="26" t="n"/>
      <c r="C449" s="26" t="n"/>
      <c r="D449" s="26" t="n"/>
      <c r="E449" s="26" t="n"/>
      <c r="F449" s="26" t="n"/>
      <c r="G449" s="26" t="n"/>
    </row>
    <row r="450" ht="15" customHeight="1">
      <c r="A450" s="26" t="n"/>
      <c r="B450" s="26" t="n"/>
      <c r="C450" s="26" t="n"/>
      <c r="D450" s="26" t="n"/>
      <c r="E450" s="26" t="n"/>
      <c r="F450" s="26" t="n"/>
      <c r="G450" s="26" t="n"/>
    </row>
    <row r="451" ht="15" customHeight="1">
      <c r="A451" s="26" t="n"/>
      <c r="B451" s="26" t="n"/>
      <c r="C451" s="26" t="n"/>
      <c r="D451" s="26" t="n"/>
      <c r="E451" s="26" t="n"/>
      <c r="F451" s="26" t="n"/>
      <c r="G451" s="26" t="n"/>
    </row>
    <row r="452" ht="15" customHeight="1">
      <c r="A452" s="26" t="n"/>
      <c r="B452" s="26" t="n"/>
      <c r="C452" s="26" t="n"/>
      <c r="D452" s="26" t="n"/>
      <c r="E452" s="26" t="n"/>
      <c r="F452" s="26" t="n"/>
      <c r="G452" s="26" t="n"/>
    </row>
    <row r="453" ht="15" customHeight="1">
      <c r="A453" s="26" t="n"/>
      <c r="B453" s="26" t="n"/>
      <c r="C453" s="26" t="n"/>
      <c r="D453" s="26" t="n"/>
      <c r="E453" s="26" t="n"/>
      <c r="F453" s="26" t="n"/>
      <c r="G453" s="26" t="n"/>
    </row>
    <row r="454" ht="15" customHeight="1">
      <c r="A454" s="26" t="n"/>
      <c r="B454" s="26" t="n"/>
      <c r="C454" s="26" t="n"/>
      <c r="D454" s="26" t="n"/>
      <c r="E454" s="26" t="n"/>
      <c r="F454" s="26" t="n"/>
      <c r="G454" s="26" t="n"/>
    </row>
    <row r="455" ht="15" customHeight="1">
      <c r="A455" s="26" t="n"/>
      <c r="B455" s="26" t="n"/>
      <c r="C455" s="26" t="n"/>
      <c r="D455" s="26" t="n"/>
      <c r="E455" s="26" t="n"/>
      <c r="F455" s="26" t="n"/>
      <c r="G455" s="26" t="n"/>
    </row>
    <row r="456" ht="15" customHeight="1">
      <c r="A456" s="26" t="n"/>
      <c r="B456" s="26" t="n"/>
      <c r="C456" s="26" t="n"/>
      <c r="D456" s="26" t="n"/>
      <c r="E456" s="26" t="n"/>
      <c r="F456" s="26" t="n"/>
      <c r="G456" s="26" t="n"/>
    </row>
    <row r="457" ht="15" customHeight="1">
      <c r="A457" s="26" t="n"/>
      <c r="B457" s="26" t="n"/>
      <c r="C457" s="26" t="n"/>
      <c r="D457" s="26" t="n"/>
      <c r="E457" s="26" t="n"/>
      <c r="F457" s="26" t="n"/>
      <c r="G457" s="26" t="n"/>
    </row>
    <row r="458" ht="15" customHeight="1">
      <c r="A458" s="26" t="n"/>
      <c r="B458" s="26" t="n"/>
      <c r="C458" s="26" t="n"/>
      <c r="D458" s="26" t="n"/>
      <c r="E458" s="26" t="n"/>
      <c r="F458" s="26" t="n"/>
      <c r="G458" s="26" t="n"/>
    </row>
    <row r="459" ht="15" customHeight="1">
      <c r="A459" s="26" t="n"/>
      <c r="B459" s="26" t="n"/>
      <c r="C459" s="26" t="n"/>
      <c r="D459" s="26" t="n"/>
      <c r="E459" s="26" t="n"/>
      <c r="F459" s="26" t="n"/>
      <c r="G459" s="26" t="n"/>
    </row>
    <row r="460" ht="15" customHeight="1">
      <c r="A460" s="26" t="n"/>
      <c r="B460" s="26" t="n"/>
      <c r="C460" s="26" t="n"/>
      <c r="D460" s="26" t="n"/>
      <c r="E460" s="26" t="n"/>
      <c r="F460" s="26" t="n"/>
      <c r="G460" s="26" t="n"/>
    </row>
    <row r="461" ht="15" customHeight="1">
      <c r="A461" s="26" t="n"/>
      <c r="B461" s="26" t="n"/>
      <c r="C461" s="26" t="n"/>
      <c r="D461" s="26" t="n"/>
      <c r="E461" s="26" t="n"/>
      <c r="F461" s="26" t="n"/>
      <c r="G461" s="26" t="n"/>
    </row>
    <row r="462" ht="15" customHeight="1">
      <c r="A462" s="26" t="n"/>
      <c r="B462" s="26" t="n"/>
      <c r="C462" s="26" t="n"/>
      <c r="D462" s="26" t="n"/>
      <c r="E462" s="26" t="n"/>
      <c r="F462" s="26" t="n"/>
      <c r="G462" s="26" t="n"/>
    </row>
    <row r="463" ht="15" customHeight="1">
      <c r="A463" s="26" t="n"/>
      <c r="B463" s="26" t="n"/>
      <c r="C463" s="26" t="n"/>
      <c r="D463" s="26" t="n"/>
      <c r="E463" s="26" t="n"/>
      <c r="F463" s="26" t="n"/>
      <c r="G463" s="26" t="n"/>
    </row>
    <row r="464" ht="15" customHeight="1">
      <c r="A464" s="26" t="n"/>
      <c r="B464" s="26" t="n"/>
      <c r="C464" s="26" t="n"/>
      <c r="D464" s="26" t="n"/>
      <c r="E464" s="26" t="n"/>
      <c r="F464" s="26" t="n"/>
      <c r="G464" s="26" t="n"/>
    </row>
    <row r="465" ht="15" customHeight="1">
      <c r="A465" s="26" t="n"/>
      <c r="B465" s="26" t="n"/>
      <c r="C465" s="26" t="n"/>
      <c r="D465" s="26" t="n"/>
      <c r="E465" s="26" t="n"/>
      <c r="F465" s="26" t="n"/>
      <c r="G465" s="26" t="n"/>
    </row>
    <row r="466" ht="15" customHeight="1">
      <c r="A466" s="26" t="n"/>
      <c r="B466" s="26" t="n"/>
      <c r="C466" s="26" t="n"/>
      <c r="D466" s="26" t="n"/>
      <c r="E466" s="26" t="n"/>
      <c r="F466" s="26" t="n"/>
      <c r="G466" s="26" t="n"/>
    </row>
    <row r="467" ht="15" customHeight="1">
      <c r="A467" s="26" t="n"/>
      <c r="B467" s="26" t="n"/>
      <c r="C467" s="26" t="n"/>
      <c r="D467" s="26" t="n"/>
      <c r="E467" s="26" t="n"/>
      <c r="F467" s="26" t="n"/>
      <c r="G467" s="26" t="n"/>
    </row>
    <row r="468" ht="15" customHeight="1">
      <c r="A468" s="26" t="n"/>
      <c r="B468" s="26" t="n"/>
      <c r="C468" s="26" t="n"/>
      <c r="D468" s="26" t="n"/>
      <c r="E468" s="26" t="n"/>
      <c r="F468" s="26" t="n"/>
      <c r="G468" s="26" t="n"/>
    </row>
    <row r="469" ht="15" customHeight="1">
      <c r="A469" s="26" t="n"/>
      <c r="B469" s="26" t="n"/>
      <c r="C469" s="26" t="n"/>
      <c r="D469" s="26" t="n"/>
      <c r="E469" s="26" t="n"/>
      <c r="F469" s="26" t="n"/>
      <c r="G469" s="26" t="n"/>
    </row>
    <row r="470" ht="15" customHeight="1">
      <c r="A470" s="26" t="n"/>
      <c r="B470" s="26" t="n"/>
      <c r="C470" s="26" t="n"/>
      <c r="D470" s="26" t="n"/>
      <c r="E470" s="26" t="n"/>
      <c r="F470" s="26" t="n"/>
      <c r="G470" s="26" t="n"/>
    </row>
    <row r="471" ht="15" customHeight="1">
      <c r="A471" s="26" t="n"/>
      <c r="B471" s="26" t="n"/>
      <c r="C471" s="26" t="n"/>
      <c r="D471" s="26" t="n"/>
      <c r="E471" s="26" t="n"/>
      <c r="F471" s="26" t="n"/>
      <c r="G471" s="26" t="n"/>
    </row>
    <row r="472" ht="15" customHeight="1">
      <c r="A472" s="26" t="n"/>
      <c r="B472" s="26" t="n"/>
      <c r="C472" s="26" t="n"/>
      <c r="D472" s="26" t="n"/>
      <c r="E472" s="26" t="n"/>
      <c r="F472" s="26" t="n"/>
      <c r="G472" s="26" t="n"/>
    </row>
    <row r="473" ht="15" customHeight="1">
      <c r="A473" s="26" t="n"/>
      <c r="B473" s="26" t="n"/>
      <c r="C473" s="26" t="n"/>
      <c r="D473" s="26" t="n"/>
      <c r="E473" s="26" t="n"/>
      <c r="F473" s="26" t="n"/>
      <c r="G473" s="26" t="n"/>
    </row>
    <row r="474" ht="15" customHeight="1">
      <c r="A474" s="26" t="n"/>
      <c r="B474" s="26" t="n"/>
      <c r="C474" s="26" t="n"/>
      <c r="D474" s="26" t="n"/>
      <c r="E474" s="26" t="n"/>
      <c r="F474" s="26" t="n"/>
      <c r="G474" s="26" t="n"/>
    </row>
    <row r="475" ht="15" customHeight="1">
      <c r="A475" s="26" t="n"/>
      <c r="B475" s="26" t="n"/>
      <c r="C475" s="26" t="n"/>
      <c r="D475" s="26" t="n"/>
      <c r="E475" s="26" t="n"/>
      <c r="F475" s="26" t="n"/>
      <c r="G475" s="26" t="n"/>
    </row>
    <row r="476" ht="15" customHeight="1">
      <c r="A476" s="26" t="n"/>
      <c r="B476" s="26" t="n"/>
      <c r="C476" s="26" t="n"/>
      <c r="D476" s="26" t="n"/>
      <c r="E476" s="26" t="n"/>
      <c r="F476" s="26" t="n"/>
      <c r="G476" s="26" t="n"/>
    </row>
    <row r="477" ht="15" customHeight="1">
      <c r="A477" s="26" t="n"/>
      <c r="B477" s="26" t="n"/>
      <c r="C477" s="26" t="n"/>
      <c r="D477" s="26" t="n"/>
      <c r="E477" s="26" t="n"/>
      <c r="F477" s="26" t="n"/>
      <c r="G477" s="26" t="n"/>
    </row>
    <row r="478" ht="15" customHeight="1">
      <c r="A478" s="26" t="n"/>
      <c r="B478" s="26" t="n"/>
      <c r="C478" s="26" t="n"/>
      <c r="D478" s="26" t="n"/>
      <c r="E478" s="26" t="n"/>
      <c r="F478" s="26" t="n"/>
      <c r="G478" s="26" t="n"/>
    </row>
    <row r="479" ht="15" customHeight="1">
      <c r="A479" s="26" t="n"/>
      <c r="B479" s="26" t="n"/>
      <c r="C479" s="26" t="n"/>
      <c r="D479" s="26" t="n"/>
      <c r="E479" s="26" t="n"/>
      <c r="F479" s="26" t="n"/>
      <c r="G479" s="26" t="n"/>
    </row>
    <row r="480" ht="15" customHeight="1">
      <c r="A480" s="26" t="n"/>
      <c r="B480" s="26" t="n"/>
      <c r="C480" s="26" t="n"/>
      <c r="D480" s="26" t="n"/>
      <c r="E480" s="26" t="n"/>
      <c r="F480" s="26" t="n"/>
      <c r="G480" s="26" t="n"/>
    </row>
    <row r="481" ht="15" customHeight="1">
      <c r="A481" s="26" t="n"/>
      <c r="B481" s="26" t="n"/>
      <c r="C481" s="26" t="n"/>
      <c r="D481" s="26" t="n"/>
      <c r="E481" s="26" t="n"/>
      <c r="F481" s="26" t="n"/>
      <c r="G481" s="26" t="n"/>
    </row>
    <row r="482" ht="15" customHeight="1">
      <c r="A482" s="26" t="n"/>
      <c r="B482" s="26" t="n"/>
      <c r="C482" s="26" t="n"/>
      <c r="D482" s="26" t="n"/>
      <c r="E482" s="26" t="n"/>
      <c r="F482" s="26" t="n"/>
      <c r="G482" s="26" t="n"/>
    </row>
    <row r="483" ht="15" customHeight="1">
      <c r="A483" s="26" t="n"/>
      <c r="B483" s="26" t="n"/>
      <c r="C483" s="26" t="n"/>
      <c r="D483" s="26" t="n"/>
      <c r="E483" s="26" t="n"/>
      <c r="F483" s="26" t="n"/>
      <c r="G483" s="26" t="n"/>
    </row>
    <row r="484" ht="15" customHeight="1">
      <c r="A484" s="26" t="n"/>
      <c r="B484" s="26" t="n"/>
      <c r="C484" s="26" t="n"/>
      <c r="D484" s="26" t="n"/>
      <c r="E484" s="26" t="n"/>
      <c r="F484" s="26" t="n"/>
      <c r="G484" s="26" t="n"/>
    </row>
    <row r="485" ht="15" customHeight="1">
      <c r="A485" s="26" t="n"/>
      <c r="B485" s="26" t="n"/>
      <c r="C485" s="26" t="n"/>
      <c r="D485" s="26" t="n"/>
      <c r="E485" s="26" t="n"/>
      <c r="F485" s="26" t="n"/>
      <c r="G485" s="26" t="n"/>
    </row>
    <row r="486" ht="15" customHeight="1">
      <c r="A486" s="26" t="n"/>
      <c r="B486" s="26" t="n"/>
      <c r="C486" s="26" t="n"/>
      <c r="D486" s="26" t="n"/>
      <c r="E486" s="26" t="n"/>
      <c r="F486" s="26" t="n"/>
      <c r="G486" s="26" t="n"/>
    </row>
    <row r="487" ht="15" customHeight="1">
      <c r="A487" s="26" t="n"/>
      <c r="B487" s="26" t="n"/>
      <c r="C487" s="26" t="n"/>
      <c r="D487" s="26" t="n"/>
      <c r="E487" s="26" t="n"/>
      <c r="F487" s="26" t="n"/>
      <c r="G487" s="26" t="n"/>
    </row>
    <row r="488" ht="15" customHeight="1">
      <c r="A488" s="26" t="n"/>
      <c r="B488" s="26" t="n"/>
      <c r="C488" s="26" t="n"/>
      <c r="D488" s="26" t="n"/>
      <c r="E488" s="26" t="n"/>
      <c r="F488" s="26" t="n"/>
      <c r="G488" s="26" t="n"/>
    </row>
    <row r="489" ht="15" customHeight="1">
      <c r="A489" s="26" t="n"/>
      <c r="B489" s="26" t="n"/>
      <c r="C489" s="26" t="n"/>
      <c r="D489" s="26" t="n"/>
      <c r="E489" s="26" t="n"/>
      <c r="F489" s="26" t="n"/>
      <c r="G489" s="26" t="n"/>
    </row>
    <row r="490" ht="15" customHeight="1">
      <c r="A490" s="26" t="n"/>
      <c r="B490" s="26" t="n"/>
      <c r="C490" s="26" t="n"/>
      <c r="D490" s="26" t="n"/>
      <c r="E490" s="26" t="n"/>
      <c r="F490" s="26" t="n"/>
      <c r="G490" s="26" t="n"/>
    </row>
    <row r="491" ht="15" customHeight="1">
      <c r="A491" s="26" t="n"/>
      <c r="B491" s="26" t="n"/>
      <c r="C491" s="26" t="n"/>
      <c r="D491" s="26" t="n"/>
      <c r="E491" s="26" t="n"/>
      <c r="F491" s="26" t="n"/>
      <c r="G491" s="26" t="n"/>
    </row>
    <row r="492" ht="15" customHeight="1">
      <c r="A492" s="26" t="n"/>
      <c r="B492" s="26" t="n"/>
      <c r="C492" s="26" t="n"/>
      <c r="D492" s="26" t="n"/>
      <c r="E492" s="26" t="n"/>
      <c r="F492" s="26" t="n"/>
      <c r="G492" s="26" t="n"/>
    </row>
    <row r="493" ht="15" customHeight="1">
      <c r="A493" s="26" t="n"/>
      <c r="B493" s="26" t="n"/>
      <c r="C493" s="26" t="n"/>
      <c r="D493" s="26" t="n"/>
      <c r="E493" s="26" t="n"/>
      <c r="F493" s="26" t="n"/>
      <c r="G493" s="26" t="n"/>
    </row>
    <row r="494" ht="15" customHeight="1">
      <c r="A494" s="26" t="n"/>
      <c r="B494" s="26" t="n"/>
      <c r="C494" s="26" t="n"/>
      <c r="D494" s="26" t="n"/>
      <c r="E494" s="26" t="n"/>
      <c r="F494" s="26" t="n"/>
      <c r="G494" s="26" t="n"/>
    </row>
    <row r="495" ht="15" customHeight="1">
      <c r="A495" s="26" t="n"/>
      <c r="B495" s="26" t="n"/>
      <c r="C495" s="26" t="n"/>
      <c r="D495" s="26" t="n"/>
      <c r="E495" s="26" t="n"/>
      <c r="F495" s="26" t="n"/>
      <c r="G495" s="26" t="n"/>
    </row>
    <row r="496" ht="15" customHeight="1">
      <c r="A496" s="26" t="n"/>
      <c r="B496" s="26" t="n"/>
      <c r="C496" s="26" t="n"/>
      <c r="D496" s="26" t="n"/>
      <c r="E496" s="26" t="n"/>
      <c r="F496" s="26" t="n"/>
      <c r="G496" s="26" t="n"/>
    </row>
    <row r="497" ht="15" customHeight="1">
      <c r="A497" s="26" t="n"/>
      <c r="B497" s="26" t="n"/>
      <c r="C497" s="26" t="n"/>
      <c r="D497" s="26" t="n"/>
      <c r="E497" s="26" t="n"/>
      <c r="F497" s="26" t="n"/>
      <c r="G497" s="26" t="n"/>
    </row>
    <row r="498" ht="15" customHeight="1">
      <c r="A498" s="26" t="n"/>
      <c r="B498" s="26" t="n"/>
      <c r="C498" s="26" t="n"/>
      <c r="D498" s="26" t="n"/>
      <c r="E498" s="26" t="n"/>
      <c r="F498" s="26" t="n"/>
      <c r="G498" s="26" t="n"/>
    </row>
    <row r="499" ht="15" customHeight="1">
      <c r="A499" s="26" t="n"/>
      <c r="B499" s="26" t="n"/>
      <c r="C499" s="26" t="n"/>
      <c r="D499" s="26" t="n"/>
      <c r="E499" s="26" t="n"/>
      <c r="F499" s="26" t="n"/>
      <c r="G499" s="26" t="n"/>
    </row>
    <row r="500" ht="15" customHeight="1">
      <c r="A500" s="26" t="n"/>
      <c r="B500" s="26" t="n"/>
      <c r="C500" s="26" t="n"/>
      <c r="D500" s="26" t="n"/>
      <c r="E500" s="26" t="n"/>
      <c r="F500" s="26" t="n"/>
      <c r="G500" s="26" t="n"/>
    </row>
    <row r="501" ht="15" customHeight="1">
      <c r="A501" s="26" t="n"/>
      <c r="B501" s="26" t="n"/>
      <c r="C501" s="26" t="n"/>
      <c r="D501" s="26" t="n"/>
      <c r="E501" s="26" t="n"/>
      <c r="F501" s="26" t="n"/>
      <c r="G501" s="26" t="n"/>
    </row>
    <row r="502" ht="15" customHeight="1">
      <c r="A502" s="26" t="n"/>
      <c r="B502" s="26" t="n"/>
      <c r="C502" s="26" t="n"/>
      <c r="D502" s="26" t="n"/>
      <c r="E502" s="26" t="n"/>
      <c r="F502" s="26" t="n"/>
      <c r="G502" s="26" t="n"/>
    </row>
    <row r="503" ht="15" customHeight="1">
      <c r="A503" s="26" t="n"/>
      <c r="B503" s="26" t="n"/>
      <c r="C503" s="26" t="n"/>
      <c r="D503" s="26" t="n"/>
      <c r="E503" s="26" t="n"/>
      <c r="F503" s="26" t="n"/>
      <c r="G503" s="26" t="n"/>
    </row>
    <row r="504" ht="15" customHeight="1">
      <c r="A504" s="26" t="n"/>
      <c r="B504" s="26" t="n"/>
      <c r="C504" s="26" t="n"/>
      <c r="D504" s="26" t="n"/>
      <c r="E504" s="26" t="n"/>
      <c r="F504" s="26" t="n"/>
      <c r="G504" s="26" t="n"/>
    </row>
    <row r="505" ht="15" customHeight="1">
      <c r="A505" s="26" t="n"/>
      <c r="B505" s="26" t="n"/>
      <c r="C505" s="26" t="n"/>
      <c r="D505" s="26" t="n"/>
      <c r="E505" s="26" t="n"/>
      <c r="F505" s="26" t="n"/>
      <c r="G505" s="26" t="n"/>
    </row>
    <row r="506" ht="15" customHeight="1">
      <c r="A506" s="26" t="n"/>
      <c r="B506" s="26" t="n"/>
      <c r="C506" s="26" t="n"/>
      <c r="D506" s="26" t="n"/>
      <c r="E506" s="26" t="n"/>
      <c r="F506" s="26" t="n"/>
      <c r="G506" s="26" t="n"/>
    </row>
    <row r="507" ht="15" customHeight="1">
      <c r="A507" s="26" t="n"/>
      <c r="B507" s="26" t="n"/>
      <c r="C507" s="26" t="n"/>
      <c r="D507" s="26" t="n"/>
      <c r="E507" s="26" t="n"/>
      <c r="F507" s="26" t="n"/>
      <c r="G507" s="26" t="n"/>
    </row>
    <row r="508" ht="15" customHeight="1">
      <c r="A508" s="26" t="n"/>
      <c r="B508" s="26" t="n"/>
      <c r="C508" s="26" t="n"/>
      <c r="D508" s="26" t="n"/>
      <c r="E508" s="26" t="n"/>
      <c r="F508" s="26" t="n"/>
      <c r="G508" s="26" t="n"/>
    </row>
    <row r="509" ht="15" customHeight="1">
      <c r="A509" s="26" t="n"/>
      <c r="B509" s="26" t="n"/>
      <c r="C509" s="26" t="n"/>
      <c r="D509" s="26" t="n"/>
      <c r="E509" s="26" t="n"/>
      <c r="F509" s="26" t="n"/>
      <c r="G509" s="26" t="n"/>
    </row>
    <row r="510" ht="15" customHeight="1">
      <c r="A510" s="26" t="n"/>
      <c r="B510" s="26" t="n"/>
      <c r="C510" s="26" t="n"/>
      <c r="D510" s="26" t="n"/>
      <c r="E510" s="26" t="n"/>
      <c r="F510" s="26" t="n"/>
      <c r="G510" s="26" t="n"/>
    </row>
    <row r="511" ht="15" customHeight="1">
      <c r="A511" s="26" t="n"/>
      <c r="B511" s="26" t="n"/>
      <c r="C511" s="26" t="n"/>
      <c r="D511" s="26" t="n"/>
      <c r="E511" s="26" t="n"/>
      <c r="F511" s="26" t="n"/>
      <c r="G511" s="26" t="n"/>
    </row>
    <row r="512" ht="15" customHeight="1">
      <c r="A512" s="26" t="n"/>
      <c r="B512" s="26" t="n"/>
      <c r="C512" s="26" t="n"/>
      <c r="D512" s="26" t="n"/>
      <c r="E512" s="26" t="n"/>
      <c r="F512" s="26" t="n"/>
      <c r="G512" s="26" t="n"/>
    </row>
    <row r="513" ht="15" customHeight="1">
      <c r="A513" s="26" t="n"/>
      <c r="B513" s="26" t="n"/>
      <c r="C513" s="26" t="n"/>
      <c r="D513" s="26" t="n"/>
      <c r="E513" s="26" t="n"/>
      <c r="F513" s="26" t="n"/>
      <c r="G513" s="26" t="n"/>
    </row>
    <row r="514" ht="15" customHeight="1">
      <c r="A514" s="26" t="n"/>
      <c r="B514" s="26" t="n"/>
      <c r="C514" s="26" t="n"/>
      <c r="D514" s="26" t="n"/>
      <c r="E514" s="26" t="n"/>
      <c r="F514" s="26" t="n"/>
      <c r="G514" s="26" t="n"/>
    </row>
    <row r="515" ht="15" customHeight="1">
      <c r="A515" s="26" t="n"/>
      <c r="B515" s="26" t="n"/>
      <c r="C515" s="26" t="n"/>
      <c r="D515" s="26" t="n"/>
      <c r="E515" s="26" t="n"/>
      <c r="F515" s="26" t="n"/>
      <c r="G515" s="26" t="n"/>
    </row>
    <row r="516" ht="15" customHeight="1">
      <c r="A516" s="26" t="n"/>
      <c r="B516" s="26" t="n"/>
      <c r="C516" s="26" t="n"/>
      <c r="D516" s="26" t="n"/>
      <c r="E516" s="26" t="n"/>
      <c r="F516" s="26" t="n"/>
      <c r="G516" s="26" t="n"/>
    </row>
    <row r="517" ht="15" customHeight="1">
      <c r="A517" s="26" t="n"/>
      <c r="B517" s="26" t="n"/>
      <c r="C517" s="26" t="n"/>
      <c r="D517" s="26" t="n"/>
      <c r="E517" s="26" t="n"/>
      <c r="F517" s="26" t="n"/>
      <c r="G517" s="26" t="n"/>
    </row>
    <row r="518" ht="15" customHeight="1">
      <c r="A518" s="26" t="n"/>
      <c r="B518" s="26" t="n"/>
      <c r="C518" s="26" t="n"/>
      <c r="D518" s="26" t="n"/>
      <c r="E518" s="26" t="n"/>
      <c r="F518" s="26" t="n"/>
      <c r="G518" s="26" t="n"/>
    </row>
    <row r="519" ht="15" customHeight="1">
      <c r="A519" s="26" t="n"/>
      <c r="B519" s="26" t="n"/>
      <c r="C519" s="26" t="n"/>
      <c r="D519" s="26" t="n"/>
      <c r="E519" s="26" t="n"/>
      <c r="F519" s="26" t="n"/>
      <c r="G519" s="26" t="n"/>
    </row>
    <row r="520" ht="15" customHeight="1">
      <c r="A520" s="26" t="n"/>
      <c r="B520" s="26" t="n"/>
      <c r="C520" s="26" t="n"/>
      <c r="D520" s="26" t="n"/>
      <c r="E520" s="26" t="n"/>
      <c r="F520" s="26" t="n"/>
      <c r="G520" s="26" t="n"/>
    </row>
    <row r="521" ht="15" customHeight="1">
      <c r="A521" s="26" t="n"/>
      <c r="B521" s="26" t="n"/>
      <c r="C521" s="26" t="n"/>
      <c r="D521" s="26" t="n"/>
      <c r="E521" s="26" t="n"/>
      <c r="F521" s="26" t="n"/>
      <c r="G521" s="26" t="n"/>
    </row>
    <row r="522" ht="15" customHeight="1">
      <c r="A522" s="26" t="n"/>
      <c r="B522" s="26" t="n"/>
      <c r="C522" s="26" t="n"/>
      <c r="D522" s="26" t="n"/>
      <c r="E522" s="26" t="n"/>
      <c r="F522" s="26" t="n"/>
      <c r="G522" s="26" t="n"/>
    </row>
    <row r="523" ht="15" customHeight="1">
      <c r="A523" s="26" t="n"/>
      <c r="B523" s="26" t="n"/>
      <c r="C523" s="26" t="n"/>
      <c r="D523" s="26" t="n"/>
      <c r="E523" s="26" t="n"/>
      <c r="F523" s="26" t="n"/>
      <c r="G523" s="26" t="n"/>
    </row>
    <row r="524" ht="15" customHeight="1">
      <c r="A524" s="26" t="n"/>
      <c r="B524" s="26" t="n"/>
      <c r="C524" s="26" t="n"/>
      <c r="D524" s="26" t="n"/>
      <c r="E524" s="26" t="n"/>
      <c r="F524" s="26" t="n"/>
      <c r="G524" s="26" t="n"/>
    </row>
    <row r="525" ht="15" customHeight="1">
      <c r="A525" s="26" t="n"/>
      <c r="B525" s="26" t="n"/>
      <c r="C525" s="26" t="n"/>
      <c r="D525" s="26" t="n"/>
      <c r="E525" s="26" t="n"/>
      <c r="F525" s="26" t="n"/>
      <c r="G525" s="26" t="n"/>
    </row>
    <row r="526" ht="15" customHeight="1">
      <c r="A526" s="26" t="n"/>
      <c r="B526" s="26" t="n"/>
      <c r="C526" s="26" t="n"/>
      <c r="D526" s="26" t="n"/>
      <c r="E526" s="26" t="n"/>
      <c r="F526" s="26" t="n"/>
      <c r="G526" s="26" t="n"/>
    </row>
    <row r="527" ht="15" customHeight="1">
      <c r="A527" s="26" t="n"/>
      <c r="B527" s="26" t="n"/>
      <c r="C527" s="26" t="n"/>
      <c r="D527" s="26" t="n"/>
      <c r="E527" s="26" t="n"/>
      <c r="F527" s="26" t="n"/>
      <c r="G527" s="26" t="n"/>
    </row>
    <row r="528" ht="15" customHeight="1">
      <c r="A528" s="26" t="n"/>
      <c r="B528" s="26" t="n"/>
      <c r="C528" s="26" t="n"/>
      <c r="D528" s="26" t="n"/>
      <c r="E528" s="26" t="n"/>
      <c r="F528" s="26" t="n"/>
      <c r="G528" s="26" t="n"/>
    </row>
    <row r="529" ht="15" customHeight="1">
      <c r="A529" s="26" t="n"/>
      <c r="B529" s="26" t="n"/>
      <c r="C529" s="26" t="n"/>
      <c r="D529" s="26" t="n"/>
      <c r="E529" s="26" t="n"/>
      <c r="F529" s="26" t="n"/>
      <c r="G529" s="26" t="n"/>
    </row>
    <row r="530" ht="15" customHeight="1">
      <c r="A530" s="26" t="n"/>
      <c r="B530" s="26" t="n"/>
      <c r="C530" s="26" t="n"/>
      <c r="D530" s="26" t="n"/>
      <c r="E530" s="26" t="n"/>
      <c r="F530" s="26" t="n"/>
      <c r="G530" s="26" t="n"/>
    </row>
    <row r="531" ht="15" customHeight="1">
      <c r="A531" s="26" t="n"/>
      <c r="B531" s="26" t="n"/>
      <c r="C531" s="26" t="n"/>
      <c r="D531" s="26" t="n"/>
      <c r="E531" s="26" t="n"/>
      <c r="F531" s="26" t="n"/>
      <c r="G531" s="26" t="n"/>
    </row>
    <row r="532" ht="15" customHeight="1">
      <c r="A532" s="26" t="n"/>
      <c r="B532" s="26" t="n"/>
      <c r="C532" s="26" t="n"/>
      <c r="D532" s="26" t="n"/>
      <c r="E532" s="26" t="n"/>
      <c r="F532" s="26" t="n"/>
      <c r="G532" s="26" t="n"/>
    </row>
    <row r="533" ht="15" customHeight="1">
      <c r="A533" s="26" t="n"/>
      <c r="B533" s="26" t="n"/>
      <c r="C533" s="26" t="n"/>
      <c r="D533" s="26" t="n"/>
      <c r="E533" s="26" t="n"/>
      <c r="F533" s="26" t="n"/>
      <c r="G533" s="26" t="n"/>
    </row>
    <row r="534" ht="15" customHeight="1">
      <c r="A534" s="26" t="n"/>
      <c r="B534" s="26" t="n"/>
      <c r="C534" s="26" t="n"/>
      <c r="D534" s="26" t="n"/>
      <c r="E534" s="26" t="n"/>
      <c r="F534" s="26" t="n"/>
      <c r="G534" s="26" t="n"/>
    </row>
    <row r="535" ht="15" customHeight="1">
      <c r="A535" s="26" t="n"/>
      <c r="B535" s="26" t="n"/>
      <c r="C535" s="26" t="n"/>
      <c r="D535" s="26" t="n"/>
      <c r="E535" s="26" t="n"/>
      <c r="F535" s="26" t="n"/>
      <c r="G535" s="26" t="n"/>
    </row>
    <row r="536" ht="15" customHeight="1">
      <c r="A536" s="26" t="n"/>
      <c r="B536" s="26" t="n"/>
      <c r="C536" s="26" t="n"/>
      <c r="D536" s="26" t="n"/>
      <c r="E536" s="26" t="n"/>
      <c r="F536" s="26" t="n"/>
      <c r="G536" s="26" t="n"/>
    </row>
    <row r="537" ht="15" customHeight="1">
      <c r="A537" s="26" t="n"/>
      <c r="B537" s="26" t="n"/>
      <c r="C537" s="26" t="n"/>
      <c r="D537" s="26" t="n"/>
      <c r="E537" s="26" t="n"/>
      <c r="F537" s="26" t="n"/>
      <c r="G537" s="26" t="n"/>
    </row>
    <row r="538" ht="15" customHeight="1">
      <c r="A538" s="26" t="n"/>
      <c r="B538" s="26" t="n"/>
      <c r="C538" s="26" t="n"/>
      <c r="D538" s="26" t="n"/>
      <c r="E538" s="26" t="n"/>
      <c r="F538" s="26" t="n"/>
      <c r="G538" s="26" t="n"/>
    </row>
    <row r="539" ht="15" customHeight="1">
      <c r="A539" s="26" t="n"/>
      <c r="B539" s="26" t="n"/>
      <c r="C539" s="26" t="n"/>
      <c r="D539" s="26" t="n"/>
      <c r="E539" s="26" t="n"/>
      <c r="F539" s="26" t="n"/>
      <c r="G539" s="26" t="n"/>
    </row>
    <row r="540" ht="15" customHeight="1">
      <c r="A540" s="26" t="n"/>
      <c r="B540" s="26" t="n"/>
      <c r="C540" s="26" t="n"/>
      <c r="D540" s="26" t="n"/>
      <c r="E540" s="26" t="n"/>
      <c r="F540" s="26" t="n"/>
      <c r="G540" s="26" t="n"/>
    </row>
    <row r="541" ht="15" customHeight="1">
      <c r="A541" s="26" t="n"/>
      <c r="B541" s="26" t="n"/>
      <c r="C541" s="26" t="n"/>
      <c r="D541" s="26" t="n"/>
      <c r="E541" s="26" t="n"/>
      <c r="F541" s="26" t="n"/>
      <c r="G541" s="26" t="n"/>
    </row>
    <row r="542" ht="15" customHeight="1">
      <c r="A542" s="26" t="n"/>
      <c r="B542" s="26" t="n"/>
      <c r="C542" s="26" t="n"/>
      <c r="D542" s="26" t="n"/>
      <c r="E542" s="26" t="n"/>
      <c r="F542" s="26" t="n"/>
      <c r="G542" s="26" t="n"/>
    </row>
    <row r="543" ht="15" customHeight="1">
      <c r="A543" s="26" t="n"/>
      <c r="B543" s="26" t="n"/>
      <c r="C543" s="26" t="n"/>
      <c r="D543" s="26" t="n"/>
      <c r="E543" s="26" t="n"/>
      <c r="F543" s="26" t="n"/>
      <c r="G543" s="26" t="n"/>
    </row>
    <row r="544" ht="15" customHeight="1">
      <c r="A544" s="26" t="n"/>
      <c r="B544" s="26" t="n"/>
      <c r="C544" s="26" t="n"/>
      <c r="D544" s="26" t="n"/>
      <c r="E544" s="26" t="n"/>
      <c r="F544" s="26" t="n"/>
      <c r="G544" s="26" t="n"/>
    </row>
    <row r="545" ht="15" customHeight="1">
      <c r="A545" s="26" t="n"/>
      <c r="B545" s="26" t="n"/>
      <c r="C545" s="26" t="n"/>
      <c r="D545" s="26" t="n"/>
      <c r="E545" s="26" t="n"/>
      <c r="F545" s="26" t="n"/>
      <c r="G545" s="26" t="n"/>
    </row>
    <row r="546" ht="15" customHeight="1">
      <c r="A546" s="26" t="n"/>
      <c r="B546" s="26" t="n"/>
      <c r="C546" s="26" t="n"/>
      <c r="D546" s="26" t="n"/>
      <c r="E546" s="26" t="n"/>
      <c r="F546" s="26" t="n"/>
      <c r="G546" s="26" t="n"/>
    </row>
    <row r="547" ht="15" customHeight="1">
      <c r="A547" s="26" t="n"/>
      <c r="B547" s="26" t="n"/>
      <c r="C547" s="26" t="n"/>
      <c r="D547" s="26" t="n"/>
      <c r="E547" s="26" t="n"/>
      <c r="F547" s="26" t="n"/>
      <c r="G547" s="26" t="n"/>
    </row>
    <row r="548" ht="15" customHeight="1">
      <c r="A548" s="26" t="n"/>
      <c r="B548" s="26" t="n"/>
      <c r="C548" s="26" t="n"/>
      <c r="D548" s="26" t="n"/>
      <c r="E548" s="26" t="n"/>
      <c r="F548" s="26" t="n"/>
      <c r="G548" s="26" t="n"/>
    </row>
    <row r="549" ht="15" customHeight="1">
      <c r="A549" s="26" t="n"/>
      <c r="B549" s="26" t="n"/>
      <c r="C549" s="26" t="n"/>
      <c r="D549" s="26" t="n"/>
      <c r="E549" s="26" t="n"/>
      <c r="F549" s="26" t="n"/>
      <c r="G549" s="26" t="n"/>
    </row>
    <row r="550" ht="15" customHeight="1">
      <c r="A550" s="26" t="n"/>
      <c r="B550" s="26" t="n"/>
      <c r="C550" s="26" t="n"/>
      <c r="D550" s="26" t="n"/>
      <c r="E550" s="26" t="n"/>
      <c r="F550" s="26" t="n"/>
      <c r="G550" s="26" t="n"/>
    </row>
    <row r="551" ht="15" customHeight="1">
      <c r="A551" s="26" t="n"/>
      <c r="B551" s="26" t="n"/>
      <c r="C551" s="26" t="n"/>
      <c r="D551" s="26" t="n"/>
      <c r="E551" s="26" t="n"/>
      <c r="F551" s="26" t="n"/>
      <c r="G551" s="26" t="n"/>
    </row>
    <row r="552" ht="15" customHeight="1">
      <c r="A552" s="26" t="n"/>
      <c r="B552" s="26" t="n"/>
      <c r="C552" s="26" t="n"/>
      <c r="D552" s="26" t="n"/>
      <c r="E552" s="26" t="n"/>
      <c r="F552" s="26" t="n"/>
      <c r="G552" s="26" t="n"/>
    </row>
    <row r="553" ht="15" customHeight="1">
      <c r="A553" s="26" t="n"/>
      <c r="B553" s="26" t="n"/>
      <c r="C553" s="26" t="n"/>
      <c r="D553" s="26" t="n"/>
      <c r="E553" s="26" t="n"/>
      <c r="F553" s="26" t="n"/>
      <c r="G553" s="26" t="n"/>
    </row>
    <row r="554" ht="15" customHeight="1">
      <c r="A554" s="26" t="n"/>
      <c r="B554" s="26" t="n"/>
      <c r="C554" s="26" t="n"/>
      <c r="D554" s="26" t="n"/>
      <c r="E554" s="26" t="n"/>
      <c r="F554" s="26" t="n"/>
      <c r="G554" s="26" t="n"/>
    </row>
    <row r="555" ht="15" customHeight="1">
      <c r="A555" s="26" t="n"/>
      <c r="B555" s="26" t="n"/>
      <c r="C555" s="26" t="n"/>
      <c r="D555" s="26" t="n"/>
      <c r="E555" s="26" t="n"/>
      <c r="F555" s="26" t="n"/>
      <c r="G555" s="26" t="n"/>
    </row>
    <row r="556" ht="15" customHeight="1">
      <c r="A556" s="26" t="n"/>
      <c r="B556" s="26" t="n"/>
      <c r="C556" s="26" t="n"/>
      <c r="D556" s="26" t="n"/>
      <c r="E556" s="26" t="n"/>
      <c r="F556" s="26" t="n"/>
      <c r="G556" s="26" t="n"/>
    </row>
    <row r="557" ht="15" customHeight="1">
      <c r="A557" s="26" t="n"/>
      <c r="B557" s="26" t="n"/>
      <c r="C557" s="26" t="n"/>
      <c r="D557" s="26" t="n"/>
      <c r="E557" s="26" t="n"/>
      <c r="F557" s="26" t="n"/>
      <c r="G557" s="26" t="n"/>
    </row>
    <row r="558" ht="15" customHeight="1">
      <c r="A558" s="26" t="n"/>
      <c r="B558" s="26" t="n"/>
      <c r="C558" s="26" t="n"/>
      <c r="D558" s="26" t="n"/>
      <c r="E558" s="26" t="n"/>
      <c r="F558" s="26" t="n"/>
      <c r="G558" s="26" t="n"/>
    </row>
    <row r="559" ht="15" customHeight="1">
      <c r="A559" s="26" t="n"/>
      <c r="B559" s="26" t="n"/>
      <c r="C559" s="26" t="n"/>
      <c r="D559" s="26" t="n"/>
      <c r="E559" s="26" t="n"/>
      <c r="F559" s="26" t="n"/>
      <c r="G559" s="26" t="n"/>
    </row>
    <row r="560" ht="15" customHeight="1">
      <c r="A560" s="26" t="n"/>
      <c r="B560" s="26" t="n"/>
      <c r="C560" s="26" t="n"/>
      <c r="D560" s="26" t="n"/>
      <c r="E560" s="26" t="n"/>
      <c r="F560" s="26" t="n"/>
      <c r="G560" s="26" t="n"/>
    </row>
    <row r="561" ht="15" customHeight="1">
      <c r="A561" s="26" t="n"/>
      <c r="B561" s="26" t="n"/>
      <c r="C561" s="26" t="n"/>
      <c r="D561" s="26" t="n"/>
      <c r="E561" s="26" t="n"/>
      <c r="F561" s="26" t="n"/>
      <c r="G561" s="26" t="n"/>
    </row>
    <row r="562" ht="15" customHeight="1">
      <c r="A562" s="26" t="n"/>
      <c r="B562" s="26" t="n"/>
      <c r="C562" s="26" t="n"/>
      <c r="D562" s="26" t="n"/>
      <c r="E562" s="26" t="n"/>
      <c r="F562" s="26" t="n"/>
      <c r="G562" s="26" t="n"/>
    </row>
    <row r="563" ht="15" customHeight="1">
      <c r="A563" s="26" t="n"/>
      <c r="B563" s="26" t="n"/>
      <c r="C563" s="26" t="n"/>
      <c r="D563" s="26" t="n"/>
      <c r="E563" s="26" t="n"/>
      <c r="F563" s="26" t="n"/>
      <c r="G563" s="26" t="n"/>
    </row>
    <row r="564" ht="15" customHeight="1">
      <c r="A564" s="26" t="n"/>
      <c r="B564" s="26" t="n"/>
      <c r="C564" s="26" t="n"/>
      <c r="D564" s="26" t="n"/>
      <c r="E564" s="26" t="n"/>
      <c r="F564" s="26" t="n"/>
      <c r="G564" s="26" t="n"/>
    </row>
    <row r="565" ht="15" customHeight="1">
      <c r="A565" s="26" t="n"/>
      <c r="B565" s="26" t="n"/>
      <c r="C565" s="26" t="n"/>
      <c r="D565" s="26" t="n"/>
      <c r="E565" s="26" t="n"/>
      <c r="F565" s="26" t="n"/>
      <c r="G565" s="26" t="n"/>
    </row>
    <row r="566" ht="15" customHeight="1">
      <c r="A566" s="26" t="n"/>
      <c r="B566" s="26" t="n"/>
      <c r="C566" s="26" t="n"/>
      <c r="D566" s="26" t="n"/>
      <c r="E566" s="26" t="n"/>
      <c r="F566" s="26" t="n"/>
      <c r="G566" s="26" t="n"/>
    </row>
    <row r="567" ht="15" customHeight="1">
      <c r="A567" s="26" t="n"/>
      <c r="B567" s="26" t="n"/>
      <c r="C567" s="26" t="n"/>
      <c r="D567" s="26" t="n"/>
      <c r="E567" s="26" t="n"/>
      <c r="F567" s="26" t="n"/>
      <c r="G567" s="26" t="n"/>
    </row>
    <row r="568" ht="15" customHeight="1">
      <c r="A568" s="26" t="n"/>
      <c r="B568" s="26" t="n"/>
      <c r="C568" s="26" t="n"/>
      <c r="D568" s="26" t="n"/>
      <c r="E568" s="26" t="n"/>
      <c r="F568" s="26" t="n"/>
      <c r="G568" s="26" t="n"/>
    </row>
    <row r="569" ht="15" customHeight="1">
      <c r="A569" s="26" t="n"/>
      <c r="B569" s="26" t="n"/>
      <c r="C569" s="26" t="n"/>
      <c r="D569" s="26" t="n"/>
      <c r="E569" s="26" t="n"/>
      <c r="F569" s="26" t="n"/>
      <c r="G569" s="26" t="n"/>
    </row>
    <row r="570" ht="15" customHeight="1">
      <c r="A570" s="26" t="n"/>
      <c r="B570" s="26" t="n"/>
      <c r="C570" s="26" t="n"/>
      <c r="D570" s="26" t="n"/>
      <c r="E570" s="26" t="n"/>
      <c r="F570" s="26" t="n"/>
      <c r="G570" s="26" t="n"/>
    </row>
    <row r="571" ht="15" customHeight="1">
      <c r="A571" s="26" t="n"/>
      <c r="B571" s="26" t="n"/>
      <c r="C571" s="26" t="n"/>
      <c r="D571" s="26" t="n"/>
      <c r="E571" s="26" t="n"/>
      <c r="F571" s="26" t="n"/>
      <c r="G571" s="26" t="n"/>
    </row>
    <row r="572" ht="15" customHeight="1">
      <c r="A572" s="26" t="n"/>
      <c r="B572" s="26" t="n"/>
      <c r="C572" s="26" t="n"/>
      <c r="D572" s="26" t="n"/>
      <c r="E572" s="26" t="n"/>
      <c r="F572" s="26" t="n"/>
      <c r="G572" s="26" t="n"/>
    </row>
    <row r="573" ht="15" customHeight="1">
      <c r="A573" s="26" t="n"/>
      <c r="B573" s="26" t="n"/>
      <c r="C573" s="26" t="n"/>
      <c r="D573" s="26" t="n"/>
      <c r="E573" s="26" t="n"/>
      <c r="F573" s="26" t="n"/>
      <c r="G573" s="26" t="n"/>
    </row>
    <row r="574" ht="15" customHeight="1">
      <c r="A574" s="26" t="n"/>
      <c r="B574" s="26" t="n"/>
      <c r="C574" s="26" t="n"/>
      <c r="D574" s="26" t="n"/>
      <c r="E574" s="26" t="n"/>
      <c r="F574" s="26" t="n"/>
      <c r="G574" s="26" t="n"/>
    </row>
    <row r="575" ht="15" customHeight="1">
      <c r="A575" s="26" t="n"/>
      <c r="B575" s="26" t="n"/>
      <c r="C575" s="26" t="n"/>
      <c r="D575" s="26" t="n"/>
      <c r="E575" s="26" t="n"/>
      <c r="F575" s="26" t="n"/>
      <c r="G575" s="26" t="n"/>
    </row>
    <row r="576" ht="15" customHeight="1">
      <c r="A576" s="26" t="n"/>
      <c r="B576" s="26" t="n"/>
      <c r="C576" s="26" t="n"/>
      <c r="D576" s="26" t="n"/>
      <c r="E576" s="26" t="n"/>
      <c r="F576" s="26" t="n"/>
      <c r="G576" s="26" t="n"/>
    </row>
    <row r="577" ht="15" customHeight="1">
      <c r="A577" s="26" t="n"/>
      <c r="B577" s="26" t="n"/>
      <c r="C577" s="26" t="n"/>
      <c r="D577" s="26" t="n"/>
      <c r="E577" s="26" t="n"/>
      <c r="F577" s="26" t="n"/>
      <c r="G577" s="26" t="n"/>
    </row>
    <row r="578" ht="15" customHeight="1">
      <c r="A578" s="26" t="n"/>
      <c r="B578" s="26" t="n"/>
      <c r="C578" s="26" t="n"/>
      <c r="D578" s="26" t="n"/>
      <c r="E578" s="26" t="n"/>
      <c r="F578" s="26" t="n"/>
      <c r="G578" s="26" t="n"/>
    </row>
    <row r="579" ht="15" customHeight="1">
      <c r="A579" s="26" t="n"/>
      <c r="B579" s="26" t="n"/>
      <c r="C579" s="26" t="n"/>
      <c r="D579" s="26" t="n"/>
      <c r="E579" s="26" t="n"/>
      <c r="F579" s="26" t="n"/>
      <c r="G579" s="26" t="n"/>
    </row>
    <row r="580" ht="15" customHeight="1">
      <c r="A580" s="26" t="n"/>
      <c r="B580" s="26" t="n"/>
      <c r="C580" s="26" t="n"/>
      <c r="D580" s="26" t="n"/>
      <c r="E580" s="26" t="n"/>
      <c r="F580" s="26" t="n"/>
      <c r="G580" s="26" t="n"/>
    </row>
    <row r="581" ht="15" customHeight="1">
      <c r="A581" s="26" t="n"/>
      <c r="B581" s="26" t="n"/>
      <c r="C581" s="26" t="n"/>
      <c r="D581" s="26" t="n"/>
      <c r="E581" s="26" t="n"/>
      <c r="F581" s="26" t="n"/>
      <c r="G581" s="26" t="n"/>
    </row>
    <row r="582" ht="15" customHeight="1">
      <c r="A582" s="26" t="n"/>
      <c r="B582" s="26" t="n"/>
      <c r="C582" s="26" t="n"/>
      <c r="D582" s="26" t="n"/>
      <c r="E582" s="26" t="n"/>
      <c r="F582" s="26" t="n"/>
      <c r="G582" s="26" t="n"/>
    </row>
    <row r="583" ht="15" customHeight="1">
      <c r="A583" s="26" t="n"/>
      <c r="B583" s="26" t="n"/>
      <c r="C583" s="26" t="n"/>
      <c r="D583" s="26" t="n"/>
      <c r="E583" s="26" t="n"/>
      <c r="F583" s="26" t="n"/>
      <c r="G583" s="26" t="n"/>
    </row>
    <row r="584" ht="15" customHeight="1">
      <c r="A584" s="26" t="n"/>
      <c r="B584" s="26" t="n"/>
      <c r="C584" s="26" t="n"/>
      <c r="D584" s="26" t="n"/>
      <c r="E584" s="26" t="n"/>
      <c r="F584" s="26" t="n"/>
      <c r="G584" s="26" t="n"/>
    </row>
    <row r="585" ht="15" customHeight="1">
      <c r="A585" s="26" t="n"/>
      <c r="B585" s="26" t="n"/>
      <c r="C585" s="26" t="n"/>
      <c r="D585" s="26" t="n"/>
      <c r="E585" s="26" t="n"/>
      <c r="F585" s="26" t="n"/>
      <c r="G585" s="26" t="n"/>
    </row>
    <row r="586" ht="15" customHeight="1">
      <c r="A586" s="26" t="n"/>
      <c r="B586" s="26" t="n"/>
      <c r="C586" s="26" t="n"/>
      <c r="D586" s="26" t="n"/>
      <c r="E586" s="26" t="n"/>
      <c r="F586" s="26" t="n"/>
      <c r="G586" s="26" t="n"/>
    </row>
    <row r="587" ht="15" customHeight="1">
      <c r="A587" s="26" t="n"/>
      <c r="B587" s="26" t="n"/>
      <c r="C587" s="26" t="n"/>
      <c r="D587" s="26" t="n"/>
      <c r="E587" s="26" t="n"/>
      <c r="F587" s="26" t="n"/>
      <c r="G587" s="26" t="n"/>
    </row>
    <row r="588" ht="15" customHeight="1">
      <c r="A588" s="26" t="n"/>
      <c r="B588" s="26" t="n"/>
      <c r="C588" s="26" t="n"/>
      <c r="D588" s="26" t="n"/>
      <c r="E588" s="26" t="n"/>
      <c r="F588" s="26" t="n"/>
      <c r="G588" s="26" t="n"/>
    </row>
    <row r="589" ht="15" customHeight="1">
      <c r="A589" s="26" t="n"/>
      <c r="B589" s="26" t="n"/>
      <c r="C589" s="26" t="n"/>
      <c r="D589" s="26" t="n"/>
      <c r="E589" s="26" t="n"/>
      <c r="F589" s="26" t="n"/>
      <c r="G589" s="26" t="n"/>
    </row>
    <row r="590" ht="15" customHeight="1">
      <c r="A590" s="26" t="n"/>
      <c r="B590" s="26" t="n"/>
      <c r="C590" s="26" t="n"/>
      <c r="D590" s="26" t="n"/>
      <c r="E590" s="26" t="n"/>
      <c r="F590" s="26" t="n"/>
      <c r="G590" s="26" t="n"/>
    </row>
    <row r="591" ht="15" customHeight="1">
      <c r="A591" s="26" t="n"/>
      <c r="B591" s="26" t="n"/>
      <c r="C591" s="26" t="n"/>
      <c r="D591" s="26" t="n"/>
      <c r="E591" s="26" t="n"/>
      <c r="F591" s="26" t="n"/>
      <c r="G591" s="26" t="n"/>
    </row>
    <row r="592" ht="15" customHeight="1">
      <c r="A592" s="26" t="n"/>
      <c r="B592" s="26" t="n"/>
      <c r="C592" s="26" t="n"/>
      <c r="D592" s="26" t="n"/>
      <c r="E592" s="26" t="n"/>
      <c r="F592" s="26" t="n"/>
      <c r="G592" s="26" t="n"/>
    </row>
    <row r="593" ht="15" customHeight="1">
      <c r="A593" s="26" t="n"/>
      <c r="B593" s="26" t="n"/>
      <c r="C593" s="26" t="n"/>
      <c r="D593" s="26" t="n"/>
      <c r="E593" s="26" t="n"/>
      <c r="F593" s="26" t="n"/>
      <c r="G593" s="26" t="n"/>
    </row>
    <row r="594" ht="15" customHeight="1">
      <c r="A594" s="26" t="n"/>
      <c r="B594" s="26" t="n"/>
      <c r="C594" s="26" t="n"/>
      <c r="D594" s="26" t="n"/>
      <c r="E594" s="26" t="n"/>
      <c r="F594" s="26" t="n"/>
      <c r="G594" s="26" t="n"/>
    </row>
    <row r="595" ht="15" customHeight="1">
      <c r="A595" s="26" t="n"/>
      <c r="B595" s="26" t="n"/>
      <c r="C595" s="26" t="n"/>
      <c r="D595" s="26" t="n"/>
      <c r="E595" s="26" t="n"/>
      <c r="F595" s="26" t="n"/>
      <c r="G595" s="26" t="n"/>
    </row>
    <row r="596" ht="15" customHeight="1">
      <c r="A596" s="26" t="n"/>
      <c r="B596" s="26" t="n"/>
      <c r="C596" s="26" t="n"/>
      <c r="D596" s="26" t="n"/>
      <c r="E596" s="26" t="n"/>
      <c r="F596" s="26" t="n"/>
      <c r="G596" s="26" t="n"/>
    </row>
    <row r="597" ht="15" customHeight="1">
      <c r="A597" s="26" t="n"/>
      <c r="B597" s="26" t="n"/>
      <c r="C597" s="26" t="n"/>
      <c r="D597" s="26" t="n"/>
      <c r="E597" s="26" t="n"/>
      <c r="F597" s="26" t="n"/>
      <c r="G597" s="26" t="n"/>
    </row>
    <row r="598" ht="15" customHeight="1">
      <c r="A598" s="26" t="n"/>
      <c r="B598" s="26" t="n"/>
      <c r="C598" s="26" t="n"/>
      <c r="D598" s="26" t="n"/>
      <c r="E598" s="26" t="n"/>
      <c r="F598" s="26" t="n"/>
      <c r="G598" s="26" t="n"/>
    </row>
    <row r="599" ht="15" customHeight="1">
      <c r="A599" s="26" t="n"/>
      <c r="B599" s="26" t="n"/>
      <c r="C599" s="26" t="n"/>
      <c r="D599" s="26" t="n"/>
      <c r="E599" s="26" t="n"/>
      <c r="F599" s="26" t="n"/>
      <c r="G599" s="26" t="n"/>
    </row>
    <row r="600" ht="15" customHeight="1">
      <c r="A600" s="26" t="n"/>
      <c r="B600" s="26" t="n"/>
      <c r="C600" s="26" t="n"/>
      <c r="D600" s="26" t="n"/>
      <c r="E600" s="26" t="n"/>
      <c r="F600" s="26" t="n"/>
      <c r="G600" s="26" t="n"/>
    </row>
    <row r="601" ht="15" customHeight="1">
      <c r="A601" s="26" t="n"/>
      <c r="B601" s="26" t="n"/>
      <c r="C601" s="26" t="n"/>
      <c r="D601" s="26" t="n"/>
      <c r="E601" s="26" t="n"/>
      <c r="F601" s="26" t="n"/>
      <c r="G601" s="26" t="n"/>
    </row>
    <row r="602" ht="15" customHeight="1">
      <c r="A602" s="26" t="n"/>
      <c r="B602" s="26" t="n"/>
      <c r="C602" s="26" t="n"/>
      <c r="D602" s="26" t="n"/>
      <c r="E602" s="26" t="n"/>
      <c r="F602" s="26" t="n"/>
      <c r="G602" s="26" t="n"/>
    </row>
    <row r="603" ht="15" customHeight="1">
      <c r="A603" s="26" t="n"/>
      <c r="B603" s="26" t="n"/>
      <c r="C603" s="26" t="n"/>
      <c r="D603" s="26" t="n"/>
      <c r="E603" s="26" t="n"/>
      <c r="F603" s="26" t="n"/>
      <c r="G603" s="26" t="n"/>
    </row>
    <row r="604" ht="15" customHeight="1">
      <c r="A604" s="26" t="n"/>
      <c r="B604" s="26" t="n"/>
      <c r="C604" s="26" t="n"/>
      <c r="D604" s="26" t="n"/>
      <c r="E604" s="26" t="n"/>
      <c r="F604" s="26" t="n"/>
      <c r="G604" s="26" t="n"/>
    </row>
    <row r="605" ht="15" customHeight="1">
      <c r="A605" s="26" t="n"/>
      <c r="B605" s="26" t="n"/>
      <c r="C605" s="26" t="n"/>
      <c r="D605" s="26" t="n"/>
      <c r="E605" s="26" t="n"/>
      <c r="F605" s="26" t="n"/>
      <c r="G605" s="26" t="n"/>
    </row>
    <row r="606" ht="15" customHeight="1">
      <c r="A606" s="26" t="n"/>
      <c r="B606" s="26" t="n"/>
      <c r="C606" s="26" t="n"/>
      <c r="D606" s="26" t="n"/>
      <c r="E606" s="26" t="n"/>
      <c r="F606" s="26" t="n"/>
      <c r="G606" s="26" t="n"/>
    </row>
    <row r="607" ht="15" customHeight="1">
      <c r="A607" s="26" t="n"/>
      <c r="B607" s="26" t="n"/>
      <c r="C607" s="26" t="n"/>
      <c r="D607" s="26" t="n"/>
      <c r="E607" s="26" t="n"/>
      <c r="F607" s="26" t="n"/>
      <c r="G607" s="26" t="n"/>
    </row>
    <row r="608" ht="15" customHeight="1">
      <c r="A608" s="26" t="n"/>
      <c r="B608" s="26" t="n"/>
      <c r="C608" s="26" t="n"/>
      <c r="D608" s="26" t="n"/>
      <c r="E608" s="26" t="n"/>
      <c r="F608" s="26" t="n"/>
      <c r="G608" s="26" t="n"/>
    </row>
    <row r="609" ht="15" customHeight="1">
      <c r="A609" s="26" t="n"/>
      <c r="B609" s="26" t="n"/>
      <c r="C609" s="26" t="n"/>
      <c r="D609" s="26" t="n"/>
      <c r="E609" s="26" t="n"/>
      <c r="F609" s="26" t="n"/>
      <c r="G609" s="26" t="n"/>
    </row>
    <row r="610" ht="15" customHeight="1">
      <c r="A610" s="26" t="n"/>
      <c r="B610" s="26" t="n"/>
      <c r="C610" s="26" t="n"/>
      <c r="D610" s="26" t="n"/>
      <c r="E610" s="26" t="n"/>
      <c r="F610" s="26" t="n"/>
      <c r="G610" s="26" t="n"/>
    </row>
    <row r="611" ht="15" customHeight="1">
      <c r="A611" s="26" t="n"/>
      <c r="B611" s="26" t="n"/>
      <c r="C611" s="26" t="n"/>
      <c r="D611" s="26" t="n"/>
      <c r="E611" s="26" t="n"/>
      <c r="F611" s="26" t="n"/>
      <c r="G611" s="26" t="n"/>
    </row>
    <row r="612" ht="15" customHeight="1">
      <c r="A612" s="26" t="n"/>
      <c r="B612" s="26" t="n"/>
      <c r="C612" s="26" t="n"/>
      <c r="D612" s="26" t="n"/>
      <c r="E612" s="26" t="n"/>
      <c r="F612" s="26" t="n"/>
      <c r="G612" s="26" t="n"/>
    </row>
    <row r="613" ht="15" customHeight="1">
      <c r="A613" s="26" t="n"/>
      <c r="B613" s="26" t="n"/>
      <c r="C613" s="26" t="n"/>
      <c r="D613" s="26" t="n"/>
      <c r="E613" s="26" t="n"/>
      <c r="F613" s="26" t="n"/>
      <c r="G613" s="26" t="n"/>
    </row>
    <row r="614" ht="15" customHeight="1">
      <c r="A614" s="26" t="n"/>
      <c r="B614" s="26" t="n"/>
      <c r="C614" s="26" t="n"/>
      <c r="D614" s="26" t="n"/>
      <c r="E614" s="26" t="n"/>
      <c r="F614" s="26" t="n"/>
      <c r="G614" s="26" t="n"/>
    </row>
    <row r="615" ht="15" customHeight="1">
      <c r="A615" s="26" t="n"/>
      <c r="B615" s="26" t="n"/>
      <c r="C615" s="26" t="n"/>
      <c r="D615" s="26" t="n"/>
      <c r="E615" s="26" t="n"/>
      <c r="F615" s="26" t="n"/>
      <c r="G615" s="26" t="n"/>
    </row>
    <row r="616" ht="15" customHeight="1">
      <c r="A616" s="26" t="n"/>
      <c r="B616" s="26" t="n"/>
      <c r="C616" s="26" t="n"/>
      <c r="D616" s="26" t="n"/>
      <c r="E616" s="26" t="n"/>
      <c r="F616" s="26" t="n"/>
      <c r="G616" s="26" t="n"/>
    </row>
    <row r="617" ht="15" customHeight="1">
      <c r="A617" s="26" t="n"/>
      <c r="B617" s="26" t="n"/>
      <c r="C617" s="26" t="n"/>
      <c r="D617" s="26" t="n"/>
      <c r="E617" s="26" t="n"/>
      <c r="F617" s="26" t="n"/>
      <c r="G617" s="26" t="n"/>
    </row>
    <row r="618" ht="15" customHeight="1">
      <c r="A618" s="26" t="n"/>
      <c r="B618" s="26" t="n"/>
      <c r="C618" s="26" t="n"/>
      <c r="D618" s="26" t="n"/>
      <c r="E618" s="26" t="n"/>
      <c r="F618" s="26" t="n"/>
      <c r="G618" s="26" t="n"/>
    </row>
    <row r="619" ht="15" customHeight="1">
      <c r="A619" s="26" t="n"/>
      <c r="B619" s="26" t="n"/>
      <c r="C619" s="26" t="n"/>
      <c r="D619" s="26" t="n"/>
      <c r="E619" s="26" t="n"/>
      <c r="F619" s="26" t="n"/>
      <c r="G619" s="26" t="n"/>
    </row>
    <row r="620" ht="15" customHeight="1">
      <c r="A620" s="26" t="n"/>
      <c r="B620" s="26" t="n"/>
      <c r="C620" s="26" t="n"/>
      <c r="D620" s="26" t="n"/>
      <c r="E620" s="26" t="n"/>
      <c r="F620" s="26" t="n"/>
      <c r="G620" s="26" t="n"/>
    </row>
    <row r="621" ht="15" customHeight="1">
      <c r="A621" s="26" t="n"/>
      <c r="B621" s="26" t="n"/>
      <c r="C621" s="26" t="n"/>
      <c r="D621" s="26" t="n"/>
      <c r="E621" s="26" t="n"/>
      <c r="F621" s="26" t="n"/>
      <c r="G621" s="26" t="n"/>
    </row>
    <row r="622" ht="15" customHeight="1">
      <c r="A622" s="26" t="n"/>
      <c r="B622" s="26" t="n"/>
      <c r="C622" s="26" t="n"/>
      <c r="D622" s="26" t="n"/>
      <c r="E622" s="26" t="n"/>
      <c r="F622" s="26" t="n"/>
      <c r="G622" s="26" t="n"/>
    </row>
    <row r="623" ht="15" customHeight="1">
      <c r="A623" s="26" t="n"/>
      <c r="B623" s="26" t="n"/>
      <c r="C623" s="26" t="n"/>
      <c r="D623" s="26" t="n"/>
      <c r="E623" s="26" t="n"/>
      <c r="F623" s="26" t="n"/>
      <c r="G623" s="26" t="n"/>
    </row>
    <row r="624" ht="15" customHeight="1">
      <c r="A624" s="26" t="n"/>
      <c r="B624" s="26" t="n"/>
      <c r="C624" s="26" t="n"/>
      <c r="D624" s="26" t="n"/>
      <c r="E624" s="26" t="n"/>
      <c r="F624" s="26" t="n"/>
      <c r="G624" s="26" t="n"/>
    </row>
    <row r="625" ht="15" customHeight="1">
      <c r="A625" s="26" t="n"/>
      <c r="B625" s="26" t="n"/>
      <c r="C625" s="26" t="n"/>
      <c r="D625" s="26" t="n"/>
      <c r="E625" s="26" t="n"/>
      <c r="F625" s="26" t="n"/>
      <c r="G625" s="26" t="n"/>
    </row>
    <row r="626" ht="15" customHeight="1">
      <c r="A626" s="26" t="n"/>
      <c r="B626" s="26" t="n"/>
      <c r="C626" s="26" t="n"/>
      <c r="D626" s="26" t="n"/>
      <c r="E626" s="26" t="n"/>
      <c r="F626" s="26" t="n"/>
      <c r="G626" s="26" t="n"/>
    </row>
    <row r="627" ht="15" customHeight="1">
      <c r="A627" s="26" t="n"/>
      <c r="B627" s="26" t="n"/>
      <c r="C627" s="26" t="n"/>
      <c r="D627" s="26" t="n"/>
      <c r="E627" s="26" t="n"/>
      <c r="F627" s="26" t="n"/>
      <c r="G627" s="26" t="n"/>
    </row>
    <row r="628" ht="15" customHeight="1">
      <c r="A628" s="26" t="n"/>
      <c r="B628" s="26" t="n"/>
      <c r="C628" s="26" t="n"/>
      <c r="D628" s="26" t="n"/>
      <c r="E628" s="26" t="n"/>
      <c r="F628" s="26" t="n"/>
      <c r="G628" s="26" t="n"/>
    </row>
    <row r="629" ht="15" customHeight="1">
      <c r="A629" s="26" t="n"/>
      <c r="B629" s="26" t="n"/>
      <c r="C629" s="26" t="n"/>
      <c r="D629" s="26" t="n"/>
      <c r="E629" s="26" t="n"/>
      <c r="F629" s="26" t="n"/>
      <c r="G629" s="26" t="n"/>
    </row>
    <row r="630" ht="15" customHeight="1">
      <c r="A630" s="26" t="n"/>
      <c r="B630" s="26" t="n"/>
      <c r="C630" s="26" t="n"/>
      <c r="D630" s="26" t="n"/>
      <c r="E630" s="26" t="n"/>
      <c r="F630" s="26" t="n"/>
      <c r="G630" s="26" t="n"/>
    </row>
    <row r="631" ht="15" customHeight="1">
      <c r="A631" s="26" t="n"/>
      <c r="B631" s="26" t="n"/>
      <c r="C631" s="26" t="n"/>
      <c r="D631" s="26" t="n"/>
      <c r="E631" s="26" t="n"/>
      <c r="F631" s="26" t="n"/>
      <c r="G631" s="26" t="n"/>
    </row>
    <row r="632" ht="15" customHeight="1">
      <c r="A632" s="26" t="n"/>
      <c r="B632" s="26" t="n"/>
      <c r="C632" s="26" t="n"/>
      <c r="D632" s="26" t="n"/>
      <c r="E632" s="26" t="n"/>
      <c r="F632" s="26" t="n"/>
      <c r="G632" s="26" t="n"/>
    </row>
    <row r="633" ht="15" customHeight="1">
      <c r="A633" s="26" t="n"/>
      <c r="B633" s="26" t="n"/>
      <c r="C633" s="26" t="n"/>
      <c r="D633" s="26" t="n"/>
      <c r="E633" s="26" t="n"/>
      <c r="F633" s="26" t="n"/>
      <c r="G633" s="26" t="n"/>
    </row>
    <row r="634" ht="15" customHeight="1">
      <c r="A634" s="26" t="n"/>
      <c r="B634" s="26" t="n"/>
      <c r="C634" s="26" t="n"/>
      <c r="D634" s="26" t="n"/>
      <c r="E634" s="26" t="n"/>
      <c r="F634" s="26" t="n"/>
      <c r="G634" s="26" t="n"/>
    </row>
    <row r="635" ht="15" customHeight="1">
      <c r="A635" s="26" t="n"/>
      <c r="B635" s="26" t="n"/>
      <c r="C635" s="26" t="n"/>
      <c r="D635" s="26" t="n"/>
      <c r="E635" s="26" t="n"/>
      <c r="F635" s="26" t="n"/>
      <c r="G635" s="26" t="n"/>
    </row>
    <row r="636" ht="15" customHeight="1">
      <c r="A636" s="26" t="n"/>
      <c r="B636" s="26" t="n"/>
      <c r="C636" s="26" t="n"/>
      <c r="D636" s="26" t="n"/>
      <c r="E636" s="26" t="n"/>
      <c r="F636" s="26" t="n"/>
      <c r="G636" s="26" t="n"/>
    </row>
    <row r="637" ht="15" customHeight="1">
      <c r="A637" s="26" t="n"/>
      <c r="B637" s="26" t="n"/>
      <c r="C637" s="26" t="n"/>
      <c r="D637" s="26" t="n"/>
      <c r="E637" s="26" t="n"/>
      <c r="F637" s="26" t="n"/>
      <c r="G637" s="26" t="n"/>
    </row>
    <row r="638" ht="15" customHeight="1">
      <c r="A638" s="26" t="n"/>
      <c r="B638" s="26" t="n"/>
      <c r="C638" s="26" t="n"/>
      <c r="D638" s="26" t="n"/>
      <c r="E638" s="26" t="n"/>
      <c r="F638" s="26" t="n"/>
      <c r="G638" s="26" t="n"/>
    </row>
    <row r="639" ht="15" customHeight="1">
      <c r="A639" s="26" t="n"/>
      <c r="B639" s="26" t="n"/>
      <c r="C639" s="26" t="n"/>
      <c r="D639" s="26" t="n"/>
      <c r="E639" s="26" t="n"/>
      <c r="F639" s="26" t="n"/>
      <c r="G639" s="26" t="n"/>
    </row>
    <row r="640" ht="15" customHeight="1">
      <c r="A640" s="26" t="n"/>
      <c r="B640" s="26" t="n"/>
      <c r="C640" s="26" t="n"/>
      <c r="D640" s="26" t="n"/>
      <c r="E640" s="26" t="n"/>
      <c r="F640" s="26" t="n"/>
      <c r="G640" s="26" t="n"/>
    </row>
    <row r="641" ht="15" customHeight="1">
      <c r="A641" s="26" t="n"/>
      <c r="B641" s="26" t="n"/>
      <c r="C641" s="26" t="n"/>
      <c r="D641" s="26" t="n"/>
      <c r="E641" s="26" t="n"/>
      <c r="F641" s="26" t="n"/>
      <c r="G641" s="26" t="n"/>
    </row>
    <row r="642" ht="15" customHeight="1">
      <c r="A642" s="26" t="n"/>
      <c r="B642" s="26" t="n"/>
      <c r="C642" s="26" t="n"/>
      <c r="D642" s="26" t="n"/>
      <c r="E642" s="26" t="n"/>
      <c r="F642" s="26" t="n"/>
      <c r="G642" s="26" t="n"/>
    </row>
    <row r="643" ht="15" customHeight="1">
      <c r="A643" s="26" t="n"/>
      <c r="B643" s="26" t="n"/>
      <c r="C643" s="26" t="n"/>
      <c r="D643" s="26" t="n"/>
      <c r="E643" s="26" t="n"/>
      <c r="F643" s="26" t="n"/>
      <c r="G643" s="26" t="n"/>
    </row>
    <row r="644" ht="15" customHeight="1">
      <c r="A644" s="26" t="n"/>
      <c r="B644" s="26" t="n"/>
      <c r="C644" s="26" t="n"/>
      <c r="D644" s="26" t="n"/>
      <c r="E644" s="26" t="n"/>
      <c r="F644" s="26" t="n"/>
      <c r="G644" s="26" t="n"/>
    </row>
    <row r="645" ht="15" customHeight="1">
      <c r="A645" s="26" t="n"/>
      <c r="B645" s="26" t="n"/>
      <c r="C645" s="26" t="n"/>
      <c r="D645" s="26" t="n"/>
      <c r="E645" s="26" t="n"/>
      <c r="F645" s="26" t="n"/>
      <c r="G645" s="26" t="n"/>
    </row>
    <row r="646" ht="15" customHeight="1">
      <c r="A646" s="26" t="n"/>
      <c r="B646" s="26" t="n"/>
      <c r="C646" s="26" t="n"/>
      <c r="D646" s="26" t="n"/>
      <c r="E646" s="26" t="n"/>
      <c r="F646" s="26" t="n"/>
      <c r="G646" s="26" t="n"/>
    </row>
    <row r="647" ht="15" customHeight="1">
      <c r="A647" s="26" t="n"/>
      <c r="B647" s="26" t="n"/>
      <c r="C647" s="26" t="n"/>
      <c r="D647" s="26" t="n"/>
      <c r="E647" s="26" t="n"/>
      <c r="F647" s="26" t="n"/>
      <c r="G647" s="26" t="n"/>
    </row>
    <row r="648" ht="15" customHeight="1">
      <c r="A648" s="26" t="n"/>
      <c r="B648" s="26" t="n"/>
      <c r="C648" s="26" t="n"/>
      <c r="D648" s="26" t="n"/>
      <c r="E648" s="26" t="n"/>
      <c r="F648" s="26" t="n"/>
      <c r="G648" s="26" t="n"/>
    </row>
    <row r="649" ht="15" customHeight="1">
      <c r="A649" s="26" t="n"/>
      <c r="B649" s="26" t="n"/>
      <c r="C649" s="26" t="n"/>
      <c r="D649" s="26" t="n"/>
      <c r="E649" s="26" t="n"/>
      <c r="F649" s="26" t="n"/>
      <c r="G649" s="26" t="n"/>
    </row>
    <row r="650" ht="15" customHeight="1">
      <c r="A650" s="26" t="n"/>
      <c r="B650" s="26" t="n"/>
      <c r="C650" s="26" t="n"/>
      <c r="D650" s="26" t="n"/>
      <c r="E650" s="26" t="n"/>
      <c r="F650" s="26" t="n"/>
      <c r="G650" s="26" t="n"/>
    </row>
    <row r="651" ht="15" customHeight="1">
      <c r="A651" s="26" t="n"/>
      <c r="B651" s="26" t="n"/>
      <c r="C651" s="26" t="n"/>
      <c r="D651" s="26" t="n"/>
      <c r="E651" s="26" t="n"/>
      <c r="F651" s="26" t="n"/>
      <c r="G651" s="26" t="n"/>
    </row>
    <row r="652" ht="15" customHeight="1">
      <c r="A652" s="26" t="n"/>
      <c r="B652" s="26" t="n"/>
      <c r="C652" s="26" t="n"/>
      <c r="D652" s="26" t="n"/>
      <c r="E652" s="26" t="n"/>
      <c r="F652" s="26" t="n"/>
      <c r="G652" s="26" t="n"/>
    </row>
    <row r="653" ht="15" customHeight="1">
      <c r="A653" s="26" t="n"/>
      <c r="B653" s="26" t="n"/>
      <c r="C653" s="26" t="n"/>
      <c r="D653" s="26" t="n"/>
      <c r="E653" s="26" t="n"/>
      <c r="F653" s="26" t="n"/>
      <c r="G653" s="26" t="n"/>
    </row>
    <row r="654" ht="15" customHeight="1">
      <c r="A654" s="26" t="n"/>
      <c r="B654" s="26" t="n"/>
      <c r="C654" s="26" t="n"/>
      <c r="D654" s="26" t="n"/>
      <c r="E654" s="26" t="n"/>
      <c r="F654" s="26" t="n"/>
      <c r="G654" s="26" t="n"/>
    </row>
    <row r="655" ht="15" customHeight="1">
      <c r="A655" s="26" t="n"/>
      <c r="B655" s="26" t="n"/>
      <c r="C655" s="26" t="n"/>
      <c r="D655" s="26" t="n"/>
      <c r="E655" s="26" t="n"/>
      <c r="F655" s="26" t="n"/>
      <c r="G655" s="26" t="n"/>
    </row>
    <row r="656" ht="15" customHeight="1">
      <c r="A656" s="26" t="n"/>
      <c r="B656" s="26" t="n"/>
      <c r="C656" s="26" t="n"/>
      <c r="D656" s="26" t="n"/>
      <c r="E656" s="26" t="n"/>
      <c r="F656" s="26" t="n"/>
      <c r="G656" s="26" t="n"/>
    </row>
    <row r="657" ht="15" customHeight="1">
      <c r="A657" s="26" t="n"/>
      <c r="B657" s="26" t="n"/>
      <c r="C657" s="26" t="n"/>
      <c r="D657" s="26" t="n"/>
      <c r="E657" s="26" t="n"/>
      <c r="F657" s="26" t="n"/>
      <c r="G657" s="26" t="n"/>
    </row>
    <row r="658" ht="15" customHeight="1">
      <c r="A658" s="26" t="n"/>
      <c r="B658" s="26" t="n"/>
      <c r="C658" s="26" t="n"/>
      <c r="D658" s="26" t="n"/>
      <c r="E658" s="26" t="n"/>
      <c r="F658" s="26" t="n"/>
      <c r="G658" s="26" t="n"/>
    </row>
    <row r="659" ht="15" customHeight="1">
      <c r="A659" s="26" t="n"/>
      <c r="B659" s="26" t="n"/>
      <c r="C659" s="26" t="n"/>
      <c r="D659" s="26" t="n"/>
      <c r="E659" s="26" t="n"/>
      <c r="F659" s="26" t="n"/>
      <c r="G659" s="26" t="n"/>
    </row>
    <row r="660" ht="15" customHeight="1">
      <c r="A660" s="26" t="n"/>
      <c r="B660" s="26" t="n"/>
      <c r="C660" s="26" t="n"/>
      <c r="D660" s="26" t="n"/>
      <c r="E660" s="26" t="n"/>
      <c r="F660" s="26" t="n"/>
      <c r="G660" s="26" t="n"/>
    </row>
    <row r="661" ht="15" customHeight="1">
      <c r="A661" s="26" t="n"/>
      <c r="B661" s="26" t="n"/>
      <c r="C661" s="26" t="n"/>
      <c r="D661" s="26" t="n"/>
      <c r="E661" s="26" t="n"/>
      <c r="F661" s="26" t="n"/>
      <c r="G661" s="26" t="n"/>
    </row>
    <row r="662" ht="15" customHeight="1">
      <c r="A662" s="26" t="n"/>
      <c r="B662" s="26" t="n"/>
      <c r="C662" s="26" t="n"/>
      <c r="D662" s="26" t="n"/>
      <c r="E662" s="26" t="n"/>
      <c r="F662" s="26" t="n"/>
      <c r="G662" s="26" t="n"/>
    </row>
    <row r="663" ht="15" customHeight="1">
      <c r="A663" s="26" t="n"/>
      <c r="B663" s="26" t="n"/>
      <c r="C663" s="26" t="n"/>
      <c r="D663" s="26" t="n"/>
      <c r="E663" s="26" t="n"/>
      <c r="F663" s="26" t="n"/>
      <c r="G663" s="26" t="n"/>
    </row>
    <row r="664" ht="15" customHeight="1">
      <c r="A664" s="26" t="n"/>
      <c r="B664" s="26" t="n"/>
      <c r="C664" s="26" t="n"/>
      <c r="D664" s="26" t="n"/>
      <c r="E664" s="26" t="n"/>
      <c r="F664" s="26" t="n"/>
      <c r="G664" s="26" t="n"/>
    </row>
    <row r="665" ht="15" customHeight="1">
      <c r="A665" s="26" t="n"/>
      <c r="B665" s="26" t="n"/>
      <c r="C665" s="26" t="n"/>
      <c r="D665" s="26" t="n"/>
      <c r="E665" s="26" t="n"/>
      <c r="F665" s="26" t="n"/>
      <c r="G665" s="26" t="n"/>
    </row>
    <row r="666" ht="15" customHeight="1">
      <c r="A666" s="26" t="n"/>
      <c r="B666" s="26" t="n"/>
      <c r="C666" s="26" t="n"/>
      <c r="D666" s="26" t="n"/>
      <c r="E666" s="26" t="n"/>
      <c r="F666" s="26" t="n"/>
      <c r="G666" s="26" t="n"/>
    </row>
    <row r="667" ht="15" customHeight="1">
      <c r="A667" s="26" t="n"/>
      <c r="B667" s="26" t="n"/>
      <c r="C667" s="26" t="n"/>
      <c r="D667" s="26" t="n"/>
      <c r="E667" s="26" t="n"/>
      <c r="F667" s="26" t="n"/>
      <c r="G667" s="26" t="n"/>
    </row>
    <row r="668" ht="15" customHeight="1">
      <c r="A668" s="26" t="n"/>
      <c r="B668" s="26" t="n"/>
      <c r="C668" s="26" t="n"/>
      <c r="D668" s="26" t="n"/>
      <c r="E668" s="26" t="n"/>
      <c r="F668" s="26" t="n"/>
      <c r="G668" s="26" t="n"/>
    </row>
    <row r="669" ht="15" customHeight="1">
      <c r="A669" s="26" t="n"/>
      <c r="B669" s="26" t="n"/>
      <c r="C669" s="26" t="n"/>
      <c r="D669" s="26" t="n"/>
      <c r="E669" s="26" t="n"/>
      <c r="F669" s="26" t="n"/>
      <c r="G669" s="26" t="n"/>
    </row>
    <row r="670" ht="15" customHeight="1">
      <c r="A670" s="26" t="n"/>
      <c r="B670" s="26" t="n"/>
      <c r="C670" s="26" t="n"/>
      <c r="D670" s="26" t="n"/>
      <c r="E670" s="26" t="n"/>
      <c r="F670" s="26" t="n"/>
      <c r="G670" s="26" t="n"/>
    </row>
    <row r="671" ht="15" customHeight="1">
      <c r="A671" s="26" t="n"/>
      <c r="B671" s="26" t="n"/>
      <c r="C671" s="26" t="n"/>
      <c r="D671" s="26" t="n"/>
      <c r="E671" s="26" t="n"/>
      <c r="F671" s="26" t="n"/>
      <c r="G671" s="26" t="n"/>
    </row>
    <row r="672" ht="15" customHeight="1">
      <c r="A672" s="26" t="n"/>
      <c r="B672" s="26" t="n"/>
      <c r="C672" s="26" t="n"/>
      <c r="D672" s="26" t="n"/>
      <c r="E672" s="26" t="n"/>
      <c r="F672" s="26" t="n"/>
      <c r="G672" s="26" t="n"/>
    </row>
    <row r="673" ht="15" customHeight="1">
      <c r="A673" s="26" t="n"/>
      <c r="B673" s="26" t="n"/>
      <c r="C673" s="26" t="n"/>
      <c r="D673" s="26" t="n"/>
      <c r="E673" s="26" t="n"/>
      <c r="F673" s="26" t="n"/>
      <c r="G673" s="26" t="n"/>
    </row>
    <row r="674" ht="15" customHeight="1">
      <c r="A674" s="26" t="n"/>
      <c r="B674" s="26" t="n"/>
      <c r="C674" s="26" t="n"/>
      <c r="D674" s="26" t="n"/>
      <c r="E674" s="26" t="n"/>
      <c r="F674" s="26" t="n"/>
      <c r="G674" s="26" t="n"/>
    </row>
    <row r="675" ht="15" customHeight="1">
      <c r="A675" s="26" t="n"/>
      <c r="B675" s="26" t="n"/>
      <c r="C675" s="26" t="n"/>
      <c r="D675" s="26" t="n"/>
      <c r="E675" s="26" t="n"/>
      <c r="F675" s="26" t="n"/>
      <c r="G675" s="26" t="n"/>
    </row>
    <row r="676" ht="15" customHeight="1">
      <c r="A676" s="26" t="n"/>
      <c r="B676" s="26" t="n"/>
      <c r="C676" s="26" t="n"/>
      <c r="D676" s="26" t="n"/>
      <c r="E676" s="26" t="n"/>
      <c r="F676" s="26" t="n"/>
      <c r="G676" s="26" t="n"/>
    </row>
    <row r="677" ht="15" customHeight="1">
      <c r="A677" s="26" t="n"/>
      <c r="B677" s="26" t="n"/>
      <c r="C677" s="26" t="n"/>
      <c r="D677" s="26" t="n"/>
      <c r="E677" s="26" t="n"/>
      <c r="F677" s="26" t="n"/>
      <c r="G677" s="26" t="n"/>
    </row>
    <row r="678" ht="15" customHeight="1">
      <c r="A678" s="26" t="n"/>
      <c r="B678" s="26" t="n"/>
      <c r="C678" s="26" t="n"/>
      <c r="D678" s="26" t="n"/>
      <c r="E678" s="26" t="n"/>
      <c r="F678" s="26" t="n"/>
      <c r="G678" s="26" t="n"/>
    </row>
    <row r="679" ht="15" customHeight="1">
      <c r="A679" s="26" t="n"/>
      <c r="B679" s="26" t="n"/>
      <c r="C679" s="26" t="n"/>
      <c r="D679" s="26" t="n"/>
      <c r="E679" s="26" t="n"/>
      <c r="F679" s="26" t="n"/>
      <c r="G679" s="26" t="n"/>
    </row>
    <row r="680" ht="15" customHeight="1">
      <c r="A680" s="26" t="n"/>
      <c r="B680" s="26" t="n"/>
      <c r="C680" s="26" t="n"/>
      <c r="D680" s="26" t="n"/>
      <c r="E680" s="26" t="n"/>
      <c r="F680" s="26" t="n"/>
      <c r="G680" s="26" t="n"/>
    </row>
    <row r="681" ht="15" customHeight="1">
      <c r="A681" s="26" t="n"/>
      <c r="B681" s="26" t="n"/>
      <c r="C681" s="26" t="n"/>
      <c r="D681" s="26" t="n"/>
      <c r="E681" s="26" t="n"/>
      <c r="F681" s="26" t="n"/>
      <c r="G681" s="26" t="n"/>
    </row>
    <row r="682" ht="15" customHeight="1">
      <c r="A682" s="26" t="n"/>
      <c r="B682" s="26" t="n"/>
      <c r="C682" s="26" t="n"/>
      <c r="D682" s="26" t="n"/>
      <c r="E682" s="26" t="n"/>
      <c r="F682" s="26" t="n"/>
      <c r="G682" s="26" t="n"/>
    </row>
    <row r="683" ht="15" customHeight="1">
      <c r="A683" s="26" t="n"/>
      <c r="B683" s="26" t="n"/>
      <c r="C683" s="26" t="n"/>
      <c r="D683" s="26" t="n"/>
      <c r="E683" s="26" t="n"/>
      <c r="F683" s="26" t="n"/>
      <c r="G683" s="26" t="n"/>
    </row>
    <row r="684" ht="15" customHeight="1">
      <c r="A684" s="26" t="n"/>
      <c r="B684" s="26" t="n"/>
      <c r="C684" s="26" t="n"/>
      <c r="D684" s="26" t="n"/>
      <c r="E684" s="26" t="n"/>
      <c r="F684" s="26" t="n"/>
      <c r="G684" s="26" t="n"/>
    </row>
    <row r="685" ht="15" customHeight="1">
      <c r="A685" s="26" t="n"/>
      <c r="B685" s="26" t="n"/>
      <c r="C685" s="26" t="n"/>
      <c r="D685" s="26" t="n"/>
      <c r="E685" s="26" t="n"/>
      <c r="F685" s="26" t="n"/>
      <c r="G685" s="26" t="n"/>
    </row>
    <row r="686" ht="15" customHeight="1">
      <c r="A686" s="26" t="n"/>
      <c r="B686" s="26" t="n"/>
      <c r="C686" s="26" t="n"/>
      <c r="D686" s="26" t="n"/>
      <c r="E686" s="26" t="n"/>
      <c r="F686" s="26" t="n"/>
      <c r="G686" s="26" t="n"/>
    </row>
    <row r="687" ht="15" customHeight="1">
      <c r="A687" s="26" t="n"/>
      <c r="B687" s="26" t="n"/>
      <c r="C687" s="26" t="n"/>
      <c r="D687" s="26" t="n"/>
      <c r="E687" s="26" t="n"/>
      <c r="F687" s="26" t="n"/>
      <c r="G687" s="26" t="n"/>
    </row>
    <row r="688" ht="15" customHeight="1">
      <c r="A688" s="26" t="n"/>
      <c r="B688" s="26" t="n"/>
      <c r="C688" s="26" t="n"/>
      <c r="D688" s="26" t="n"/>
      <c r="E688" s="26" t="n"/>
      <c r="F688" s="26" t="n"/>
      <c r="G688" s="26" t="n"/>
    </row>
    <row r="689" ht="15" customHeight="1">
      <c r="A689" s="26" t="n"/>
      <c r="B689" s="26" t="n"/>
      <c r="C689" s="26" t="n"/>
      <c r="D689" s="26" t="n"/>
      <c r="E689" s="26" t="n"/>
      <c r="F689" s="26" t="n"/>
      <c r="G689" s="26" t="n"/>
    </row>
    <row r="690" ht="15" customHeight="1">
      <c r="A690" s="26" t="n"/>
      <c r="B690" s="26" t="n"/>
      <c r="C690" s="26" t="n"/>
      <c r="D690" s="26" t="n"/>
      <c r="E690" s="26" t="n"/>
      <c r="F690" s="26" t="n"/>
      <c r="G690" s="26" t="n"/>
    </row>
    <row r="691" ht="15" customHeight="1">
      <c r="A691" s="26" t="n"/>
      <c r="B691" s="26" t="n"/>
      <c r="C691" s="26" t="n"/>
      <c r="D691" s="26" t="n"/>
      <c r="E691" s="26" t="n"/>
      <c r="F691" s="26" t="n"/>
      <c r="G691" s="26" t="n"/>
    </row>
    <row r="692" ht="15" customHeight="1">
      <c r="A692" s="26" t="n"/>
      <c r="B692" s="26" t="n"/>
      <c r="C692" s="26" t="n"/>
      <c r="D692" s="26" t="n"/>
      <c r="E692" s="26" t="n"/>
      <c r="F692" s="26" t="n"/>
      <c r="G692" s="26" t="n"/>
    </row>
    <row r="693" ht="15" customHeight="1">
      <c r="A693" s="26" t="n"/>
      <c r="B693" s="26" t="n"/>
      <c r="C693" s="26" t="n"/>
      <c r="D693" s="26" t="n"/>
      <c r="E693" s="26" t="n"/>
      <c r="F693" s="26" t="n"/>
      <c r="G693" s="26" t="n"/>
    </row>
    <row r="694" ht="15" customHeight="1">
      <c r="A694" s="26" t="n"/>
      <c r="B694" s="26" t="n"/>
      <c r="C694" s="26" t="n"/>
      <c r="D694" s="26" t="n"/>
      <c r="E694" s="26" t="n"/>
      <c r="F694" s="26" t="n"/>
      <c r="G694" s="26" t="n"/>
    </row>
    <row r="695" ht="15" customHeight="1">
      <c r="A695" s="26" t="n"/>
      <c r="B695" s="26" t="n"/>
      <c r="C695" s="26" t="n"/>
      <c r="D695" s="26" t="n"/>
      <c r="E695" s="26" t="n"/>
      <c r="F695" s="26" t="n"/>
      <c r="G695" s="26" t="n"/>
    </row>
    <row r="696" ht="15" customHeight="1">
      <c r="A696" s="26" t="n"/>
      <c r="B696" s="26" t="n"/>
      <c r="C696" s="26" t="n"/>
      <c r="D696" s="26" t="n"/>
      <c r="E696" s="26" t="n"/>
      <c r="F696" s="26" t="n"/>
      <c r="G696" s="26" t="n"/>
    </row>
    <row r="697" ht="15" customHeight="1">
      <c r="A697" s="26" t="n"/>
      <c r="B697" s="26" t="n"/>
      <c r="C697" s="26" t="n"/>
      <c r="D697" s="26" t="n"/>
      <c r="E697" s="26" t="n"/>
      <c r="F697" s="26" t="n"/>
      <c r="G697" s="26" t="n"/>
    </row>
    <row r="698" ht="15" customHeight="1">
      <c r="A698" s="26" t="n"/>
      <c r="B698" s="26" t="n"/>
      <c r="C698" s="26" t="n"/>
      <c r="D698" s="26" t="n"/>
      <c r="E698" s="26" t="n"/>
      <c r="F698" s="26" t="n"/>
      <c r="G698" s="26" t="n"/>
    </row>
    <row r="699" ht="15" customHeight="1">
      <c r="A699" s="26" t="n"/>
      <c r="B699" s="26" t="n"/>
      <c r="C699" s="26" t="n"/>
      <c r="D699" s="26" t="n"/>
      <c r="E699" s="26" t="n"/>
      <c r="F699" s="26" t="n"/>
      <c r="G699" s="26" t="n"/>
    </row>
    <row r="700" ht="15" customHeight="1">
      <c r="A700" s="26" t="n"/>
      <c r="B700" s="26" t="n"/>
      <c r="C700" s="26" t="n"/>
      <c r="D700" s="26" t="n"/>
      <c r="E700" s="26" t="n"/>
      <c r="F700" s="26" t="n"/>
      <c r="G700" s="26" t="n"/>
    </row>
    <row r="701" ht="15" customHeight="1">
      <c r="A701" s="26" t="n"/>
      <c r="B701" s="26" t="n"/>
      <c r="C701" s="26" t="n"/>
      <c r="D701" s="26" t="n"/>
      <c r="E701" s="26" t="n"/>
      <c r="F701" s="26" t="n"/>
      <c r="G701" s="26" t="n"/>
    </row>
    <row r="702" ht="15" customHeight="1">
      <c r="A702" s="26" t="n"/>
      <c r="B702" s="26" t="n"/>
      <c r="C702" s="26" t="n"/>
      <c r="D702" s="26" t="n"/>
      <c r="E702" s="26" t="n"/>
      <c r="F702" s="26" t="n"/>
      <c r="G702" s="26" t="n"/>
    </row>
    <row r="703" ht="15" customHeight="1">
      <c r="A703" s="26" t="n"/>
      <c r="B703" s="26" t="n"/>
      <c r="C703" s="26" t="n"/>
      <c r="D703" s="26" t="n"/>
      <c r="E703" s="26" t="n"/>
      <c r="F703" s="26" t="n"/>
      <c r="G703" s="26" t="n"/>
    </row>
    <row r="704" ht="15" customHeight="1">
      <c r="A704" s="26" t="n"/>
      <c r="B704" s="26" t="n"/>
      <c r="C704" s="26" t="n"/>
      <c r="D704" s="26" t="n"/>
      <c r="E704" s="26" t="n"/>
      <c r="F704" s="26" t="n"/>
      <c r="G704" s="26" t="n"/>
    </row>
    <row r="705" ht="15" customHeight="1">
      <c r="A705" s="26" t="n"/>
      <c r="B705" s="26" t="n"/>
      <c r="C705" s="26" t="n"/>
      <c r="D705" s="26" t="n"/>
      <c r="E705" s="26" t="n"/>
      <c r="F705" s="26" t="n"/>
      <c r="G705" s="26" t="n"/>
    </row>
    <row r="706" ht="15" customHeight="1">
      <c r="A706" s="26" t="n"/>
      <c r="B706" s="26" t="n"/>
      <c r="C706" s="26" t="n"/>
      <c r="D706" s="26" t="n"/>
      <c r="E706" s="26" t="n"/>
      <c r="F706" s="26" t="n"/>
      <c r="G706" s="26" t="n"/>
    </row>
    <row r="707" ht="15" customHeight="1">
      <c r="A707" s="26" t="n"/>
      <c r="B707" s="26" t="n"/>
      <c r="C707" s="26" t="n"/>
      <c r="D707" s="26" t="n"/>
      <c r="E707" s="26" t="n"/>
      <c r="F707" s="26" t="n"/>
      <c r="G707" s="26" t="n"/>
    </row>
    <row r="708" ht="15" customHeight="1">
      <c r="A708" s="26" t="n"/>
      <c r="B708" s="26" t="n"/>
      <c r="C708" s="26" t="n"/>
      <c r="D708" s="26" t="n"/>
      <c r="E708" s="26" t="n"/>
      <c r="F708" s="26" t="n"/>
      <c r="G708" s="26" t="n"/>
    </row>
    <row r="709" ht="15" customHeight="1">
      <c r="A709" s="26" t="n"/>
      <c r="B709" s="26" t="n"/>
      <c r="C709" s="26" t="n"/>
      <c r="D709" s="26" t="n"/>
      <c r="E709" s="26" t="n"/>
      <c r="F709" s="26" t="n"/>
      <c r="G709" s="26" t="n"/>
    </row>
    <row r="710" ht="15" customHeight="1">
      <c r="A710" s="26" t="n"/>
      <c r="B710" s="26" t="n"/>
      <c r="C710" s="26" t="n"/>
      <c r="D710" s="26" t="n"/>
      <c r="E710" s="26" t="n"/>
      <c r="F710" s="26" t="n"/>
      <c r="G710" s="26" t="n"/>
    </row>
    <row r="711" ht="15" customHeight="1">
      <c r="A711" s="26" t="n"/>
      <c r="B711" s="26" t="n"/>
      <c r="C711" s="26" t="n"/>
      <c r="D711" s="26" t="n"/>
      <c r="E711" s="26" t="n"/>
      <c r="F711" s="26" t="n"/>
      <c r="G711" s="26" t="n"/>
    </row>
    <row r="712" ht="15" customHeight="1">
      <c r="A712" s="26" t="n"/>
      <c r="B712" s="26" t="n"/>
      <c r="C712" s="26" t="n"/>
      <c r="D712" s="26" t="n"/>
      <c r="E712" s="26" t="n"/>
      <c r="F712" s="26" t="n"/>
      <c r="G712" s="26" t="n"/>
    </row>
    <row r="713" ht="15" customHeight="1">
      <c r="A713" s="26" t="n"/>
      <c r="B713" s="26" t="n"/>
      <c r="C713" s="26" t="n"/>
      <c r="D713" s="26" t="n"/>
      <c r="E713" s="26" t="n"/>
      <c r="F713" s="26" t="n"/>
      <c r="G713" s="26" t="n"/>
    </row>
    <row r="714" ht="15" customHeight="1">
      <c r="A714" s="26" t="n"/>
      <c r="B714" s="26" t="n"/>
      <c r="C714" s="26" t="n"/>
      <c r="D714" s="26" t="n"/>
      <c r="E714" s="26" t="n"/>
      <c r="F714" s="26" t="n"/>
      <c r="G714" s="26" t="n"/>
    </row>
    <row r="715" ht="15" customHeight="1">
      <c r="A715" s="26" t="n"/>
      <c r="B715" s="26" t="n"/>
      <c r="C715" s="26" t="n"/>
      <c r="D715" s="26" t="n"/>
      <c r="E715" s="26" t="n"/>
      <c r="F715" s="26" t="n"/>
      <c r="G715" s="26" t="n"/>
    </row>
    <row r="716" ht="15" customHeight="1">
      <c r="A716" s="26" t="n"/>
      <c r="B716" s="26" t="n"/>
      <c r="C716" s="26" t="n"/>
      <c r="D716" s="26" t="n"/>
      <c r="E716" s="26" t="n"/>
      <c r="F716" s="26" t="n"/>
      <c r="G716" s="26" t="n"/>
    </row>
    <row r="717" ht="15" customHeight="1">
      <c r="A717" s="26" t="n"/>
      <c r="B717" s="26" t="n"/>
      <c r="C717" s="26" t="n"/>
      <c r="D717" s="26" t="n"/>
      <c r="E717" s="26" t="n"/>
      <c r="F717" s="26" t="n"/>
      <c r="G717" s="26" t="n"/>
    </row>
    <row r="718" ht="15" customHeight="1">
      <c r="A718" s="26" t="n"/>
      <c r="B718" s="26" t="n"/>
      <c r="C718" s="26" t="n"/>
      <c r="D718" s="26" t="n"/>
      <c r="E718" s="26" t="n"/>
      <c r="F718" s="26" t="n"/>
      <c r="G718" s="26" t="n"/>
    </row>
    <row r="719" ht="15" customHeight="1">
      <c r="A719" s="26" t="n"/>
      <c r="B719" s="26" t="n"/>
      <c r="C719" s="26" t="n"/>
      <c r="D719" s="26" t="n"/>
      <c r="E719" s="26" t="n"/>
      <c r="F719" s="26" t="n"/>
      <c r="G719" s="26" t="n"/>
    </row>
    <row r="720" ht="15" customHeight="1">
      <c r="A720" s="26" t="n"/>
      <c r="B720" s="26" t="n"/>
      <c r="C720" s="26" t="n"/>
      <c r="D720" s="26" t="n"/>
      <c r="E720" s="26" t="n"/>
      <c r="F720" s="26" t="n"/>
      <c r="G720" s="26" t="n"/>
    </row>
    <row r="721" ht="15" customHeight="1">
      <c r="A721" s="26" t="n"/>
      <c r="B721" s="26" t="n"/>
      <c r="C721" s="26" t="n"/>
      <c r="D721" s="26" t="n"/>
      <c r="E721" s="26" t="n"/>
      <c r="F721" s="26" t="n"/>
      <c r="G721" s="26" t="n"/>
    </row>
    <row r="722" ht="15" customHeight="1">
      <c r="A722" s="26" t="n"/>
      <c r="B722" s="26" t="n"/>
      <c r="C722" s="26" t="n"/>
      <c r="D722" s="26" t="n"/>
      <c r="E722" s="26" t="n"/>
      <c r="F722" s="26" t="n"/>
      <c r="G722" s="26" t="n"/>
    </row>
    <row r="723" ht="15" customHeight="1">
      <c r="A723" s="26" t="n"/>
      <c r="B723" s="26" t="n"/>
      <c r="C723" s="26" t="n"/>
      <c r="D723" s="26" t="n"/>
      <c r="E723" s="26" t="n"/>
      <c r="F723" s="26" t="n"/>
      <c r="G723" s="26" t="n"/>
    </row>
    <row r="724" ht="15" customHeight="1">
      <c r="A724" s="26" t="n"/>
      <c r="B724" s="26" t="n"/>
      <c r="C724" s="26" t="n"/>
      <c r="D724" s="26" t="n"/>
      <c r="E724" s="26" t="n"/>
      <c r="F724" s="26" t="n"/>
      <c r="G724" s="26" t="n"/>
    </row>
    <row r="725" ht="15" customHeight="1">
      <c r="A725" s="26" t="n"/>
      <c r="B725" s="26" t="n"/>
      <c r="C725" s="26" t="n"/>
      <c r="D725" s="26" t="n"/>
      <c r="E725" s="26" t="n"/>
      <c r="F725" s="26" t="n"/>
      <c r="G725" s="26" t="n"/>
    </row>
    <row r="726" ht="15" customHeight="1">
      <c r="A726" s="26" t="n"/>
      <c r="B726" s="26" t="n"/>
      <c r="C726" s="26" t="n"/>
      <c r="D726" s="26" t="n"/>
      <c r="E726" s="26" t="n"/>
      <c r="F726" s="26" t="n"/>
      <c r="G726" s="26" t="n"/>
    </row>
    <row r="727" ht="15" customHeight="1">
      <c r="A727" s="26" t="n"/>
      <c r="B727" s="26" t="n"/>
      <c r="C727" s="26" t="n"/>
      <c r="D727" s="26" t="n"/>
      <c r="E727" s="26" t="n"/>
      <c r="F727" s="26" t="n"/>
      <c r="G727" s="26" t="n"/>
    </row>
    <row r="728" ht="15" customHeight="1">
      <c r="A728" s="26" t="n"/>
      <c r="B728" s="26" t="n"/>
      <c r="C728" s="26" t="n"/>
      <c r="D728" s="26" t="n"/>
      <c r="E728" s="26" t="n"/>
      <c r="F728" s="26" t="n"/>
      <c r="G728" s="26" t="n"/>
    </row>
    <row r="729" ht="15" customHeight="1">
      <c r="A729" s="26" t="n"/>
      <c r="B729" s="26" t="n"/>
      <c r="C729" s="26" t="n"/>
      <c r="D729" s="26" t="n"/>
      <c r="E729" s="26" t="n"/>
      <c r="F729" s="26" t="n"/>
      <c r="G729" s="26" t="n"/>
    </row>
    <row r="730" ht="15" customHeight="1">
      <c r="A730" s="26" t="n"/>
      <c r="B730" s="26" t="n"/>
      <c r="C730" s="26" t="n"/>
      <c r="D730" s="26" t="n"/>
      <c r="E730" s="26" t="n"/>
      <c r="F730" s="26" t="n"/>
      <c r="G730" s="26" t="n"/>
    </row>
    <row r="731" ht="15" customHeight="1">
      <c r="A731" s="26" t="n"/>
      <c r="B731" s="26" t="n"/>
      <c r="C731" s="26" t="n"/>
      <c r="D731" s="26" t="n"/>
      <c r="E731" s="26" t="n"/>
      <c r="F731" s="26" t="n"/>
      <c r="G731" s="26" t="n"/>
    </row>
    <row r="732" ht="15" customHeight="1">
      <c r="A732" s="26" t="n"/>
      <c r="B732" s="26" t="n"/>
      <c r="C732" s="26" t="n"/>
      <c r="D732" s="26" t="n"/>
      <c r="E732" s="26" t="n"/>
      <c r="F732" s="26" t="n"/>
      <c r="G732" s="26" t="n"/>
    </row>
    <row r="733" ht="15" customHeight="1">
      <c r="A733" s="26" t="n"/>
      <c r="B733" s="26" t="n"/>
      <c r="C733" s="26" t="n"/>
      <c r="D733" s="26" t="n"/>
      <c r="E733" s="26" t="n"/>
      <c r="F733" s="26" t="n"/>
      <c r="G733" s="26" t="n"/>
    </row>
    <row r="734" ht="15" customHeight="1">
      <c r="A734" s="26" t="n"/>
      <c r="B734" s="26" t="n"/>
      <c r="C734" s="26" t="n"/>
      <c r="D734" s="26" t="n"/>
      <c r="E734" s="26" t="n"/>
      <c r="F734" s="26" t="n"/>
      <c r="G734" s="26" t="n"/>
    </row>
    <row r="735" ht="15" customHeight="1">
      <c r="A735" s="26" t="n"/>
      <c r="B735" s="26" t="n"/>
      <c r="C735" s="26" t="n"/>
      <c r="D735" s="26" t="n"/>
      <c r="E735" s="26" t="n"/>
      <c r="F735" s="26" t="n"/>
      <c r="G735" s="26" t="n"/>
    </row>
    <row r="736" ht="15" customHeight="1">
      <c r="A736" s="26" t="n"/>
      <c r="B736" s="26" t="n"/>
      <c r="C736" s="26" t="n"/>
      <c r="D736" s="26" t="n"/>
      <c r="E736" s="26" t="n"/>
      <c r="F736" s="26" t="n"/>
      <c r="G736" s="26" t="n"/>
    </row>
    <row r="737" ht="15" customHeight="1">
      <c r="A737" s="26" t="n"/>
      <c r="B737" s="26" t="n"/>
      <c r="C737" s="26" t="n"/>
      <c r="D737" s="26" t="n"/>
      <c r="E737" s="26" t="n"/>
      <c r="F737" s="26" t="n"/>
      <c r="G737" s="26" t="n"/>
    </row>
    <row r="738" ht="15" customHeight="1">
      <c r="A738" s="26" t="n"/>
      <c r="B738" s="26" t="n"/>
      <c r="C738" s="26" t="n"/>
      <c r="D738" s="26" t="n"/>
      <c r="E738" s="26" t="n"/>
      <c r="F738" s="26" t="n"/>
      <c r="G738" s="26" t="n"/>
    </row>
    <row r="739" ht="15" customHeight="1">
      <c r="A739" s="26" t="n"/>
      <c r="B739" s="26" t="n"/>
      <c r="C739" s="26" t="n"/>
      <c r="D739" s="26" t="n"/>
      <c r="E739" s="26" t="n"/>
      <c r="F739" s="26" t="n"/>
      <c r="G739" s="26" t="n"/>
    </row>
    <row r="740" ht="15" customHeight="1">
      <c r="A740" s="26" t="n"/>
      <c r="B740" s="26" t="n"/>
      <c r="C740" s="26" t="n"/>
      <c r="D740" s="26" t="n"/>
      <c r="E740" s="26" t="n"/>
      <c r="F740" s="26" t="n"/>
      <c r="G740" s="26" t="n"/>
    </row>
    <row r="741" ht="15" customHeight="1">
      <c r="A741" s="26" t="n"/>
      <c r="B741" s="26" t="n"/>
      <c r="C741" s="26" t="n"/>
      <c r="D741" s="26" t="n"/>
      <c r="E741" s="26" t="n"/>
      <c r="F741" s="26" t="n"/>
      <c r="G741" s="26" t="n"/>
    </row>
    <row r="742" ht="15" customHeight="1">
      <c r="A742" s="26" t="n"/>
      <c r="B742" s="26" t="n"/>
      <c r="C742" s="26" t="n"/>
      <c r="D742" s="26" t="n"/>
      <c r="E742" s="26" t="n"/>
      <c r="F742" s="26" t="n"/>
      <c r="G742" s="26" t="n"/>
    </row>
    <row r="743" ht="15" customHeight="1">
      <c r="A743" s="26" t="n"/>
      <c r="B743" s="26" t="n"/>
      <c r="C743" s="26" t="n"/>
      <c r="D743" s="26" t="n"/>
      <c r="E743" s="26" t="n"/>
      <c r="F743" s="26" t="n"/>
      <c r="G743" s="26" t="n"/>
    </row>
    <row r="744" ht="15" customHeight="1">
      <c r="A744" s="26" t="n"/>
      <c r="B744" s="26" t="n"/>
      <c r="C744" s="26" t="n"/>
      <c r="D744" s="26" t="n"/>
      <c r="E744" s="26" t="n"/>
      <c r="F744" s="26" t="n"/>
      <c r="G744" s="26" t="n"/>
    </row>
    <row r="745" ht="15" customHeight="1">
      <c r="A745" s="26" t="n"/>
      <c r="B745" s="26" t="n"/>
      <c r="C745" s="26" t="n"/>
      <c r="D745" s="26" t="n"/>
      <c r="E745" s="26" t="n"/>
      <c r="F745" s="26" t="n"/>
      <c r="G745" s="26" t="n"/>
    </row>
    <row r="746" ht="15" customHeight="1">
      <c r="A746" s="26" t="n"/>
      <c r="B746" s="26" t="n"/>
      <c r="C746" s="26" t="n"/>
      <c r="D746" s="26" t="n"/>
      <c r="E746" s="26" t="n"/>
      <c r="F746" s="26" t="n"/>
      <c r="G746" s="26" t="n"/>
    </row>
    <row r="747" ht="15" customHeight="1">
      <c r="A747" s="26" t="n"/>
      <c r="B747" s="26" t="n"/>
      <c r="C747" s="26" t="n"/>
      <c r="D747" s="26" t="n"/>
      <c r="E747" s="26" t="n"/>
      <c r="F747" s="26" t="n"/>
      <c r="G747" s="26" t="n"/>
    </row>
    <row r="748" ht="15" customHeight="1">
      <c r="A748" s="26" t="n"/>
      <c r="B748" s="26" t="n"/>
      <c r="C748" s="26" t="n"/>
      <c r="D748" s="26" t="n"/>
      <c r="E748" s="26" t="n"/>
      <c r="F748" s="26" t="n"/>
      <c r="G748" s="26" t="n"/>
    </row>
    <row r="749" ht="15" customHeight="1">
      <c r="A749" s="26" t="n"/>
      <c r="B749" s="26" t="n"/>
      <c r="C749" s="26" t="n"/>
      <c r="D749" s="26" t="n"/>
      <c r="E749" s="26" t="n"/>
      <c r="F749" s="26" t="n"/>
      <c r="G749" s="26" t="n"/>
    </row>
    <row r="750" ht="15" customHeight="1">
      <c r="A750" s="26" t="n"/>
      <c r="B750" s="26" t="n"/>
      <c r="C750" s="26" t="n"/>
      <c r="D750" s="26" t="n"/>
      <c r="E750" s="26" t="n"/>
      <c r="F750" s="26" t="n"/>
      <c r="G750" s="26" t="n"/>
    </row>
    <row r="751" ht="15" customHeight="1">
      <c r="A751" s="26" t="n"/>
      <c r="B751" s="26" t="n"/>
      <c r="C751" s="26" t="n"/>
      <c r="D751" s="26" t="n"/>
      <c r="E751" s="26" t="n"/>
      <c r="F751" s="26" t="n"/>
      <c r="G751" s="26" t="n"/>
    </row>
    <row r="752" ht="15" customHeight="1">
      <c r="A752" s="26" t="n"/>
      <c r="B752" s="26" t="n"/>
      <c r="C752" s="26" t="n"/>
      <c r="D752" s="26" t="n"/>
      <c r="E752" s="26" t="n"/>
      <c r="F752" s="26" t="n"/>
      <c r="G752" s="26" t="n"/>
    </row>
    <row r="753" ht="15" customHeight="1">
      <c r="A753" s="26" t="n"/>
      <c r="B753" s="26" t="n"/>
      <c r="C753" s="26" t="n"/>
      <c r="D753" s="26" t="n"/>
      <c r="E753" s="26" t="n"/>
      <c r="F753" s="26" t="n"/>
      <c r="G753" s="26" t="n"/>
    </row>
    <row r="754" ht="15" customHeight="1">
      <c r="A754" s="26" t="n"/>
      <c r="B754" s="26" t="n"/>
      <c r="C754" s="26" t="n"/>
      <c r="D754" s="26" t="n"/>
      <c r="E754" s="26" t="n"/>
      <c r="F754" s="26" t="n"/>
      <c r="G754" s="26" t="n"/>
    </row>
    <row r="755" ht="15" customHeight="1">
      <c r="A755" s="26" t="n"/>
      <c r="B755" s="26" t="n"/>
      <c r="C755" s="26" t="n"/>
      <c r="D755" s="26" t="n"/>
      <c r="E755" s="26" t="n"/>
      <c r="F755" s="26" t="n"/>
      <c r="G755" s="26" t="n"/>
    </row>
    <row r="756" ht="15" customHeight="1">
      <c r="A756" s="26" t="n"/>
      <c r="B756" s="26" t="n"/>
      <c r="C756" s="26" t="n"/>
      <c r="D756" s="26" t="n"/>
      <c r="E756" s="26" t="n"/>
      <c r="F756" s="26" t="n"/>
      <c r="G756" s="26" t="n"/>
    </row>
    <row r="757" ht="15" customHeight="1">
      <c r="A757" s="26" t="n"/>
      <c r="B757" s="26" t="n"/>
      <c r="C757" s="26" t="n"/>
      <c r="D757" s="26" t="n"/>
      <c r="E757" s="26" t="n"/>
      <c r="F757" s="26" t="n"/>
      <c r="G757" s="26" t="n"/>
    </row>
    <row r="758" ht="15" customHeight="1">
      <c r="A758" s="26" t="n"/>
      <c r="B758" s="26" t="n"/>
      <c r="C758" s="26" t="n"/>
      <c r="D758" s="26" t="n"/>
      <c r="E758" s="26" t="n"/>
      <c r="F758" s="26" t="n"/>
      <c r="G758" s="26" t="n"/>
    </row>
    <row r="759" ht="15" customHeight="1">
      <c r="A759" s="26" t="n"/>
      <c r="B759" s="26" t="n"/>
      <c r="C759" s="26" t="n"/>
      <c r="D759" s="26" t="n"/>
      <c r="E759" s="26" t="n"/>
      <c r="F759" s="26" t="n"/>
      <c r="G759" s="26" t="n"/>
    </row>
    <row r="760" ht="15" customHeight="1">
      <c r="A760" s="26" t="n"/>
      <c r="B760" s="26" t="n"/>
      <c r="C760" s="26" t="n"/>
      <c r="D760" s="26" t="n"/>
      <c r="E760" s="26" t="n"/>
      <c r="F760" s="26" t="n"/>
      <c r="G760" s="26" t="n"/>
    </row>
    <row r="761" ht="15" customHeight="1">
      <c r="A761" s="26" t="n"/>
      <c r="B761" s="26" t="n"/>
      <c r="C761" s="26" t="n"/>
      <c r="D761" s="26" t="n"/>
      <c r="E761" s="26" t="n"/>
      <c r="F761" s="26" t="n"/>
      <c r="G761" s="26" t="n"/>
    </row>
    <row r="762" ht="15" customHeight="1">
      <c r="A762" s="26" t="n"/>
      <c r="B762" s="26" t="n"/>
      <c r="C762" s="26" t="n"/>
      <c r="D762" s="26" t="n"/>
      <c r="E762" s="26" t="n"/>
      <c r="F762" s="26" t="n"/>
      <c r="G762" s="26" t="n"/>
    </row>
    <row r="763" ht="15" customHeight="1">
      <c r="A763" s="26" t="n"/>
      <c r="B763" s="26" t="n"/>
      <c r="C763" s="26" t="n"/>
      <c r="D763" s="26" t="n"/>
      <c r="E763" s="26" t="n"/>
      <c r="F763" s="26" t="n"/>
      <c r="G763" s="26" t="n"/>
    </row>
    <row r="764" ht="15" customHeight="1">
      <c r="A764" s="26" t="n"/>
      <c r="B764" s="26" t="n"/>
      <c r="C764" s="26" t="n"/>
      <c r="D764" s="26" t="n"/>
      <c r="E764" s="26" t="n"/>
      <c r="F764" s="26" t="n"/>
      <c r="G764" s="26" t="n"/>
    </row>
    <row r="765" ht="15" customHeight="1">
      <c r="A765" s="26" t="n"/>
      <c r="B765" s="26" t="n"/>
      <c r="C765" s="26" t="n"/>
      <c r="D765" s="26" t="n"/>
      <c r="E765" s="26" t="n"/>
      <c r="F765" s="26" t="n"/>
      <c r="G765" s="26" t="n"/>
    </row>
    <row r="766" ht="15" customHeight="1">
      <c r="A766" s="26" t="n"/>
      <c r="B766" s="26" t="n"/>
      <c r="C766" s="26" t="n"/>
      <c r="D766" s="26" t="n"/>
      <c r="E766" s="26" t="n"/>
      <c r="F766" s="26" t="n"/>
      <c r="G766" s="26" t="n"/>
    </row>
    <row r="767" ht="15" customHeight="1">
      <c r="A767" s="26" t="n"/>
      <c r="B767" s="26" t="n"/>
      <c r="C767" s="26" t="n"/>
      <c r="D767" s="26" t="n"/>
      <c r="E767" s="26" t="n"/>
      <c r="F767" s="26" t="n"/>
      <c r="G767" s="26" t="n"/>
    </row>
    <row r="768" ht="15" customHeight="1">
      <c r="A768" s="26" t="n"/>
      <c r="B768" s="26" t="n"/>
      <c r="C768" s="26" t="n"/>
      <c r="D768" s="26" t="n"/>
      <c r="E768" s="26" t="n"/>
      <c r="F768" s="26" t="n"/>
      <c r="G768" s="26" t="n"/>
    </row>
    <row r="769" ht="15" customHeight="1">
      <c r="A769" s="26" t="n"/>
      <c r="B769" s="26" t="n"/>
      <c r="C769" s="26" t="n"/>
      <c r="D769" s="26" t="n"/>
      <c r="E769" s="26" t="n"/>
      <c r="F769" s="26" t="n"/>
      <c r="G769" s="26" t="n"/>
    </row>
    <row r="770" ht="15" customHeight="1">
      <c r="A770" s="26" t="n"/>
      <c r="B770" s="26" t="n"/>
      <c r="C770" s="26" t="n"/>
      <c r="D770" s="26" t="n"/>
      <c r="E770" s="26" t="n"/>
      <c r="F770" s="26" t="n"/>
      <c r="G770" s="26" t="n"/>
    </row>
    <row r="771" ht="15" customHeight="1">
      <c r="A771" s="26" t="n"/>
      <c r="B771" s="26" t="n"/>
      <c r="C771" s="26" t="n"/>
      <c r="D771" s="26" t="n"/>
      <c r="E771" s="26" t="n"/>
      <c r="F771" s="26" t="n"/>
      <c r="G771" s="26" t="n"/>
    </row>
    <row r="772" ht="15" customHeight="1">
      <c r="A772" s="26" t="n"/>
      <c r="B772" s="26" t="n"/>
      <c r="C772" s="26" t="n"/>
      <c r="D772" s="26" t="n"/>
      <c r="E772" s="26" t="n"/>
      <c r="F772" s="26" t="n"/>
      <c r="G772" s="26" t="n"/>
    </row>
    <row r="773" ht="15" customHeight="1">
      <c r="A773" s="26" t="n"/>
      <c r="B773" s="26" t="n"/>
      <c r="C773" s="26" t="n"/>
      <c r="D773" s="26" t="n"/>
      <c r="E773" s="26" t="n"/>
      <c r="F773" s="26" t="n"/>
      <c r="G773" s="26" t="n"/>
    </row>
    <row r="774" ht="15" customHeight="1">
      <c r="A774" s="26" t="n"/>
      <c r="B774" s="26" t="n"/>
      <c r="C774" s="26" t="n"/>
      <c r="D774" s="26" t="n"/>
      <c r="E774" s="26" t="n"/>
      <c r="F774" s="26" t="n"/>
      <c r="G774" s="26" t="n"/>
    </row>
    <row r="775" ht="15" customHeight="1">
      <c r="A775" s="26" t="n"/>
      <c r="B775" s="26" t="n"/>
      <c r="C775" s="26" t="n"/>
      <c r="D775" s="26" t="n"/>
      <c r="E775" s="26" t="n"/>
      <c r="F775" s="26" t="n"/>
      <c r="G775" s="26" t="n"/>
    </row>
    <row r="776" ht="15" customHeight="1">
      <c r="A776" s="26" t="n"/>
      <c r="B776" s="26" t="n"/>
      <c r="C776" s="26" t="n"/>
      <c r="D776" s="26" t="n"/>
      <c r="E776" s="26" t="n"/>
      <c r="F776" s="26" t="n"/>
      <c r="G776" s="26" t="n"/>
    </row>
    <row r="777" ht="15" customHeight="1">
      <c r="A777" s="26" t="n"/>
      <c r="B777" s="26" t="n"/>
      <c r="C777" s="26" t="n"/>
      <c r="D777" s="26" t="n"/>
      <c r="E777" s="26" t="n"/>
      <c r="F777" s="26" t="n"/>
      <c r="G777" s="26" t="n"/>
    </row>
    <row r="778" ht="15" customHeight="1">
      <c r="A778" s="26" t="n"/>
      <c r="B778" s="26" t="n"/>
      <c r="C778" s="26" t="n"/>
      <c r="D778" s="26" t="n"/>
      <c r="E778" s="26" t="n"/>
      <c r="F778" s="26" t="n"/>
      <c r="G778" s="26" t="n"/>
    </row>
    <row r="779" ht="15" customHeight="1">
      <c r="A779" s="26" t="n"/>
      <c r="B779" s="26" t="n"/>
      <c r="C779" s="26" t="n"/>
      <c r="D779" s="26" t="n"/>
      <c r="E779" s="26" t="n"/>
      <c r="F779" s="26" t="n"/>
      <c r="G779" s="26" t="n"/>
    </row>
    <row r="780" ht="15" customHeight="1">
      <c r="A780" s="26" t="n"/>
      <c r="B780" s="26" t="n"/>
      <c r="C780" s="26" t="n"/>
      <c r="D780" s="26" t="n"/>
      <c r="E780" s="26" t="n"/>
      <c r="F780" s="26" t="n"/>
      <c r="G780" s="26" t="n"/>
    </row>
    <row r="781" ht="15" customHeight="1">
      <c r="A781" s="26" t="n"/>
      <c r="B781" s="26" t="n"/>
      <c r="C781" s="26" t="n"/>
      <c r="D781" s="26" t="n"/>
      <c r="E781" s="26" t="n"/>
      <c r="F781" s="26" t="n"/>
      <c r="G781" s="26" t="n"/>
    </row>
    <row r="782" ht="15" customHeight="1">
      <c r="A782" s="26" t="n"/>
      <c r="B782" s="26" t="n"/>
      <c r="C782" s="26" t="n"/>
      <c r="D782" s="26" t="n"/>
      <c r="E782" s="26" t="n"/>
      <c r="F782" s="26" t="n"/>
      <c r="G782" s="26" t="n"/>
    </row>
    <row r="783" ht="15" customHeight="1">
      <c r="A783" s="26" t="n"/>
      <c r="B783" s="26" t="n"/>
      <c r="C783" s="26" t="n"/>
      <c r="D783" s="26" t="n"/>
      <c r="E783" s="26" t="n"/>
      <c r="F783" s="26" t="n"/>
      <c r="G783" s="26" t="n"/>
    </row>
    <row r="784" ht="15" customHeight="1">
      <c r="A784" s="26" t="n"/>
      <c r="B784" s="26" t="n"/>
      <c r="C784" s="26" t="n"/>
      <c r="D784" s="26" t="n"/>
      <c r="E784" s="26" t="n"/>
      <c r="F784" s="26" t="n"/>
      <c r="G784" s="26" t="n"/>
    </row>
    <row r="785" ht="15" customHeight="1">
      <c r="A785" s="26" t="n"/>
      <c r="B785" s="26" t="n"/>
      <c r="C785" s="26" t="n"/>
      <c r="D785" s="26" t="n"/>
      <c r="E785" s="26" t="n"/>
      <c r="F785" s="26" t="n"/>
      <c r="G785" s="26" t="n"/>
    </row>
    <row r="786" ht="15" customHeight="1">
      <c r="A786" s="26" t="n"/>
      <c r="B786" s="26" t="n"/>
      <c r="C786" s="26" t="n"/>
      <c r="D786" s="26" t="n"/>
      <c r="E786" s="26" t="n"/>
      <c r="F786" s="26" t="n"/>
      <c r="G786" s="26" t="n"/>
    </row>
    <row r="787" ht="15" customHeight="1">
      <c r="A787" s="26" t="n"/>
      <c r="B787" s="26" t="n"/>
      <c r="C787" s="26" t="n"/>
      <c r="D787" s="26" t="n"/>
      <c r="E787" s="26" t="n"/>
      <c r="F787" s="26" t="n"/>
      <c r="G787" s="26" t="n"/>
    </row>
    <row r="788" ht="15" customHeight="1">
      <c r="A788" s="26" t="n"/>
      <c r="B788" s="26" t="n"/>
      <c r="C788" s="26" t="n"/>
      <c r="D788" s="26" t="n"/>
      <c r="E788" s="26" t="n"/>
      <c r="F788" s="26" t="n"/>
      <c r="G788" s="26" t="n"/>
    </row>
    <row r="789" ht="15" customHeight="1">
      <c r="A789" s="26" t="n"/>
      <c r="B789" s="26" t="n"/>
      <c r="C789" s="26" t="n"/>
      <c r="D789" s="26" t="n"/>
      <c r="E789" s="26" t="n"/>
      <c r="F789" s="26" t="n"/>
      <c r="G789" s="26" t="n"/>
    </row>
    <row r="790" ht="15" customHeight="1">
      <c r="A790" s="26" t="n"/>
      <c r="B790" s="26" t="n"/>
      <c r="C790" s="26" t="n"/>
      <c r="D790" s="26" t="n"/>
      <c r="E790" s="26" t="n"/>
      <c r="F790" s="26" t="n"/>
      <c r="G790" s="26" t="n"/>
    </row>
    <row r="791" ht="15" customHeight="1">
      <c r="A791" s="26" t="n"/>
      <c r="B791" s="26" t="n"/>
      <c r="C791" s="26" t="n"/>
      <c r="D791" s="26" t="n"/>
      <c r="E791" s="26" t="n"/>
      <c r="F791" s="26" t="n"/>
      <c r="G791" s="26" t="n"/>
    </row>
    <row r="792" ht="15" customHeight="1">
      <c r="A792" s="26" t="n"/>
      <c r="B792" s="26" t="n"/>
      <c r="C792" s="26" t="n"/>
      <c r="D792" s="26" t="n"/>
      <c r="E792" s="26" t="n"/>
      <c r="F792" s="26" t="n"/>
      <c r="G792" s="26" t="n"/>
    </row>
    <row r="793" ht="15" customHeight="1">
      <c r="A793" s="26" t="n"/>
      <c r="B793" s="26" t="n"/>
      <c r="C793" s="26" t="n"/>
      <c r="D793" s="26" t="n"/>
      <c r="E793" s="26" t="n"/>
      <c r="F793" s="26" t="n"/>
      <c r="G793" s="26" t="n"/>
    </row>
    <row r="794" ht="15" customHeight="1">
      <c r="A794" s="26" t="n"/>
      <c r="B794" s="26" t="n"/>
      <c r="C794" s="26" t="n"/>
      <c r="D794" s="26" t="n"/>
      <c r="E794" s="26" t="n"/>
      <c r="F794" s="26" t="n"/>
      <c r="G794" s="26" t="n"/>
    </row>
    <row r="795" ht="15" customHeight="1">
      <c r="A795" s="26" t="n"/>
      <c r="B795" s="26" t="n"/>
      <c r="C795" s="26" t="n"/>
      <c r="D795" s="26" t="n"/>
      <c r="E795" s="26" t="n"/>
      <c r="F795" s="26" t="n"/>
      <c r="G795" s="26" t="n"/>
    </row>
    <row r="796" ht="15" customHeight="1">
      <c r="A796" s="26" t="n"/>
      <c r="B796" s="26" t="n"/>
      <c r="C796" s="26" t="n"/>
      <c r="D796" s="26" t="n"/>
      <c r="E796" s="26" t="n"/>
      <c r="F796" s="26" t="n"/>
      <c r="G796" s="26" t="n"/>
    </row>
    <row r="797" ht="15" customHeight="1">
      <c r="A797" s="26" t="n"/>
      <c r="B797" s="26" t="n"/>
      <c r="C797" s="26" t="n"/>
      <c r="D797" s="26" t="n"/>
      <c r="E797" s="26" t="n"/>
      <c r="F797" s="26" t="n"/>
      <c r="G797" s="26" t="n"/>
    </row>
    <row r="798" ht="15" customHeight="1">
      <c r="A798" s="26" t="n"/>
      <c r="B798" s="26" t="n"/>
      <c r="C798" s="26" t="n"/>
      <c r="D798" s="26" t="n"/>
      <c r="E798" s="26" t="n"/>
      <c r="F798" s="26" t="n"/>
      <c r="G798" s="26" t="n"/>
    </row>
    <row r="799" ht="15" customHeight="1">
      <c r="A799" s="26" t="n"/>
      <c r="B799" s="26" t="n"/>
      <c r="C799" s="26" t="n"/>
      <c r="D799" s="26" t="n"/>
      <c r="E799" s="26" t="n"/>
      <c r="F799" s="26" t="n"/>
      <c r="G799" s="26" t="n"/>
    </row>
    <row r="800" ht="15" customHeight="1">
      <c r="A800" s="26" t="n"/>
      <c r="B800" s="26" t="n"/>
      <c r="C800" s="26" t="n"/>
      <c r="D800" s="26" t="n"/>
      <c r="E800" s="26" t="n"/>
      <c r="F800" s="26" t="n"/>
      <c r="G800" s="26" t="n"/>
    </row>
    <row r="801" ht="15" customHeight="1">
      <c r="A801" s="26" t="n"/>
      <c r="B801" s="26" t="n"/>
      <c r="C801" s="26" t="n"/>
      <c r="D801" s="26" t="n"/>
      <c r="E801" s="26" t="n"/>
      <c r="F801" s="26" t="n"/>
      <c r="G801" s="26" t="n"/>
    </row>
    <row r="802" ht="15" customHeight="1">
      <c r="A802" s="26" t="n"/>
      <c r="B802" s="26" t="n"/>
      <c r="C802" s="26" t="n"/>
      <c r="D802" s="26" t="n"/>
      <c r="E802" s="26" t="n"/>
      <c r="F802" s="26" t="n"/>
      <c r="G802" s="26" t="n"/>
    </row>
    <row r="803" ht="15" customHeight="1">
      <c r="A803" s="26" t="n"/>
      <c r="B803" s="26" t="n"/>
      <c r="C803" s="26" t="n"/>
      <c r="D803" s="26" t="n"/>
      <c r="E803" s="26" t="n"/>
      <c r="F803" s="26" t="n"/>
      <c r="G803" s="26" t="n"/>
    </row>
    <row r="804" ht="15" customHeight="1">
      <c r="A804" s="26" t="n"/>
      <c r="B804" s="26" t="n"/>
      <c r="C804" s="26" t="n"/>
      <c r="D804" s="26" t="n"/>
      <c r="E804" s="26" t="n"/>
      <c r="F804" s="26" t="n"/>
      <c r="G804" s="26" t="n"/>
    </row>
    <row r="805" ht="15" customHeight="1">
      <c r="A805" s="26" t="n"/>
      <c r="B805" s="26" t="n"/>
      <c r="C805" s="26" t="n"/>
      <c r="D805" s="26" t="n"/>
      <c r="E805" s="26" t="n"/>
      <c r="F805" s="26" t="n"/>
      <c r="G805" s="26" t="n"/>
    </row>
    <row r="806" ht="15" customHeight="1">
      <c r="A806" s="26" t="n"/>
      <c r="B806" s="26" t="n"/>
      <c r="C806" s="26" t="n"/>
      <c r="D806" s="26" t="n"/>
      <c r="E806" s="26" t="n"/>
      <c r="F806" s="26" t="n"/>
      <c r="G806" s="26" t="n"/>
    </row>
    <row r="807" ht="15" customHeight="1">
      <c r="A807" s="26" t="n"/>
      <c r="B807" s="26" t="n"/>
      <c r="C807" s="26" t="n"/>
      <c r="D807" s="26" t="n"/>
      <c r="E807" s="26" t="n"/>
      <c r="F807" s="26" t="n"/>
      <c r="G807" s="26" t="n"/>
    </row>
    <row r="808" ht="15" customHeight="1">
      <c r="A808" s="26" t="n"/>
      <c r="B808" s="26" t="n"/>
      <c r="C808" s="26" t="n"/>
      <c r="D808" s="26" t="n"/>
      <c r="E808" s="26" t="n"/>
      <c r="F808" s="26" t="n"/>
      <c r="G808" s="26" t="n"/>
    </row>
    <row r="809" ht="15" customHeight="1">
      <c r="A809" s="26" t="n"/>
      <c r="B809" s="26" t="n"/>
      <c r="C809" s="26" t="n"/>
      <c r="D809" s="26" t="n"/>
      <c r="E809" s="26" t="n"/>
      <c r="F809" s="26" t="n"/>
      <c r="G809" s="26" t="n"/>
    </row>
    <row r="810" ht="15" customHeight="1">
      <c r="A810" s="26" t="n"/>
      <c r="B810" s="26" t="n"/>
      <c r="C810" s="26" t="n"/>
      <c r="D810" s="26" t="n"/>
      <c r="E810" s="26" t="n"/>
      <c r="F810" s="26" t="n"/>
      <c r="G810" s="26" t="n"/>
    </row>
    <row r="811" ht="15" customHeight="1">
      <c r="A811" s="26" t="n"/>
      <c r="B811" s="26" t="n"/>
      <c r="C811" s="26" t="n"/>
      <c r="D811" s="26" t="n"/>
      <c r="E811" s="26" t="n"/>
      <c r="F811" s="26" t="n"/>
      <c r="G811" s="26" t="n"/>
    </row>
    <row r="812" ht="15" customHeight="1">
      <c r="A812" s="26" t="n"/>
      <c r="B812" s="26" t="n"/>
      <c r="C812" s="26" t="n"/>
      <c r="D812" s="26" t="n"/>
      <c r="E812" s="26" t="n"/>
      <c r="F812" s="26" t="n"/>
      <c r="G812" s="26" t="n"/>
    </row>
    <row r="813" ht="15" customHeight="1">
      <c r="A813" s="26" t="n"/>
      <c r="B813" s="26" t="n"/>
      <c r="C813" s="26" t="n"/>
      <c r="D813" s="26" t="n"/>
      <c r="E813" s="26" t="n"/>
      <c r="F813" s="26" t="n"/>
      <c r="G813" s="26" t="n"/>
    </row>
    <row r="814" ht="15" customHeight="1">
      <c r="A814" s="26" t="n"/>
      <c r="B814" s="26" t="n"/>
      <c r="C814" s="26" t="n"/>
      <c r="D814" s="26" t="n"/>
      <c r="E814" s="26" t="n"/>
      <c r="F814" s="26" t="n"/>
      <c r="G814" s="26" t="n"/>
    </row>
    <row r="815" ht="15" customHeight="1">
      <c r="A815" s="26" t="n"/>
      <c r="B815" s="26" t="n"/>
      <c r="C815" s="26" t="n"/>
      <c r="D815" s="26" t="n"/>
      <c r="E815" s="26" t="n"/>
      <c r="F815" s="26" t="n"/>
      <c r="G815" s="26" t="n"/>
    </row>
    <row r="816" ht="15" customHeight="1">
      <c r="A816" s="26" t="n"/>
      <c r="B816" s="26" t="n"/>
      <c r="C816" s="26" t="n"/>
      <c r="D816" s="26" t="n"/>
      <c r="E816" s="26" t="n"/>
      <c r="F816" s="26" t="n"/>
      <c r="G816" s="26" t="n"/>
    </row>
    <row r="817" ht="15" customHeight="1">
      <c r="A817" s="26" t="n"/>
      <c r="B817" s="26" t="n"/>
      <c r="C817" s="26" t="n"/>
      <c r="D817" s="26" t="n"/>
      <c r="E817" s="26" t="n"/>
      <c r="F817" s="26" t="n"/>
      <c r="G817" s="26" t="n"/>
    </row>
    <row r="818" ht="15" customHeight="1">
      <c r="A818" s="26" t="n"/>
      <c r="B818" s="26" t="n"/>
      <c r="C818" s="26" t="n"/>
      <c r="D818" s="26" t="n"/>
      <c r="E818" s="26" t="n"/>
      <c r="F818" s="26" t="n"/>
      <c r="G818" s="26" t="n"/>
    </row>
    <row r="819" ht="15" customHeight="1">
      <c r="A819" s="26" t="n"/>
      <c r="B819" s="26" t="n"/>
      <c r="C819" s="26" t="n"/>
      <c r="D819" s="26" t="n"/>
      <c r="E819" s="26" t="n"/>
      <c r="F819" s="26" t="n"/>
      <c r="G819" s="26" t="n"/>
    </row>
    <row r="820" ht="15" customHeight="1">
      <c r="A820" s="26" t="n"/>
      <c r="B820" s="26" t="n"/>
      <c r="C820" s="26" t="n"/>
      <c r="D820" s="26" t="n"/>
      <c r="E820" s="26" t="n"/>
      <c r="F820" s="26" t="n"/>
      <c r="G820" s="26" t="n"/>
    </row>
    <row r="821" ht="15" customHeight="1">
      <c r="A821" s="26" t="n"/>
      <c r="B821" s="26" t="n"/>
      <c r="C821" s="26" t="n"/>
      <c r="D821" s="26" t="n"/>
      <c r="E821" s="26" t="n"/>
      <c r="F821" s="26" t="n"/>
      <c r="G821" s="26" t="n"/>
    </row>
    <row r="822" ht="15" customHeight="1">
      <c r="A822" s="26" t="n"/>
      <c r="B822" s="26" t="n"/>
      <c r="C822" s="26" t="n"/>
      <c r="D822" s="26" t="n"/>
      <c r="E822" s="26" t="n"/>
      <c r="F822" s="26" t="n"/>
      <c r="G822" s="26" t="n"/>
    </row>
    <row r="823" ht="15" customHeight="1">
      <c r="A823" s="26" t="n"/>
      <c r="B823" s="26" t="n"/>
      <c r="C823" s="26" t="n"/>
      <c r="D823" s="26" t="n"/>
      <c r="E823" s="26" t="n"/>
      <c r="F823" s="26" t="n"/>
      <c r="G823" s="26" t="n"/>
    </row>
    <row r="824" ht="15" customHeight="1">
      <c r="A824" s="26" t="n"/>
      <c r="B824" s="26" t="n"/>
      <c r="C824" s="26" t="n"/>
      <c r="D824" s="26" t="n"/>
      <c r="E824" s="26" t="n"/>
      <c r="F824" s="26" t="n"/>
      <c r="G824" s="26" t="n"/>
    </row>
    <row r="825" ht="15" customHeight="1">
      <c r="A825" s="26" t="n"/>
      <c r="B825" s="26" t="n"/>
      <c r="C825" s="26" t="n"/>
      <c r="D825" s="26" t="n"/>
      <c r="E825" s="26" t="n"/>
      <c r="F825" s="26" t="n"/>
      <c r="G825" s="26" t="n"/>
    </row>
    <row r="826" ht="15" customHeight="1">
      <c r="A826" s="26" t="n"/>
      <c r="B826" s="26" t="n"/>
      <c r="C826" s="26" t="n"/>
      <c r="D826" s="26" t="n"/>
      <c r="E826" s="26" t="n"/>
      <c r="F826" s="26" t="n"/>
      <c r="G826" s="26" t="n"/>
    </row>
    <row r="827" ht="15" customHeight="1">
      <c r="A827" s="26" t="n"/>
      <c r="B827" s="26" t="n"/>
      <c r="C827" s="26" t="n"/>
      <c r="D827" s="26" t="n"/>
      <c r="E827" s="26" t="n"/>
      <c r="F827" s="26" t="n"/>
      <c r="G827" s="26" t="n"/>
    </row>
    <row r="828" ht="15" customHeight="1">
      <c r="A828" s="26" t="n"/>
      <c r="B828" s="26" t="n"/>
      <c r="C828" s="26" t="n"/>
      <c r="D828" s="26" t="n"/>
      <c r="E828" s="26" t="n"/>
      <c r="F828" s="26" t="n"/>
      <c r="G828" s="26" t="n"/>
    </row>
    <row r="829" ht="15" customHeight="1">
      <c r="A829" s="26" t="n"/>
      <c r="B829" s="26" t="n"/>
      <c r="C829" s="26" t="n"/>
      <c r="D829" s="26" t="n"/>
      <c r="E829" s="26" t="n"/>
      <c r="F829" s="26" t="n"/>
      <c r="G829" s="26" t="n"/>
    </row>
    <row r="830" ht="15" customHeight="1">
      <c r="A830" s="26" t="n"/>
      <c r="B830" s="26" t="n"/>
      <c r="C830" s="26" t="n"/>
      <c r="D830" s="26" t="n"/>
      <c r="E830" s="26" t="n"/>
      <c r="F830" s="26" t="n"/>
      <c r="G830" s="26" t="n"/>
    </row>
    <row r="831" ht="15" customHeight="1">
      <c r="A831" s="26" t="n"/>
      <c r="B831" s="26" t="n"/>
      <c r="C831" s="26" t="n"/>
      <c r="D831" s="26" t="n"/>
      <c r="E831" s="26" t="n"/>
      <c r="F831" s="26" t="n"/>
      <c r="G831" s="26" t="n"/>
    </row>
    <row r="832" ht="15" customHeight="1">
      <c r="A832" s="26" t="n"/>
      <c r="B832" s="26" t="n"/>
      <c r="C832" s="26" t="n"/>
      <c r="D832" s="26" t="n"/>
      <c r="E832" s="26" t="n"/>
      <c r="F832" s="26" t="n"/>
      <c r="G832" s="26" t="n"/>
    </row>
    <row r="833" ht="15" customHeight="1">
      <c r="A833" s="26" t="n"/>
      <c r="B833" s="26" t="n"/>
      <c r="C833" s="26" t="n"/>
      <c r="D833" s="26" t="n"/>
      <c r="E833" s="26" t="n"/>
      <c r="F833" s="26" t="n"/>
      <c r="G833" s="26" t="n"/>
    </row>
    <row r="834" ht="15" customHeight="1">
      <c r="A834" s="26" t="n"/>
      <c r="B834" s="26" t="n"/>
      <c r="C834" s="26" t="n"/>
      <c r="D834" s="26" t="n"/>
      <c r="E834" s="26" t="n"/>
      <c r="F834" s="26" t="n"/>
      <c r="G834" s="26" t="n"/>
    </row>
    <row r="835" ht="15" customHeight="1">
      <c r="A835" s="26" t="n"/>
      <c r="B835" s="26" t="n"/>
      <c r="C835" s="26" t="n"/>
      <c r="D835" s="26" t="n"/>
      <c r="E835" s="26" t="n"/>
      <c r="F835" s="26" t="n"/>
      <c r="G835" s="26" t="n"/>
    </row>
    <row r="836" ht="15" customHeight="1">
      <c r="A836" s="26" t="n"/>
      <c r="B836" s="26" t="n"/>
      <c r="C836" s="26" t="n"/>
      <c r="D836" s="26" t="n"/>
      <c r="E836" s="26" t="n"/>
      <c r="F836" s="26" t="n"/>
      <c r="G836" s="26" t="n"/>
    </row>
    <row r="837" ht="15" customHeight="1">
      <c r="A837" s="26" t="n"/>
      <c r="B837" s="26" t="n"/>
      <c r="C837" s="26" t="n"/>
      <c r="D837" s="26" t="n"/>
      <c r="E837" s="26" t="n"/>
      <c r="F837" s="26" t="n"/>
      <c r="G837" s="26" t="n"/>
    </row>
    <row r="838" ht="15" customHeight="1">
      <c r="A838" s="26" t="n"/>
      <c r="B838" s="26" t="n"/>
      <c r="C838" s="26" t="n"/>
      <c r="D838" s="26" t="n"/>
      <c r="E838" s="26" t="n"/>
      <c r="F838" s="26" t="n"/>
      <c r="G838" s="26" t="n"/>
    </row>
    <row r="839" ht="15" customHeight="1">
      <c r="A839" s="26" t="n"/>
      <c r="B839" s="26" t="n"/>
      <c r="C839" s="26" t="n"/>
      <c r="D839" s="26" t="n"/>
      <c r="E839" s="26" t="n"/>
      <c r="F839" s="26" t="n"/>
      <c r="G839" s="26" t="n"/>
    </row>
    <row r="840" ht="15" customHeight="1">
      <c r="A840" s="26" t="n"/>
      <c r="B840" s="26" t="n"/>
      <c r="C840" s="26" t="n"/>
      <c r="D840" s="26" t="n"/>
      <c r="E840" s="26" t="n"/>
      <c r="F840" s="26" t="n"/>
      <c r="G840" s="26" t="n"/>
    </row>
    <row r="841" ht="15" customHeight="1">
      <c r="A841" s="26" t="n"/>
      <c r="B841" s="26" t="n"/>
      <c r="C841" s="26" t="n"/>
      <c r="D841" s="26" t="n"/>
      <c r="E841" s="26" t="n"/>
      <c r="F841" s="26" t="n"/>
      <c r="G841" s="26" t="n"/>
    </row>
    <row r="842" ht="15" customHeight="1">
      <c r="A842" s="26" t="n"/>
      <c r="B842" s="26" t="n"/>
      <c r="C842" s="26" t="n"/>
      <c r="D842" s="26" t="n"/>
      <c r="E842" s="26" t="n"/>
      <c r="F842" s="26" t="n"/>
      <c r="G842" s="26" t="n"/>
    </row>
    <row r="843" ht="15" customHeight="1">
      <c r="A843" s="26" t="n"/>
      <c r="B843" s="26" t="n"/>
      <c r="C843" s="26" t="n"/>
      <c r="D843" s="26" t="n"/>
      <c r="E843" s="26" t="n"/>
      <c r="F843" s="26" t="n"/>
      <c r="G843" s="26" t="n"/>
    </row>
    <row r="844" ht="15" customHeight="1">
      <c r="A844" s="26" t="n"/>
      <c r="B844" s="26" t="n"/>
      <c r="C844" s="26" t="n"/>
      <c r="D844" s="26" t="n"/>
      <c r="E844" s="26" t="n"/>
      <c r="F844" s="26" t="n"/>
      <c r="G844" s="26" t="n"/>
    </row>
    <row r="845" ht="15" customHeight="1">
      <c r="A845" s="26" t="n"/>
      <c r="B845" s="26" t="n"/>
      <c r="C845" s="26" t="n"/>
      <c r="D845" s="26" t="n"/>
      <c r="E845" s="26" t="n"/>
      <c r="F845" s="26" t="n"/>
      <c r="G845" s="26" t="n"/>
    </row>
    <row r="846" ht="15" customHeight="1">
      <c r="A846" s="26" t="n"/>
      <c r="B846" s="26" t="n"/>
      <c r="C846" s="26" t="n"/>
      <c r="D846" s="26" t="n"/>
      <c r="E846" s="26" t="n"/>
      <c r="F846" s="26" t="n"/>
      <c r="G846" s="26" t="n"/>
    </row>
    <row r="847" ht="15" customHeight="1">
      <c r="A847" s="26" t="n"/>
      <c r="B847" s="26" t="n"/>
      <c r="C847" s="26" t="n"/>
      <c r="D847" s="26" t="n"/>
      <c r="E847" s="26" t="n"/>
      <c r="F847" s="26" t="n"/>
      <c r="G847" s="26" t="n"/>
    </row>
    <row r="848" ht="15" customHeight="1">
      <c r="A848" s="26" t="n"/>
      <c r="B848" s="26" t="n"/>
      <c r="C848" s="26" t="n"/>
      <c r="D848" s="26" t="n"/>
      <c r="E848" s="26" t="n"/>
      <c r="F848" s="26" t="n"/>
      <c r="G848" s="26" t="n"/>
    </row>
    <row r="849" ht="15" customHeight="1">
      <c r="A849" s="26" t="n"/>
      <c r="B849" s="26" t="n"/>
      <c r="C849" s="26" t="n"/>
      <c r="D849" s="26" t="n"/>
      <c r="E849" s="26" t="n"/>
      <c r="F849" s="26" t="n"/>
      <c r="G849" s="26" t="n"/>
    </row>
    <row r="850" ht="15" customHeight="1">
      <c r="A850" s="26" t="n"/>
      <c r="B850" s="26" t="n"/>
      <c r="C850" s="26" t="n"/>
      <c r="D850" s="26" t="n"/>
      <c r="E850" s="26" t="n"/>
      <c r="F850" s="26" t="n"/>
      <c r="G850" s="26" t="n"/>
    </row>
    <row r="851" ht="15" customHeight="1">
      <c r="A851" s="26" t="n"/>
      <c r="B851" s="26" t="n"/>
      <c r="C851" s="26" t="n"/>
      <c r="D851" s="26" t="n"/>
      <c r="E851" s="26" t="n"/>
      <c r="F851" s="26" t="n"/>
      <c r="G851" s="26" t="n"/>
    </row>
    <row r="852" ht="15" customHeight="1">
      <c r="A852" s="26" t="n"/>
      <c r="B852" s="26" t="n"/>
      <c r="C852" s="26" t="n"/>
      <c r="D852" s="26" t="n"/>
      <c r="E852" s="26" t="n"/>
      <c r="F852" s="26" t="n"/>
      <c r="G852" s="26" t="n"/>
    </row>
    <row r="853" ht="15" customHeight="1">
      <c r="A853" s="26" t="n"/>
      <c r="B853" s="26" t="n"/>
      <c r="C853" s="26" t="n"/>
      <c r="D853" s="26" t="n"/>
      <c r="E853" s="26" t="n"/>
      <c r="F853" s="26" t="n"/>
      <c r="G853" s="26" t="n"/>
    </row>
    <row r="854" ht="15" customHeight="1">
      <c r="A854" s="26" t="n"/>
      <c r="B854" s="26" t="n"/>
      <c r="C854" s="26" t="n"/>
      <c r="D854" s="26" t="n"/>
      <c r="E854" s="26" t="n"/>
      <c r="F854" s="26" t="n"/>
      <c r="G854" s="26" t="n"/>
    </row>
    <row r="855" ht="15" customHeight="1">
      <c r="A855" s="26" t="n"/>
      <c r="B855" s="26" t="n"/>
      <c r="C855" s="26" t="n"/>
      <c r="D855" s="26" t="n"/>
      <c r="E855" s="26" t="n"/>
      <c r="F855" s="26" t="n"/>
      <c r="G855" s="26" t="n"/>
    </row>
    <row r="856" ht="15" customHeight="1">
      <c r="A856" s="26" t="n"/>
      <c r="B856" s="26" t="n"/>
      <c r="C856" s="26" t="n"/>
      <c r="D856" s="26" t="n"/>
      <c r="E856" s="26" t="n"/>
      <c r="F856" s="26" t="n"/>
      <c r="G856" s="26" t="n"/>
    </row>
    <row r="857" ht="15" customHeight="1">
      <c r="A857" s="26" t="n"/>
      <c r="B857" s="26" t="n"/>
      <c r="C857" s="26" t="n"/>
      <c r="D857" s="26" t="n"/>
      <c r="E857" s="26" t="n"/>
      <c r="F857" s="26" t="n"/>
      <c r="G857" s="26" t="n"/>
    </row>
    <row r="858" ht="15" customHeight="1">
      <c r="A858" s="26" t="n"/>
      <c r="B858" s="26" t="n"/>
      <c r="C858" s="26" t="n"/>
      <c r="D858" s="26" t="n"/>
      <c r="E858" s="26" t="n"/>
      <c r="F858" s="26" t="n"/>
      <c r="G858" s="26" t="n"/>
    </row>
    <row r="859" ht="15" customHeight="1">
      <c r="A859" s="26" t="n"/>
      <c r="B859" s="26" t="n"/>
      <c r="C859" s="26" t="n"/>
      <c r="D859" s="26" t="n"/>
      <c r="E859" s="26" t="n"/>
      <c r="F859" s="26" t="n"/>
      <c r="G859" s="26" t="n"/>
    </row>
    <row r="860" ht="15" customHeight="1">
      <c r="A860" s="26" t="n"/>
      <c r="B860" s="26" t="n"/>
      <c r="C860" s="26" t="n"/>
      <c r="D860" s="26" t="n"/>
      <c r="E860" s="26" t="n"/>
      <c r="F860" s="26" t="n"/>
      <c r="G860" s="26" t="n"/>
    </row>
    <row r="861" ht="15" customHeight="1">
      <c r="A861" s="26" t="n"/>
      <c r="B861" s="26" t="n"/>
      <c r="C861" s="26" t="n"/>
      <c r="D861" s="26" t="n"/>
      <c r="E861" s="26" t="n"/>
      <c r="F861" s="26" t="n"/>
      <c r="G861" s="26" t="n"/>
    </row>
    <row r="862" ht="15" customHeight="1">
      <c r="A862" s="26" t="n"/>
      <c r="B862" s="26" t="n"/>
      <c r="C862" s="26" t="n"/>
      <c r="D862" s="26" t="n"/>
      <c r="E862" s="26" t="n"/>
      <c r="F862" s="26" t="n"/>
      <c r="G862" s="26" t="n"/>
    </row>
    <row r="863" ht="15" customHeight="1">
      <c r="A863" s="26" t="n"/>
      <c r="B863" s="26" t="n"/>
      <c r="C863" s="26" t="n"/>
      <c r="D863" s="26" t="n"/>
      <c r="E863" s="26" t="n"/>
      <c r="F863" s="26" t="n"/>
      <c r="G863" s="26" t="n"/>
    </row>
    <row r="864" ht="15" customHeight="1">
      <c r="A864" s="26" t="n"/>
      <c r="B864" s="26" t="n"/>
      <c r="C864" s="26" t="n"/>
      <c r="D864" s="26" t="n"/>
      <c r="E864" s="26" t="n"/>
      <c r="F864" s="26" t="n"/>
      <c r="G864" s="26" t="n"/>
    </row>
    <row r="865" ht="15" customHeight="1">
      <c r="A865" s="26" t="n"/>
      <c r="B865" s="26" t="n"/>
      <c r="C865" s="26" t="n"/>
      <c r="D865" s="26" t="n"/>
      <c r="E865" s="26" t="n"/>
      <c r="F865" s="26" t="n"/>
      <c r="G865" s="26" t="n"/>
    </row>
    <row r="866" ht="15" customHeight="1">
      <c r="A866" s="26" t="n"/>
      <c r="B866" s="26" t="n"/>
      <c r="C866" s="26" t="n"/>
      <c r="D866" s="26" t="n"/>
      <c r="E866" s="26" t="n"/>
      <c r="F866" s="26" t="n"/>
      <c r="G866" s="26" t="n"/>
    </row>
    <row r="867" ht="15" customHeight="1">
      <c r="A867" s="26" t="n"/>
      <c r="B867" s="26" t="n"/>
      <c r="C867" s="26" t="n"/>
      <c r="D867" s="26" t="n"/>
      <c r="E867" s="26" t="n"/>
      <c r="F867" s="26" t="n"/>
      <c r="G867" s="26" t="n"/>
    </row>
    <row r="868" ht="15" customHeight="1">
      <c r="A868" s="26" t="n"/>
      <c r="B868" s="26" t="n"/>
      <c r="C868" s="26" t="n"/>
      <c r="D868" s="26" t="n"/>
      <c r="E868" s="26" t="n"/>
      <c r="F868" s="26" t="n"/>
      <c r="G868" s="26" t="n"/>
    </row>
    <row r="869" ht="15" customHeight="1">
      <c r="A869" s="26" t="n"/>
      <c r="B869" s="26" t="n"/>
      <c r="C869" s="26" t="n"/>
      <c r="D869" s="26" t="n"/>
      <c r="E869" s="26" t="n"/>
      <c r="F869" s="26" t="n"/>
      <c r="G869" s="26" t="n"/>
    </row>
    <row r="870" ht="15" customHeight="1">
      <c r="A870" s="26" t="n"/>
      <c r="B870" s="26" t="n"/>
      <c r="C870" s="26" t="n"/>
      <c r="D870" s="26" t="n"/>
      <c r="E870" s="26" t="n"/>
      <c r="F870" s="26" t="n"/>
      <c r="G870" s="26" t="n"/>
    </row>
    <row r="871" ht="15" customHeight="1">
      <c r="A871" s="26" t="n"/>
      <c r="B871" s="26" t="n"/>
      <c r="C871" s="26" t="n"/>
      <c r="D871" s="26" t="n"/>
      <c r="E871" s="26" t="n"/>
      <c r="F871" s="26" t="n"/>
      <c r="G871" s="26" t="n"/>
    </row>
    <row r="872" ht="15" customHeight="1">
      <c r="A872" s="26" t="n"/>
      <c r="B872" s="26" t="n"/>
      <c r="C872" s="26" t="n"/>
      <c r="D872" s="26" t="n"/>
      <c r="E872" s="26" t="n"/>
      <c r="F872" s="26" t="n"/>
      <c r="G872" s="26" t="n"/>
    </row>
    <row r="873" ht="15" customHeight="1">
      <c r="A873" s="26" t="n"/>
      <c r="B873" s="26" t="n"/>
      <c r="C873" s="26" t="n"/>
      <c r="D873" s="26" t="n"/>
      <c r="E873" s="26" t="n"/>
      <c r="F873" s="26" t="n"/>
      <c r="G873" s="26" t="n"/>
    </row>
    <row r="874" ht="15" customHeight="1">
      <c r="A874" s="26" t="n"/>
      <c r="B874" s="26" t="n"/>
      <c r="C874" s="26" t="n"/>
      <c r="D874" s="26" t="n"/>
      <c r="E874" s="26" t="n"/>
      <c r="F874" s="26" t="n"/>
      <c r="G874" s="26" t="n"/>
    </row>
    <row r="875" ht="15" customHeight="1">
      <c r="A875" s="26" t="n"/>
      <c r="B875" s="26" t="n"/>
      <c r="C875" s="26" t="n"/>
      <c r="D875" s="26" t="n"/>
      <c r="E875" s="26" t="n"/>
      <c r="F875" s="26" t="n"/>
      <c r="G875" s="26" t="n"/>
    </row>
    <row r="876" ht="15" customHeight="1">
      <c r="A876" s="26" t="n"/>
      <c r="B876" s="26" t="n"/>
      <c r="C876" s="26" t="n"/>
      <c r="D876" s="26" t="n"/>
      <c r="E876" s="26" t="n"/>
      <c r="F876" s="26" t="n"/>
      <c r="G876" s="26" t="n"/>
    </row>
    <row r="877" ht="15" customHeight="1">
      <c r="A877" s="26" t="n"/>
      <c r="B877" s="26" t="n"/>
      <c r="C877" s="26" t="n"/>
      <c r="D877" s="26" t="n"/>
      <c r="E877" s="26" t="n"/>
      <c r="F877" s="26" t="n"/>
      <c r="G877" s="26" t="n"/>
    </row>
    <row r="878" ht="15" customHeight="1">
      <c r="A878" s="26" t="n"/>
      <c r="B878" s="26" t="n"/>
      <c r="C878" s="26" t="n"/>
      <c r="D878" s="26" t="n"/>
      <c r="E878" s="26" t="n"/>
      <c r="F878" s="26" t="n"/>
      <c r="G878" s="26" t="n"/>
    </row>
    <row r="879" ht="15" customHeight="1">
      <c r="A879" s="26" t="n"/>
      <c r="B879" s="26" t="n"/>
      <c r="C879" s="26" t="n"/>
      <c r="D879" s="26" t="n"/>
      <c r="E879" s="26" t="n"/>
      <c r="F879" s="26" t="n"/>
      <c r="G879" s="26" t="n"/>
    </row>
    <row r="880" ht="15" customHeight="1">
      <c r="A880" s="26" t="n"/>
      <c r="B880" s="26" t="n"/>
      <c r="C880" s="26" t="n"/>
      <c r="D880" s="26" t="n"/>
      <c r="E880" s="26" t="n"/>
      <c r="F880" s="26" t="n"/>
      <c r="G880" s="26" t="n"/>
    </row>
    <row r="881" ht="15" customHeight="1">
      <c r="A881" s="26" t="n"/>
      <c r="B881" s="26" t="n"/>
      <c r="C881" s="26" t="n"/>
      <c r="D881" s="26" t="n"/>
      <c r="E881" s="26" t="n"/>
      <c r="F881" s="26" t="n"/>
      <c r="G881" s="26" t="n"/>
    </row>
    <row r="882" ht="15" customHeight="1">
      <c r="A882" s="26" t="n"/>
      <c r="B882" s="26" t="n"/>
      <c r="C882" s="26" t="n"/>
      <c r="D882" s="26" t="n"/>
      <c r="E882" s="26" t="n"/>
      <c r="F882" s="26" t="n"/>
      <c r="G882" s="26" t="n"/>
    </row>
    <row r="883" ht="15" customHeight="1">
      <c r="A883" s="26" t="n"/>
      <c r="B883" s="26" t="n"/>
      <c r="C883" s="26" t="n"/>
      <c r="D883" s="26" t="n"/>
      <c r="E883" s="26" t="n"/>
      <c r="F883" s="26" t="n"/>
      <c r="G883" s="26" t="n"/>
    </row>
    <row r="884" ht="15" customHeight="1">
      <c r="A884" s="26" t="n"/>
      <c r="B884" s="26" t="n"/>
      <c r="C884" s="26" t="n"/>
      <c r="D884" s="26" t="n"/>
      <c r="E884" s="26" t="n"/>
      <c r="F884" s="26" t="n"/>
      <c r="G884" s="26" t="n"/>
    </row>
    <row r="885" ht="15" customHeight="1">
      <c r="A885" s="26" t="n"/>
      <c r="B885" s="26" t="n"/>
      <c r="C885" s="26" t="n"/>
      <c r="D885" s="26" t="n"/>
      <c r="E885" s="26" t="n"/>
      <c r="F885" s="26" t="n"/>
      <c r="G885" s="26" t="n"/>
    </row>
    <row r="886" ht="15" customHeight="1">
      <c r="A886" s="26" t="n"/>
      <c r="B886" s="26" t="n"/>
      <c r="C886" s="26" t="n"/>
      <c r="D886" s="26" t="n"/>
      <c r="E886" s="26" t="n"/>
      <c r="F886" s="26" t="n"/>
      <c r="G886" s="26" t="n"/>
    </row>
    <row r="887" ht="15" customHeight="1">
      <c r="A887" s="26" t="n"/>
      <c r="B887" s="26" t="n"/>
      <c r="C887" s="26" t="n"/>
      <c r="D887" s="26" t="n"/>
      <c r="E887" s="26" t="n"/>
      <c r="F887" s="26" t="n"/>
      <c r="G887" s="26" t="n"/>
    </row>
    <row r="888" ht="15" customHeight="1">
      <c r="A888" s="26" t="n"/>
      <c r="B888" s="26" t="n"/>
      <c r="C888" s="26" t="n"/>
      <c r="D888" s="26" t="n"/>
      <c r="E888" s="26" t="n"/>
      <c r="F888" s="26" t="n"/>
      <c r="G888" s="26" t="n"/>
    </row>
    <row r="889" ht="15" customHeight="1">
      <c r="A889" s="26" t="n"/>
      <c r="B889" s="26" t="n"/>
      <c r="C889" s="26" t="n"/>
      <c r="D889" s="26" t="n"/>
      <c r="E889" s="26" t="n"/>
      <c r="F889" s="26" t="n"/>
      <c r="G889" s="26" t="n"/>
    </row>
    <row r="890" ht="15" customHeight="1">
      <c r="A890" s="26" t="n"/>
      <c r="B890" s="26" t="n"/>
      <c r="C890" s="26" t="n"/>
      <c r="D890" s="26" t="n"/>
      <c r="E890" s="26" t="n"/>
      <c r="F890" s="26" t="n"/>
      <c r="G890" s="26" t="n"/>
    </row>
    <row r="891" ht="15" customHeight="1">
      <c r="A891" s="26" t="n"/>
      <c r="B891" s="26" t="n"/>
      <c r="C891" s="26" t="n"/>
      <c r="D891" s="26" t="n"/>
      <c r="E891" s="26" t="n"/>
      <c r="F891" s="26" t="n"/>
      <c r="G891" s="26" t="n"/>
    </row>
    <row r="892" ht="15" customHeight="1">
      <c r="A892" s="26" t="n"/>
      <c r="B892" s="26" t="n"/>
      <c r="C892" s="26" t="n"/>
      <c r="D892" s="26" t="n"/>
      <c r="E892" s="26" t="n"/>
      <c r="F892" s="26" t="n"/>
      <c r="G892" s="26" t="n"/>
    </row>
    <row r="893" ht="15" customHeight="1">
      <c r="A893" s="26" t="n"/>
      <c r="B893" s="26" t="n"/>
      <c r="C893" s="26" t="n"/>
      <c r="D893" s="26" t="n"/>
      <c r="E893" s="26" t="n"/>
      <c r="F893" s="26" t="n"/>
      <c r="G893" s="26" t="n"/>
    </row>
    <row r="894" ht="15" customHeight="1">
      <c r="A894" s="26" t="n"/>
      <c r="B894" s="26" t="n"/>
      <c r="C894" s="26" t="n"/>
      <c r="D894" s="26" t="n"/>
      <c r="E894" s="26" t="n"/>
      <c r="F894" s="26" t="n"/>
      <c r="G894" s="26" t="n"/>
    </row>
    <row r="895" ht="15" customHeight="1">
      <c r="A895" s="26" t="n"/>
      <c r="B895" s="26" t="n"/>
      <c r="C895" s="26" t="n"/>
      <c r="D895" s="26" t="n"/>
      <c r="E895" s="26" t="n"/>
      <c r="F895" s="26" t="n"/>
      <c r="G895" s="26" t="n"/>
    </row>
    <row r="896" ht="15" customHeight="1">
      <c r="A896" s="26" t="n"/>
      <c r="B896" s="26" t="n"/>
      <c r="C896" s="26" t="n"/>
      <c r="D896" s="26" t="n"/>
      <c r="E896" s="26" t="n"/>
      <c r="F896" s="26" t="n"/>
      <c r="G896" s="26" t="n"/>
    </row>
    <row r="897" ht="15" customHeight="1">
      <c r="A897" s="26" t="n"/>
      <c r="B897" s="26" t="n"/>
      <c r="C897" s="26" t="n"/>
      <c r="D897" s="26" t="n"/>
      <c r="E897" s="26" t="n"/>
      <c r="F897" s="26" t="n"/>
      <c r="G897" s="26" t="n"/>
    </row>
    <row r="898" ht="15" customHeight="1">
      <c r="A898" s="26" t="n"/>
      <c r="B898" s="26" t="n"/>
      <c r="C898" s="26" t="n"/>
      <c r="D898" s="26" t="n"/>
      <c r="E898" s="26" t="n"/>
      <c r="F898" s="26" t="n"/>
      <c r="G898" s="26" t="n"/>
    </row>
    <row r="899" ht="15" customHeight="1">
      <c r="A899" s="26" t="n"/>
      <c r="B899" s="26" t="n"/>
      <c r="C899" s="26" t="n"/>
      <c r="D899" s="26" t="n"/>
      <c r="E899" s="26" t="n"/>
      <c r="F899" s="26" t="n"/>
      <c r="G899" s="26" t="n"/>
    </row>
    <row r="900" ht="15" customHeight="1">
      <c r="A900" s="26" t="n"/>
      <c r="B900" s="26" t="n"/>
      <c r="C900" s="26" t="n"/>
      <c r="D900" s="26" t="n"/>
      <c r="E900" s="26" t="n"/>
      <c r="F900" s="26" t="n"/>
      <c r="G900" s="26" t="n"/>
    </row>
    <row r="901" ht="15" customHeight="1">
      <c r="A901" s="26" t="n"/>
      <c r="B901" s="26" t="n"/>
      <c r="C901" s="26" t="n"/>
      <c r="D901" s="26" t="n"/>
      <c r="E901" s="26" t="n"/>
      <c r="F901" s="26" t="n"/>
      <c r="G901" s="26" t="n"/>
    </row>
    <row r="902" ht="15" customHeight="1">
      <c r="A902" s="26" t="n"/>
      <c r="B902" s="26" t="n"/>
      <c r="C902" s="26" t="n"/>
      <c r="D902" s="26" t="n"/>
      <c r="E902" s="26" t="n"/>
      <c r="F902" s="26" t="n"/>
      <c r="G902" s="26" t="n"/>
    </row>
    <row r="903" ht="15" customHeight="1">
      <c r="A903" s="26" t="n"/>
      <c r="B903" s="26" t="n"/>
      <c r="C903" s="26" t="n"/>
      <c r="D903" s="26" t="n"/>
      <c r="E903" s="26" t="n"/>
      <c r="F903" s="26" t="n"/>
      <c r="G903" s="26" t="n"/>
    </row>
    <row r="904" ht="15" customHeight="1">
      <c r="A904" s="26" t="n"/>
      <c r="B904" s="26" t="n"/>
      <c r="C904" s="26" t="n"/>
      <c r="D904" s="26" t="n"/>
      <c r="E904" s="26" t="n"/>
      <c r="F904" s="26" t="n"/>
      <c r="G904" s="26" t="n"/>
    </row>
    <row r="905" ht="15" customHeight="1">
      <c r="A905" s="26" t="n"/>
      <c r="B905" s="26" t="n"/>
      <c r="C905" s="26" t="n"/>
      <c r="D905" s="26" t="n"/>
      <c r="E905" s="26" t="n"/>
      <c r="F905" s="26" t="n"/>
      <c r="G905" s="26" t="n"/>
    </row>
    <row r="906" ht="15" customHeight="1">
      <c r="A906" s="26" t="n"/>
      <c r="B906" s="26" t="n"/>
      <c r="C906" s="26" t="n"/>
      <c r="D906" s="26" t="n"/>
      <c r="E906" s="26" t="n"/>
      <c r="F906" s="26" t="n"/>
      <c r="G906" s="26" t="n"/>
    </row>
    <row r="907" ht="15" customHeight="1">
      <c r="A907" s="26" t="n"/>
      <c r="B907" s="26" t="n"/>
      <c r="C907" s="26" t="n"/>
      <c r="D907" s="26" t="n"/>
      <c r="E907" s="26" t="n"/>
      <c r="F907" s="26" t="n"/>
      <c r="G907" s="26" t="n"/>
    </row>
    <row r="908" ht="15" customHeight="1">
      <c r="A908" s="26" t="n"/>
      <c r="B908" s="26" t="n"/>
      <c r="C908" s="26" t="n"/>
      <c r="D908" s="26" t="n"/>
      <c r="E908" s="26" t="n"/>
      <c r="F908" s="26" t="n"/>
      <c r="G908" s="26" t="n"/>
    </row>
    <row r="909" ht="15" customHeight="1">
      <c r="A909" s="26" t="n"/>
      <c r="B909" s="26" t="n"/>
      <c r="C909" s="26" t="n"/>
      <c r="D909" s="26" t="n"/>
      <c r="E909" s="26" t="n"/>
      <c r="F909" s="26" t="n"/>
      <c r="G909" s="26" t="n"/>
    </row>
    <row r="910" ht="15" customHeight="1">
      <c r="A910" s="26" t="n"/>
      <c r="B910" s="26" t="n"/>
      <c r="C910" s="26" t="n"/>
      <c r="D910" s="26" t="n"/>
      <c r="E910" s="26" t="n"/>
      <c r="F910" s="26" t="n"/>
      <c r="G910" s="26" t="n"/>
    </row>
    <row r="911" ht="15" customHeight="1">
      <c r="A911" s="26" t="n"/>
      <c r="B911" s="26" t="n"/>
      <c r="C911" s="26" t="n"/>
      <c r="D911" s="26" t="n"/>
      <c r="E911" s="26" t="n"/>
      <c r="F911" s="26" t="n"/>
      <c r="G911" s="26" t="n"/>
    </row>
    <row r="912" ht="15" customHeight="1">
      <c r="A912" s="26" t="n"/>
      <c r="B912" s="26" t="n"/>
      <c r="C912" s="26" t="n"/>
      <c r="D912" s="26" t="n"/>
      <c r="E912" s="26" t="n"/>
      <c r="F912" s="26" t="n"/>
      <c r="G912" s="26" t="n"/>
    </row>
    <row r="913" ht="15" customHeight="1">
      <c r="A913" s="26" t="n"/>
      <c r="B913" s="26" t="n"/>
      <c r="C913" s="26" t="n"/>
      <c r="D913" s="26" t="n"/>
      <c r="E913" s="26" t="n"/>
      <c r="F913" s="26" t="n"/>
      <c r="G913" s="26" t="n"/>
    </row>
    <row r="914" ht="15" customHeight="1">
      <c r="A914" s="26" t="n"/>
      <c r="B914" s="26" t="n"/>
      <c r="C914" s="26" t="n"/>
      <c r="D914" s="26" t="n"/>
      <c r="E914" s="26" t="n"/>
      <c r="F914" s="26" t="n"/>
      <c r="G914" s="26" t="n"/>
    </row>
    <row r="915" ht="15" customHeight="1">
      <c r="A915" s="26" t="n"/>
      <c r="B915" s="26" t="n"/>
      <c r="C915" s="26" t="n"/>
      <c r="D915" s="26" t="n"/>
      <c r="E915" s="26" t="n"/>
      <c r="F915" s="26" t="n"/>
      <c r="G915" s="26" t="n"/>
    </row>
    <row r="916" ht="15" customHeight="1">
      <c r="A916" s="26" t="n"/>
      <c r="B916" s="26" t="n"/>
      <c r="C916" s="26" t="n"/>
      <c r="D916" s="26" t="n"/>
      <c r="E916" s="26" t="n"/>
      <c r="F916" s="26" t="n"/>
      <c r="G916" s="26" t="n"/>
    </row>
    <row r="917" ht="15" customHeight="1">
      <c r="A917" s="26" t="n"/>
      <c r="B917" s="26" t="n"/>
      <c r="C917" s="26" t="n"/>
      <c r="D917" s="26" t="n"/>
      <c r="E917" s="26" t="n"/>
      <c r="F917" s="26" t="n"/>
      <c r="G917" s="26" t="n"/>
    </row>
    <row r="918" ht="15" customHeight="1">
      <c r="A918" s="26" t="n"/>
      <c r="B918" s="26" t="n"/>
      <c r="C918" s="26" t="n"/>
      <c r="D918" s="26" t="n"/>
      <c r="E918" s="26" t="n"/>
      <c r="F918" s="26" t="n"/>
      <c r="G918" s="26" t="n"/>
    </row>
    <row r="919" ht="15" customHeight="1">
      <c r="A919" s="26" t="n"/>
      <c r="B919" s="26" t="n"/>
      <c r="C919" s="26" t="n"/>
      <c r="D919" s="26" t="n"/>
      <c r="E919" s="26" t="n"/>
      <c r="F919" s="26" t="n"/>
      <c r="G919" s="26" t="n"/>
    </row>
    <row r="920" ht="15" customHeight="1">
      <c r="A920" s="26" t="n"/>
      <c r="B920" s="26" t="n"/>
      <c r="C920" s="26" t="n"/>
      <c r="D920" s="26" t="n"/>
      <c r="E920" s="26" t="n"/>
      <c r="F920" s="26" t="n"/>
      <c r="G920" s="26" t="n"/>
    </row>
    <row r="921" ht="15" customHeight="1">
      <c r="A921" s="26" t="n"/>
      <c r="B921" s="26" t="n"/>
      <c r="C921" s="26" t="n"/>
      <c r="D921" s="26" t="n"/>
      <c r="E921" s="26" t="n"/>
      <c r="F921" s="26" t="n"/>
      <c r="G921" s="26" t="n"/>
    </row>
    <row r="922" ht="15" customHeight="1">
      <c r="A922" s="26" t="n"/>
      <c r="B922" s="26" t="n"/>
      <c r="C922" s="26" t="n"/>
      <c r="D922" s="26" t="n"/>
      <c r="E922" s="26" t="n"/>
      <c r="F922" s="26" t="n"/>
      <c r="G922" s="26" t="n"/>
    </row>
    <row r="923" ht="15" customHeight="1">
      <c r="A923" s="26" t="n"/>
      <c r="B923" s="26" t="n"/>
      <c r="C923" s="26" t="n"/>
      <c r="D923" s="26" t="n"/>
      <c r="E923" s="26" t="n"/>
      <c r="F923" s="26" t="n"/>
      <c r="G923" s="26" t="n"/>
    </row>
    <row r="924" ht="15" customHeight="1">
      <c r="A924" s="26" t="n"/>
      <c r="B924" s="26" t="n"/>
      <c r="C924" s="26" t="n"/>
      <c r="D924" s="26" t="n"/>
      <c r="E924" s="26" t="n"/>
      <c r="F924" s="26" t="n"/>
      <c r="G924" s="26" t="n"/>
    </row>
    <row r="925" ht="15" customHeight="1">
      <c r="A925" s="26" t="n"/>
      <c r="B925" s="26" t="n"/>
      <c r="C925" s="26" t="n"/>
      <c r="D925" s="26" t="n"/>
      <c r="E925" s="26" t="n"/>
      <c r="F925" s="26" t="n"/>
      <c r="G925" s="26" t="n"/>
    </row>
    <row r="926" ht="15" customHeight="1">
      <c r="A926" s="26" t="n"/>
      <c r="B926" s="26" t="n"/>
      <c r="C926" s="26" t="n"/>
      <c r="D926" s="26" t="n"/>
      <c r="E926" s="26" t="n"/>
      <c r="F926" s="26" t="n"/>
      <c r="G926" s="26" t="n"/>
    </row>
    <row r="927" ht="15" customHeight="1">
      <c r="A927" s="26" t="n"/>
      <c r="B927" s="26" t="n"/>
      <c r="C927" s="26" t="n"/>
      <c r="D927" s="26" t="n"/>
      <c r="E927" s="26" t="n"/>
      <c r="F927" s="26" t="n"/>
      <c r="G927" s="26" t="n"/>
    </row>
    <row r="928" ht="15" customHeight="1">
      <c r="A928" s="26" t="n"/>
      <c r="B928" s="26" t="n"/>
      <c r="C928" s="26" t="n"/>
      <c r="D928" s="26" t="n"/>
      <c r="E928" s="26" t="n"/>
      <c r="F928" s="26" t="n"/>
      <c r="G928" s="26" t="n"/>
    </row>
    <row r="929" ht="15" customHeight="1">
      <c r="A929" s="26" t="n"/>
      <c r="B929" s="26" t="n"/>
      <c r="C929" s="26" t="n"/>
      <c r="D929" s="26" t="n"/>
      <c r="E929" s="26" t="n"/>
      <c r="F929" s="26" t="n"/>
      <c r="G929" s="26" t="n"/>
    </row>
    <row r="930" ht="15" customHeight="1">
      <c r="A930" s="26" t="n"/>
      <c r="B930" s="26" t="n"/>
      <c r="C930" s="26" t="n"/>
      <c r="D930" s="26" t="n"/>
      <c r="E930" s="26" t="n"/>
      <c r="F930" s="26" t="n"/>
      <c r="G930" s="26" t="n"/>
    </row>
    <row r="931" ht="15" customHeight="1">
      <c r="A931" s="26" t="n"/>
      <c r="B931" s="26" t="n"/>
      <c r="C931" s="26" t="n"/>
      <c r="D931" s="26" t="n"/>
      <c r="E931" s="26" t="n"/>
      <c r="F931" s="26" t="n"/>
      <c r="G931" s="26" t="n"/>
    </row>
    <row r="932" ht="15" customHeight="1">
      <c r="A932" s="26" t="n"/>
      <c r="B932" s="26" t="n"/>
      <c r="C932" s="26" t="n"/>
      <c r="D932" s="26" t="n"/>
      <c r="E932" s="26" t="n"/>
      <c r="F932" s="26" t="n"/>
      <c r="G932" s="26" t="n"/>
    </row>
    <row r="933" ht="15" customHeight="1">
      <c r="A933" s="26" t="n"/>
      <c r="B933" s="26" t="n"/>
      <c r="C933" s="26" t="n"/>
      <c r="D933" s="26" t="n"/>
      <c r="E933" s="26" t="n"/>
      <c r="F933" s="26" t="n"/>
      <c r="G933" s="26" t="n"/>
    </row>
    <row r="934" ht="15" customHeight="1">
      <c r="A934" s="26" t="n"/>
      <c r="B934" s="26" t="n"/>
      <c r="C934" s="26" t="n"/>
      <c r="D934" s="26" t="n"/>
      <c r="E934" s="26" t="n"/>
      <c r="F934" s="26" t="n"/>
      <c r="G934" s="26" t="n"/>
    </row>
    <row r="935" ht="15" customHeight="1">
      <c r="A935" s="26" t="n"/>
      <c r="B935" s="26" t="n"/>
      <c r="C935" s="26" t="n"/>
      <c r="D935" s="26" t="n"/>
      <c r="E935" s="26" t="n"/>
      <c r="F935" s="26" t="n"/>
      <c r="G935" s="26" t="n"/>
    </row>
    <row r="936" ht="15" customHeight="1">
      <c r="A936" s="26" t="n"/>
      <c r="B936" s="26" t="n"/>
      <c r="C936" s="26" t="n"/>
      <c r="D936" s="26" t="n"/>
      <c r="E936" s="26" t="n"/>
      <c r="F936" s="26" t="n"/>
      <c r="G936" s="26" t="n"/>
    </row>
    <row r="937" ht="15" customHeight="1">
      <c r="A937" s="26" t="n"/>
      <c r="B937" s="26" t="n"/>
      <c r="C937" s="26" t="n"/>
      <c r="D937" s="26" t="n"/>
      <c r="E937" s="26" t="n"/>
      <c r="F937" s="26" t="n"/>
      <c r="G937" s="26" t="n"/>
    </row>
    <row r="938" ht="15" customHeight="1">
      <c r="A938" s="26" t="n"/>
      <c r="B938" s="26" t="n"/>
      <c r="C938" s="26" t="n"/>
      <c r="D938" s="26" t="n"/>
      <c r="E938" s="26" t="n"/>
      <c r="F938" s="26" t="n"/>
      <c r="G938" s="26" t="n"/>
    </row>
    <row r="939" ht="15" customHeight="1">
      <c r="A939" s="26" t="n"/>
      <c r="B939" s="26" t="n"/>
      <c r="C939" s="26" t="n"/>
      <c r="D939" s="26" t="n"/>
      <c r="E939" s="26" t="n"/>
      <c r="F939" s="26" t="n"/>
      <c r="G939" s="26" t="n"/>
    </row>
    <row r="940" ht="15" customHeight="1">
      <c r="A940" s="26" t="n"/>
      <c r="B940" s="26" t="n"/>
      <c r="C940" s="26" t="n"/>
      <c r="D940" s="26" t="n"/>
      <c r="E940" s="26" t="n"/>
      <c r="F940" s="26" t="n"/>
      <c r="G940" s="26" t="n"/>
    </row>
    <row r="941" ht="15" customHeight="1">
      <c r="A941" s="26" t="n"/>
      <c r="B941" s="26" t="n"/>
      <c r="C941" s="26" t="n"/>
      <c r="D941" s="26" t="n"/>
      <c r="E941" s="26" t="n"/>
      <c r="F941" s="26" t="n"/>
      <c r="G941" s="26" t="n"/>
    </row>
    <row r="942" ht="15" customHeight="1">
      <c r="A942" s="26" t="n"/>
      <c r="B942" s="26" t="n"/>
      <c r="C942" s="26" t="n"/>
      <c r="D942" s="26" t="n"/>
      <c r="E942" s="26" t="n"/>
      <c r="F942" s="26" t="n"/>
      <c r="G942" s="26" t="n"/>
    </row>
    <row r="943" ht="15" customHeight="1">
      <c r="A943" s="26" t="n"/>
      <c r="B943" s="26" t="n"/>
      <c r="C943" s="26" t="n"/>
      <c r="D943" s="26" t="n"/>
      <c r="E943" s="26" t="n"/>
      <c r="F943" s="26" t="n"/>
      <c r="G943" s="26" t="n"/>
    </row>
    <row r="944" ht="15" customHeight="1">
      <c r="A944" s="26" t="n"/>
      <c r="B944" s="26" t="n"/>
      <c r="C944" s="26" t="n"/>
      <c r="D944" s="26" t="n"/>
      <c r="E944" s="26" t="n"/>
      <c r="F944" s="26" t="n"/>
      <c r="G944" s="26" t="n"/>
    </row>
    <row r="945" ht="15" customHeight="1">
      <c r="A945" s="26" t="n"/>
      <c r="B945" s="26" t="n"/>
      <c r="C945" s="26" t="n"/>
      <c r="D945" s="26" t="n"/>
      <c r="E945" s="26" t="n"/>
      <c r="F945" s="26" t="n"/>
      <c r="G945" s="26" t="n"/>
    </row>
    <row r="946" ht="15" customHeight="1">
      <c r="A946" s="26" t="n"/>
      <c r="B946" s="26" t="n"/>
      <c r="C946" s="26" t="n"/>
      <c r="D946" s="26" t="n"/>
      <c r="E946" s="26" t="n"/>
      <c r="F946" s="26" t="n"/>
      <c r="G946" s="26" t="n"/>
    </row>
    <row r="947" ht="15" customHeight="1">
      <c r="A947" s="26" t="n"/>
      <c r="B947" s="26" t="n"/>
      <c r="C947" s="26" t="n"/>
      <c r="D947" s="26" t="n"/>
      <c r="E947" s="26" t="n"/>
      <c r="F947" s="26" t="n"/>
      <c r="G947" s="26" t="n"/>
    </row>
    <row r="948" ht="15" customHeight="1">
      <c r="A948" s="26" t="n"/>
      <c r="B948" s="26" t="n"/>
      <c r="C948" s="26" t="n"/>
      <c r="D948" s="26" t="n"/>
      <c r="E948" s="26" t="n"/>
      <c r="F948" s="26" t="n"/>
      <c r="G948" s="26" t="n"/>
    </row>
    <row r="949" ht="15" customHeight="1">
      <c r="A949" s="26" t="n"/>
      <c r="B949" s="26" t="n"/>
      <c r="C949" s="26" t="n"/>
      <c r="D949" s="26" t="n"/>
      <c r="E949" s="26" t="n"/>
      <c r="F949" s="26" t="n"/>
      <c r="G949" s="26" t="n"/>
    </row>
    <row r="950" ht="15" customHeight="1">
      <c r="A950" s="26" t="n"/>
      <c r="B950" s="26" t="n"/>
      <c r="C950" s="26" t="n"/>
      <c r="D950" s="26" t="n"/>
      <c r="E950" s="26" t="n"/>
      <c r="F950" s="26" t="n"/>
      <c r="G950" s="26" t="n"/>
    </row>
    <row r="951" ht="15" customHeight="1">
      <c r="A951" s="26" t="n"/>
      <c r="B951" s="26" t="n"/>
      <c r="C951" s="26" t="n"/>
      <c r="D951" s="26" t="n"/>
      <c r="E951" s="26" t="n"/>
      <c r="F951" s="26" t="n"/>
      <c r="G951" s="26" t="n"/>
    </row>
    <row r="952" ht="15" customHeight="1">
      <c r="A952" s="26" t="n"/>
      <c r="B952" s="26" t="n"/>
      <c r="C952" s="26" t="n"/>
      <c r="D952" s="26" t="n"/>
      <c r="E952" s="26" t="n"/>
      <c r="F952" s="26" t="n"/>
      <c r="G952" s="26" t="n"/>
    </row>
    <row r="953" ht="15" customHeight="1">
      <c r="A953" s="26" t="n"/>
      <c r="B953" s="26" t="n"/>
      <c r="C953" s="26" t="n"/>
      <c r="D953" s="26" t="n"/>
      <c r="E953" s="26" t="n"/>
      <c r="F953" s="26" t="n"/>
      <c r="G953" s="26" t="n"/>
    </row>
    <row r="954" ht="15" customHeight="1">
      <c r="A954" s="26" t="n"/>
      <c r="B954" s="26" t="n"/>
      <c r="C954" s="26" t="n"/>
      <c r="D954" s="26" t="n"/>
      <c r="E954" s="26" t="n"/>
      <c r="F954" s="26" t="n"/>
      <c r="G954" s="26" t="n"/>
    </row>
    <row r="955" ht="15" customHeight="1">
      <c r="A955" s="26" t="n"/>
      <c r="B955" s="26" t="n"/>
      <c r="C955" s="26" t="n"/>
      <c r="D955" s="26" t="n"/>
      <c r="E955" s="26" t="n"/>
      <c r="F955" s="26" t="n"/>
      <c r="G955" s="26" t="n"/>
    </row>
    <row r="956" ht="15" customHeight="1">
      <c r="A956" s="26" t="n"/>
      <c r="B956" s="26" t="n"/>
      <c r="C956" s="26" t="n"/>
      <c r="D956" s="26" t="n"/>
      <c r="E956" s="26" t="n"/>
      <c r="F956" s="26" t="n"/>
      <c r="G956" s="26" t="n"/>
    </row>
    <row r="957" ht="15" customHeight="1">
      <c r="A957" s="26" t="n"/>
      <c r="B957" s="26" t="n"/>
      <c r="C957" s="26" t="n"/>
      <c r="D957" s="26" t="n"/>
      <c r="E957" s="26" t="n"/>
      <c r="F957" s="26" t="n"/>
      <c r="G957" s="26" t="n"/>
    </row>
    <row r="958" ht="15" customHeight="1">
      <c r="A958" s="26" t="n"/>
      <c r="B958" s="26" t="n"/>
      <c r="C958" s="26" t="n"/>
      <c r="D958" s="26" t="n"/>
      <c r="E958" s="26" t="n"/>
      <c r="F958" s="26" t="n"/>
      <c r="G958" s="26" t="n"/>
    </row>
    <row r="959" ht="15" customHeight="1">
      <c r="A959" s="26" t="n"/>
      <c r="B959" s="26" t="n"/>
      <c r="C959" s="26" t="n"/>
      <c r="D959" s="26" t="n"/>
      <c r="E959" s="26" t="n"/>
      <c r="F959" s="26" t="n"/>
      <c r="G959" s="26" t="n"/>
    </row>
    <row r="960" ht="15" customHeight="1">
      <c r="A960" s="26" t="n"/>
      <c r="B960" s="26" t="n"/>
      <c r="C960" s="26" t="n"/>
      <c r="D960" s="26" t="n"/>
      <c r="E960" s="26" t="n"/>
      <c r="F960" s="26" t="n"/>
      <c r="G960" s="26" t="n"/>
    </row>
    <row r="961" ht="15" customHeight="1">
      <c r="A961" s="26" t="n"/>
      <c r="B961" s="26" t="n"/>
      <c r="C961" s="26" t="n"/>
      <c r="D961" s="26" t="n"/>
      <c r="E961" s="26" t="n"/>
      <c r="F961" s="26" t="n"/>
      <c r="G961" s="26" t="n"/>
    </row>
    <row r="962" ht="15" customHeight="1">
      <c r="A962" s="26" t="n"/>
      <c r="B962" s="26" t="n"/>
      <c r="C962" s="26" t="n"/>
      <c r="D962" s="26" t="n"/>
      <c r="E962" s="26" t="n"/>
      <c r="F962" s="26" t="n"/>
      <c r="G962" s="26" t="n"/>
    </row>
    <row r="963" ht="15" customHeight="1">
      <c r="A963" s="26" t="n"/>
      <c r="B963" s="26" t="n"/>
      <c r="C963" s="26" t="n"/>
      <c r="D963" s="26" t="n"/>
      <c r="E963" s="26" t="n"/>
      <c r="F963" s="26" t="n"/>
      <c r="G963" s="26" t="n"/>
    </row>
    <row r="964" ht="15" customHeight="1">
      <c r="A964" s="26" t="n"/>
      <c r="B964" s="26" t="n"/>
      <c r="C964" s="26" t="n"/>
      <c r="D964" s="26" t="n"/>
      <c r="E964" s="26" t="n"/>
      <c r="F964" s="26" t="n"/>
      <c r="G964" s="26" t="n"/>
    </row>
    <row r="965" ht="15" customHeight="1">
      <c r="A965" s="26" t="n"/>
      <c r="B965" s="26" t="n"/>
      <c r="C965" s="26" t="n"/>
      <c r="D965" s="26" t="n"/>
      <c r="E965" s="26" t="n"/>
      <c r="F965" s="26" t="n"/>
      <c r="G965" s="26" t="n"/>
    </row>
    <row r="966" ht="15" customHeight="1">
      <c r="A966" s="26" t="n"/>
      <c r="B966" s="26" t="n"/>
      <c r="C966" s="26" t="n"/>
      <c r="D966" s="26" t="n"/>
      <c r="E966" s="26" t="n"/>
      <c r="F966" s="26" t="n"/>
      <c r="G966" s="26" t="n"/>
    </row>
    <row r="967" ht="15" customHeight="1">
      <c r="A967" s="26" t="n"/>
      <c r="B967" s="26" t="n"/>
      <c r="C967" s="26" t="n"/>
      <c r="D967" s="26" t="n"/>
      <c r="E967" s="26" t="n"/>
      <c r="F967" s="26" t="n"/>
      <c r="G967" s="26" t="n"/>
    </row>
    <row r="968" ht="15" customHeight="1">
      <c r="A968" s="26" t="n"/>
      <c r="B968" s="26" t="n"/>
      <c r="C968" s="26" t="n"/>
      <c r="D968" s="26" t="n"/>
      <c r="E968" s="26" t="n"/>
      <c r="F968" s="26" t="n"/>
      <c r="G968" s="26" t="n"/>
    </row>
    <row r="969" ht="15" customHeight="1">
      <c r="A969" s="26" t="n"/>
      <c r="B969" s="26" t="n"/>
      <c r="C969" s="26" t="n"/>
      <c r="D969" s="26" t="n"/>
      <c r="E969" s="26" t="n"/>
      <c r="F969" s="26" t="n"/>
      <c r="G969" s="26" t="n"/>
    </row>
    <row r="970" ht="15" customHeight="1">
      <c r="A970" s="26" t="n"/>
      <c r="B970" s="26" t="n"/>
      <c r="C970" s="26" t="n"/>
      <c r="D970" s="26" t="n"/>
      <c r="E970" s="26" t="n"/>
      <c r="F970" s="26" t="n"/>
      <c r="G970" s="26" t="n"/>
    </row>
    <row r="971" ht="15" customHeight="1">
      <c r="A971" s="26" t="n"/>
      <c r="B971" s="26" t="n"/>
      <c r="C971" s="26" t="n"/>
      <c r="D971" s="26" t="n"/>
      <c r="E971" s="26" t="n"/>
      <c r="F971" s="26" t="n"/>
      <c r="G971" s="26" t="n"/>
    </row>
    <row r="972" ht="15" customHeight="1">
      <c r="A972" s="26" t="n"/>
      <c r="B972" s="26" t="n"/>
      <c r="C972" s="26" t="n"/>
      <c r="D972" s="26" t="n"/>
      <c r="E972" s="26" t="n"/>
      <c r="F972" s="26" t="n"/>
      <c r="G972" s="26" t="n"/>
    </row>
    <row r="973" ht="15" customHeight="1">
      <c r="A973" s="26" t="n"/>
      <c r="B973" s="26" t="n"/>
      <c r="C973" s="26" t="n"/>
      <c r="D973" s="26" t="n"/>
      <c r="E973" s="26" t="n"/>
      <c r="F973" s="26" t="n"/>
      <c r="G973" s="26" t="n"/>
    </row>
    <row r="974" ht="15" customHeight="1">
      <c r="A974" s="26" t="n"/>
      <c r="B974" s="26" t="n"/>
      <c r="C974" s="26" t="n"/>
      <c r="D974" s="26" t="n"/>
      <c r="E974" s="26" t="n"/>
      <c r="F974" s="26" t="n"/>
      <c r="G974" s="26" t="n"/>
    </row>
    <row r="975" ht="15" customHeight="1">
      <c r="A975" s="26" t="n"/>
      <c r="B975" s="26" t="n"/>
      <c r="C975" s="26" t="n"/>
      <c r="D975" s="26" t="n"/>
      <c r="E975" s="26" t="n"/>
      <c r="F975" s="26" t="n"/>
      <c r="G975" s="26" t="n"/>
    </row>
    <row r="976" ht="15" customHeight="1">
      <c r="A976" s="26" t="n"/>
      <c r="B976" s="26" t="n"/>
      <c r="C976" s="26" t="n"/>
      <c r="D976" s="26" t="n"/>
      <c r="E976" s="26" t="n"/>
      <c r="F976" s="26" t="n"/>
      <c r="G976" s="26" t="n"/>
    </row>
    <row r="977" ht="15" customHeight="1">
      <c r="A977" s="26" t="n"/>
      <c r="B977" s="26" t="n"/>
      <c r="C977" s="26" t="n"/>
      <c r="D977" s="26" t="n"/>
      <c r="E977" s="26" t="n"/>
      <c r="F977" s="26" t="n"/>
      <c r="G977" s="26" t="n"/>
    </row>
    <row r="978" ht="15" customHeight="1">
      <c r="A978" s="26" t="n"/>
      <c r="B978" s="26" t="n"/>
      <c r="C978" s="26" t="n"/>
      <c r="D978" s="26" t="n"/>
      <c r="E978" s="26" t="n"/>
      <c r="F978" s="26" t="n"/>
      <c r="G978" s="26" t="n"/>
    </row>
    <row r="979" ht="15" customHeight="1">
      <c r="A979" s="26" t="n"/>
      <c r="B979" s="26" t="n"/>
      <c r="C979" s="26" t="n"/>
      <c r="D979" s="26" t="n"/>
      <c r="E979" s="26" t="n"/>
      <c r="F979" s="26" t="n"/>
      <c r="G979" s="26" t="n"/>
    </row>
    <row r="980" ht="15" customHeight="1">
      <c r="A980" s="26" t="n"/>
      <c r="B980" s="26" t="n"/>
      <c r="C980" s="26" t="n"/>
      <c r="D980" s="26" t="n"/>
      <c r="E980" s="26" t="n"/>
      <c r="F980" s="26" t="n"/>
      <c r="G980" s="26" t="n"/>
    </row>
    <row r="981" ht="15" customHeight="1">
      <c r="A981" s="26" t="n"/>
      <c r="B981" s="26" t="n"/>
      <c r="C981" s="26" t="n"/>
      <c r="D981" s="26" t="n"/>
      <c r="E981" s="26" t="n"/>
      <c r="F981" s="26" t="n"/>
      <c r="G981" s="26" t="n"/>
    </row>
    <row r="982" ht="15" customHeight="1">
      <c r="A982" s="26" t="n"/>
      <c r="B982" s="26" t="n"/>
      <c r="C982" s="26" t="n"/>
      <c r="D982" s="26" t="n"/>
      <c r="E982" s="26" t="n"/>
      <c r="F982" s="26" t="n"/>
      <c r="G982" s="26" t="n"/>
    </row>
    <row r="983" ht="15" customHeight="1">
      <c r="A983" s="26" t="n"/>
      <c r="B983" s="26" t="n"/>
      <c r="C983" s="26" t="n"/>
      <c r="D983" s="26" t="n"/>
      <c r="E983" s="26" t="n"/>
      <c r="F983" s="26" t="n"/>
      <c r="G983" s="26" t="n"/>
    </row>
    <row r="984" ht="15" customHeight="1">
      <c r="A984" s="26" t="n"/>
      <c r="B984" s="26" t="n"/>
      <c r="C984" s="26" t="n"/>
      <c r="D984" s="26" t="n"/>
      <c r="E984" s="26" t="n"/>
      <c r="F984" s="26" t="n"/>
      <c r="G984" s="26" t="n"/>
    </row>
    <row r="985" ht="15" customHeight="1">
      <c r="A985" s="26" t="n"/>
      <c r="B985" s="26" t="n"/>
      <c r="C985" s="26" t="n"/>
      <c r="D985" s="26" t="n"/>
      <c r="E985" s="26" t="n"/>
      <c r="F985" s="26" t="n"/>
      <c r="G985" s="26" t="n"/>
    </row>
    <row r="986" ht="15" customHeight="1">
      <c r="A986" s="26" t="n"/>
      <c r="B986" s="26" t="n"/>
      <c r="C986" s="26" t="n"/>
      <c r="D986" s="26" t="n"/>
      <c r="E986" s="26" t="n"/>
      <c r="F986" s="26" t="n"/>
      <c r="G986" s="26" t="n"/>
    </row>
    <row r="987" ht="15" customHeight="1">
      <c r="A987" s="26" t="n"/>
      <c r="B987" s="26" t="n"/>
      <c r="C987" s="26" t="n"/>
      <c r="D987" s="26" t="n"/>
      <c r="E987" s="26" t="n"/>
      <c r="F987" s="26" t="n"/>
      <c r="G987" s="26" t="n"/>
    </row>
    <row r="988" ht="15" customHeight="1">
      <c r="A988" s="26" t="n"/>
      <c r="B988" s="26" t="n"/>
      <c r="C988" s="26" t="n"/>
      <c r="D988" s="26" t="n"/>
      <c r="E988" s="26" t="n"/>
      <c r="F988" s="26" t="n"/>
      <c r="G988" s="26" t="n"/>
    </row>
    <row r="989" ht="15" customHeight="1">
      <c r="A989" s="26" t="n"/>
      <c r="B989" s="26" t="n"/>
      <c r="C989" s="26" t="n"/>
      <c r="D989" s="26" t="n"/>
      <c r="E989" s="26" t="n"/>
      <c r="F989" s="26" t="n"/>
      <c r="G989" s="26" t="n"/>
    </row>
    <row r="990" ht="15" customHeight="1">
      <c r="A990" s="26" t="n"/>
      <c r="B990" s="26" t="n"/>
      <c r="C990" s="26" t="n"/>
      <c r="D990" s="26" t="n"/>
      <c r="E990" s="26" t="n"/>
      <c r="F990" s="26" t="n"/>
      <c r="G990" s="26" t="n"/>
    </row>
    <row r="991" ht="15" customHeight="1">
      <c r="A991" s="26" t="n"/>
      <c r="B991" s="26" t="n"/>
      <c r="C991" s="26" t="n"/>
      <c r="D991" s="26" t="n"/>
      <c r="E991" s="26" t="n"/>
      <c r="F991" s="26" t="n"/>
      <c r="G991" s="26" t="n"/>
    </row>
    <row r="992" ht="15" customHeight="1">
      <c r="A992" s="26" t="n"/>
      <c r="B992" s="26" t="n"/>
      <c r="C992" s="26" t="n"/>
      <c r="D992" s="26" t="n"/>
      <c r="E992" s="26" t="n"/>
      <c r="F992" s="26" t="n"/>
      <c r="G992" s="26" t="n"/>
    </row>
    <row r="993" ht="15" customHeight="1">
      <c r="A993" s="26" t="n"/>
      <c r="B993" s="26" t="n"/>
      <c r="C993" s="26" t="n"/>
      <c r="D993" s="26" t="n"/>
      <c r="E993" s="26" t="n"/>
      <c r="F993" s="26" t="n"/>
      <c r="G993" s="26" t="n"/>
    </row>
    <row r="994" ht="15" customHeight="1">
      <c r="A994" s="26" t="n"/>
      <c r="B994" s="26" t="n"/>
      <c r="C994" s="26" t="n"/>
      <c r="D994" s="26" t="n"/>
      <c r="E994" s="26" t="n"/>
      <c r="F994" s="26" t="n"/>
      <c r="G994" s="26" t="n"/>
    </row>
    <row r="995" ht="15" customHeight="1">
      <c r="A995" s="26" t="n"/>
      <c r="B995" s="26" t="n"/>
      <c r="C995" s="26" t="n"/>
      <c r="D995" s="26" t="n"/>
      <c r="E995" s="26" t="n"/>
      <c r="F995" s="26" t="n"/>
      <c r="G995" s="26" t="n"/>
    </row>
    <row r="996" ht="15" customHeight="1">
      <c r="A996" s="26" t="n"/>
      <c r="B996" s="26" t="n"/>
      <c r="C996" s="26" t="n"/>
      <c r="D996" s="26" t="n"/>
      <c r="E996" s="26" t="n"/>
      <c r="F996" s="26" t="n"/>
      <c r="G996" s="26" t="n"/>
    </row>
    <row r="997" ht="15" customHeight="1">
      <c r="A997" s="26" t="n"/>
      <c r="B997" s="26" t="n"/>
      <c r="C997" s="26" t="n"/>
      <c r="D997" s="26" t="n"/>
      <c r="E997" s="26" t="n"/>
      <c r="F997" s="26" t="n"/>
      <c r="G997" s="26" t="n"/>
    </row>
    <row r="998" ht="15" customHeight="1">
      <c r="A998" s="26" t="n"/>
      <c r="B998" s="26" t="n"/>
      <c r="C998" s="26" t="n"/>
      <c r="D998" s="26" t="n"/>
      <c r="E998" s="26" t="n"/>
      <c r="F998" s="26" t="n"/>
      <c r="G998" s="26" t="n"/>
    </row>
    <row r="999" ht="15" customHeight="1">
      <c r="A999" s="26" t="n"/>
      <c r="B999" s="26" t="n"/>
      <c r="C999" s="26" t="n"/>
      <c r="D999" s="26" t="n"/>
      <c r="E999" s="26" t="n"/>
      <c r="F999" s="26" t="n"/>
      <c r="G999" s="26" t="n"/>
    </row>
    <row r="1000" ht="15" customHeight="1">
      <c r="A1000" s="26" t="n"/>
      <c r="B1000" s="26" t="n"/>
      <c r="C1000" s="26" t="n"/>
      <c r="D1000" s="26" t="n"/>
      <c r="E1000" s="26" t="n"/>
      <c r="F1000" s="26" t="n"/>
      <c r="G1000" s="26" t="n"/>
    </row>
    <row r="1001" ht="15" customHeight="1">
      <c r="A1001" s="26" t="n"/>
      <c r="B1001" s="26" t="n"/>
      <c r="C1001" s="26" t="n"/>
      <c r="D1001" s="26" t="n"/>
      <c r="E1001" s="26" t="n"/>
      <c r="F1001" s="26" t="n"/>
      <c r="G1001" s="26" t="n"/>
    </row>
    <row r="1002" ht="15" customHeight="1">
      <c r="A1002" s="26" t="n"/>
      <c r="B1002" s="26" t="n"/>
      <c r="C1002" s="26" t="n"/>
      <c r="D1002" s="26" t="n"/>
      <c r="E1002" s="26" t="n"/>
      <c r="F1002" s="26" t="n"/>
      <c r="G1002" s="26" t="n"/>
    </row>
    <row r="1003" ht="15" customHeight="1">
      <c r="A1003" s="26" t="n"/>
      <c r="B1003" s="26" t="n"/>
      <c r="C1003" s="26" t="n"/>
      <c r="D1003" s="26" t="n"/>
      <c r="E1003" s="26" t="n"/>
      <c r="F1003" s="26" t="n"/>
      <c r="G1003" s="26" t="n"/>
    </row>
    <row r="1004" ht="15" customHeight="1">
      <c r="A1004" s="26" t="n"/>
      <c r="B1004" s="26" t="n"/>
      <c r="C1004" s="26" t="n"/>
      <c r="D1004" s="26" t="n"/>
      <c r="E1004" s="26" t="n"/>
      <c r="F1004" s="26" t="n"/>
      <c r="G1004" s="26" t="n"/>
    </row>
    <row r="1005" ht="15" customHeight="1">
      <c r="A1005" s="26" t="n"/>
      <c r="B1005" s="26" t="n"/>
      <c r="C1005" s="26" t="n"/>
      <c r="D1005" s="26" t="n"/>
      <c r="E1005" s="26" t="n"/>
      <c r="F1005" s="26" t="n"/>
      <c r="G1005" s="26" t="n"/>
    </row>
    <row r="1006" ht="15" customHeight="1">
      <c r="A1006" s="26" t="n"/>
      <c r="B1006" s="26" t="n"/>
      <c r="C1006" s="26" t="n"/>
      <c r="D1006" s="26" t="n"/>
      <c r="E1006" s="26" t="n"/>
      <c r="F1006" s="26" t="n"/>
      <c r="G1006" s="26" t="n"/>
    </row>
    <row r="1007" ht="15" customHeight="1">
      <c r="A1007" s="26" t="n"/>
      <c r="B1007" s="26" t="n"/>
      <c r="C1007" s="26" t="n"/>
      <c r="D1007" s="26" t="n"/>
      <c r="E1007" s="26" t="n"/>
      <c r="F1007" s="26" t="n"/>
      <c r="G1007" s="26" t="n"/>
    </row>
    <row r="1008" ht="15" customHeight="1">
      <c r="A1008" s="26" t="n"/>
      <c r="B1008" s="26" t="n"/>
      <c r="C1008" s="26" t="n"/>
      <c r="D1008" s="26" t="n"/>
      <c r="E1008" s="26" t="n"/>
      <c r="F1008" s="26" t="n"/>
      <c r="G1008" s="26" t="n"/>
    </row>
    <row r="1009" ht="15" customHeight="1">
      <c r="A1009" s="26" t="n"/>
      <c r="B1009" s="26" t="n"/>
      <c r="C1009" s="26" t="n"/>
      <c r="D1009" s="26" t="n"/>
      <c r="E1009" s="26" t="n"/>
      <c r="F1009" s="26" t="n"/>
      <c r="G1009" s="26" t="n"/>
    </row>
    <row r="1010" ht="15" customHeight="1">
      <c r="A1010" s="26" t="n"/>
      <c r="B1010" s="26" t="n"/>
      <c r="C1010" s="26" t="n"/>
      <c r="D1010" s="26" t="n"/>
      <c r="E1010" s="26" t="n"/>
      <c r="F1010" s="26" t="n"/>
      <c r="G1010" s="26" t="n"/>
    </row>
    <row r="1011" ht="15" customHeight="1">
      <c r="A1011" s="26" t="n"/>
      <c r="B1011" s="26" t="n"/>
      <c r="C1011" s="26" t="n"/>
      <c r="D1011" s="26" t="n"/>
      <c r="E1011" s="26" t="n"/>
      <c r="F1011" s="26" t="n"/>
      <c r="G1011" s="26" t="n"/>
    </row>
    <row r="1012" ht="15" customHeight="1">
      <c r="A1012" s="26" t="n"/>
      <c r="B1012" s="26" t="n"/>
      <c r="C1012" s="26" t="n"/>
      <c r="D1012" s="26" t="n"/>
      <c r="E1012" s="26" t="n"/>
      <c r="F1012" s="26" t="n"/>
      <c r="G1012" s="26" t="n"/>
    </row>
    <row r="1013" ht="15" customHeight="1">
      <c r="A1013" s="26" t="n"/>
      <c r="B1013" s="26" t="n"/>
      <c r="C1013" s="26" t="n"/>
      <c r="D1013" s="26" t="n"/>
      <c r="E1013" s="26" t="n"/>
      <c r="F1013" s="26" t="n"/>
      <c r="G1013" s="26" t="n"/>
    </row>
    <row r="1014" ht="15" customHeight="1">
      <c r="A1014" s="26" t="n"/>
      <c r="B1014" s="26" t="n"/>
      <c r="C1014" s="26" t="n"/>
      <c r="D1014" s="26" t="n"/>
      <c r="E1014" s="26" t="n"/>
      <c r="F1014" s="26" t="n"/>
      <c r="G1014" s="26" t="n"/>
    </row>
    <row r="1015" ht="15" customHeight="1">
      <c r="A1015" s="26" t="n"/>
      <c r="B1015" s="26" t="n"/>
      <c r="C1015" s="26" t="n"/>
      <c r="D1015" s="26" t="n"/>
      <c r="E1015" s="26" t="n"/>
      <c r="F1015" s="26" t="n"/>
      <c r="G1015" s="26" t="n"/>
    </row>
    <row r="1016" ht="15" customHeight="1">
      <c r="A1016" s="26" t="n"/>
      <c r="B1016" s="26" t="n"/>
      <c r="C1016" s="26" t="n"/>
      <c r="D1016" s="26" t="n"/>
      <c r="E1016" s="26" t="n"/>
      <c r="F1016" s="26" t="n"/>
      <c r="G1016" s="26" t="n"/>
    </row>
    <row r="1017" ht="15" customHeight="1">
      <c r="A1017" s="26" t="n"/>
      <c r="B1017" s="26" t="n"/>
      <c r="C1017" s="26" t="n"/>
      <c r="D1017" s="26" t="n"/>
      <c r="E1017" s="26" t="n"/>
      <c r="F1017" s="26" t="n"/>
      <c r="G1017" s="26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AO29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10" defaultColWidth="8.6640625" defaultRowHeight="15"/>
  <cols>
    <col width="2" customWidth="1" min="1" max="1"/>
    <col width="22" customWidth="1" min="2" max="2"/>
    <col width="11" customWidth="1" min="3" max="41"/>
  </cols>
  <sheetData>
    <row r="1" ht="15" customHeight="1">
      <c r="B1" s="26" t="n"/>
    </row>
    <row r="2" ht="18" customHeight="1">
      <c r="B2" s="16" t="inlineStr">
        <is>
          <t>Annual Budget</t>
        </is>
      </c>
    </row>
    <row r="3" ht="15" customHeight="1">
      <c r="B3" s="12" t="inlineStr">
        <is>
          <t>Monthly targets — Variance = Budget minus Actual</t>
        </is>
      </c>
    </row>
    <row r="4"/>
    <row r="5"/>
    <row r="6" ht="15" customHeight="1">
      <c r="B6" s="32" t="inlineStr">
        <is>
          <t>REVENUE BUDGET</t>
        </is>
      </c>
    </row>
    <row r="7" ht="15" customHeight="1">
      <c r="B7" s="19" t="inlineStr">
        <is>
          <t>Category</t>
        </is>
      </c>
      <c r="C7" s="33" t="inlineStr">
        <is>
          <t>Jan</t>
        </is>
      </c>
      <c r="F7" s="33" t="inlineStr">
        <is>
          <t>Feb</t>
        </is>
      </c>
      <c r="I7" s="33" t="inlineStr">
        <is>
          <t>Mar</t>
        </is>
      </c>
      <c r="L7" s="33" t="inlineStr">
        <is>
          <t>Apr</t>
        </is>
      </c>
      <c r="O7" s="33" t="inlineStr">
        <is>
          <t>May</t>
        </is>
      </c>
      <c r="R7" s="33" t="inlineStr">
        <is>
          <t>Jun</t>
        </is>
      </c>
      <c r="U7" s="33" t="inlineStr">
        <is>
          <t>Jul</t>
        </is>
      </c>
      <c r="X7" s="33" t="inlineStr">
        <is>
          <t>Aug</t>
        </is>
      </c>
      <c r="AA7" s="33" t="inlineStr">
        <is>
          <t>Sep</t>
        </is>
      </c>
      <c r="AD7" s="33" t="inlineStr">
        <is>
          <t>Oct</t>
        </is>
      </c>
      <c r="AG7" s="33" t="inlineStr">
        <is>
          <t>Nov</t>
        </is>
      </c>
      <c r="AJ7" s="33" t="inlineStr">
        <is>
          <t>Dec</t>
        </is>
      </c>
      <c r="AM7" s="33" t="inlineStr">
        <is>
          <t>YEAR TOTAL</t>
        </is>
      </c>
    </row>
    <row r="8" ht="15" customHeight="1">
      <c r="B8" s="34" t="n"/>
      <c r="C8" s="35" t="inlineStr">
        <is>
          <t>Budget</t>
        </is>
      </c>
      <c r="D8" s="35" t="inlineStr">
        <is>
          <t>Actual</t>
        </is>
      </c>
      <c r="E8" s="35" t="inlineStr">
        <is>
          <t>Var</t>
        </is>
      </c>
      <c r="F8" s="35" t="inlineStr">
        <is>
          <t>Budget</t>
        </is>
      </c>
      <c r="G8" s="35" t="inlineStr">
        <is>
          <t>Actual</t>
        </is>
      </c>
      <c r="H8" s="35" t="inlineStr">
        <is>
          <t>Var</t>
        </is>
      </c>
      <c r="I8" s="35" t="inlineStr">
        <is>
          <t>Budget</t>
        </is>
      </c>
      <c r="J8" s="35" t="inlineStr">
        <is>
          <t>Actual</t>
        </is>
      </c>
      <c r="K8" s="35" t="inlineStr">
        <is>
          <t>Var</t>
        </is>
      </c>
      <c r="L8" s="35" t="inlineStr">
        <is>
          <t>Budget</t>
        </is>
      </c>
      <c r="M8" s="35" t="inlineStr">
        <is>
          <t>Actual</t>
        </is>
      </c>
      <c r="N8" s="35" t="inlineStr">
        <is>
          <t>Var</t>
        </is>
      </c>
      <c r="O8" s="35" t="inlineStr">
        <is>
          <t>Budget</t>
        </is>
      </c>
      <c r="P8" s="35" t="inlineStr">
        <is>
          <t>Actual</t>
        </is>
      </c>
      <c r="Q8" s="35" t="inlineStr">
        <is>
          <t>Var</t>
        </is>
      </c>
      <c r="R8" s="35" t="inlineStr">
        <is>
          <t>Budget</t>
        </is>
      </c>
      <c r="S8" s="35" t="inlineStr">
        <is>
          <t>Actual</t>
        </is>
      </c>
      <c r="T8" s="35" t="inlineStr">
        <is>
          <t>Var</t>
        </is>
      </c>
      <c r="U8" s="35" t="inlineStr">
        <is>
          <t>Budget</t>
        </is>
      </c>
      <c r="V8" s="35" t="inlineStr">
        <is>
          <t>Actual</t>
        </is>
      </c>
      <c r="W8" s="35" t="inlineStr">
        <is>
          <t>Var</t>
        </is>
      </c>
      <c r="X8" s="35" t="inlineStr">
        <is>
          <t>Budget</t>
        </is>
      </c>
      <c r="Y8" s="35" t="inlineStr">
        <is>
          <t>Actual</t>
        </is>
      </c>
      <c r="Z8" s="35" t="inlineStr">
        <is>
          <t>Var</t>
        </is>
      </c>
      <c r="AA8" s="35" t="inlineStr">
        <is>
          <t>Budget</t>
        </is>
      </c>
      <c r="AB8" s="35" t="inlineStr">
        <is>
          <t>Actual</t>
        </is>
      </c>
      <c r="AC8" s="35" t="inlineStr">
        <is>
          <t>Var</t>
        </is>
      </c>
      <c r="AD8" s="35" t="inlineStr">
        <is>
          <t>Budget</t>
        </is>
      </c>
      <c r="AE8" s="35" t="inlineStr">
        <is>
          <t>Actual</t>
        </is>
      </c>
      <c r="AF8" s="35" t="inlineStr">
        <is>
          <t>Var</t>
        </is>
      </c>
      <c r="AG8" s="35" t="inlineStr">
        <is>
          <t>Budget</t>
        </is>
      </c>
      <c r="AH8" s="35" t="inlineStr">
        <is>
          <t>Actual</t>
        </is>
      </c>
      <c r="AI8" s="35" t="inlineStr">
        <is>
          <t>Var</t>
        </is>
      </c>
      <c r="AJ8" s="35" t="inlineStr">
        <is>
          <t>Budget</t>
        </is>
      </c>
      <c r="AK8" s="35" t="inlineStr">
        <is>
          <t>Actual</t>
        </is>
      </c>
      <c r="AL8" s="35" t="inlineStr">
        <is>
          <t>Var</t>
        </is>
      </c>
      <c r="AM8" s="35" t="inlineStr">
        <is>
          <t>Budget</t>
        </is>
      </c>
      <c r="AN8" s="35" t="inlineStr">
        <is>
          <t>Actual</t>
        </is>
      </c>
      <c r="AO8" s="35" t="inlineStr">
        <is>
          <t>Var</t>
        </is>
      </c>
    </row>
    <row r="9" ht="15" customHeight="1">
      <c r="B9" s="36" t="inlineStr">
        <is>
          <t>Room Revenue</t>
        </is>
      </c>
      <c r="C9" s="37" t="n">
        <v>3200000</v>
      </c>
      <c r="D9" s="38">
        <f>SUMPRODUCT((YEAR(Revenue_Log!A6:A5000)=Dashboard!$B$1)*(MONTH(Revenue_Log!A6:A5000)=1)*(Revenue_Log!D6:D5000="Room Revenue")*(Revenue_Log!H6:H5000))</f>
        <v/>
      </c>
      <c r="E9" s="38">
        <f>IFERROR(D9-C9,"—")</f>
        <v/>
      </c>
      <c r="F9" s="37" t="n">
        <v>3000000</v>
      </c>
      <c r="G9" s="38">
        <f>SUMPRODUCT((YEAR(Revenue_Log!A6:A5000)=Dashboard!$B$1)*(MONTH(Revenue_Log!A6:A5000)=2)*(Revenue_Log!D6:D5000="Room Revenue")*(Revenue_Log!H6:H5000))</f>
        <v/>
      </c>
      <c r="H9" s="38">
        <f>IFERROR(G9-F9,"—")</f>
        <v/>
      </c>
      <c r="I9" s="37" t="n">
        <v>2600000</v>
      </c>
      <c r="J9" s="38">
        <f>SUMPRODUCT((YEAR(Revenue_Log!A6:A5000)=Dashboard!$B$1)*(MONTH(Revenue_Log!A6:A5000)=3)*(Revenue_Log!D6:D5000="Room Revenue")*(Revenue_Log!H6:H5000))</f>
        <v/>
      </c>
      <c r="K9" s="38">
        <f>IFERROR(J9-I9,"—")</f>
        <v/>
      </c>
      <c r="L9" s="37" t="n">
        <v>2400000</v>
      </c>
      <c r="M9" s="38">
        <f>SUMPRODUCT((YEAR(Revenue_Log!A6:A5000)=Dashboard!$B$1)*(MONTH(Revenue_Log!A6:A5000)=4)*(Revenue_Log!D6:D5000="Room Revenue")*(Revenue_Log!H6:H5000))</f>
        <v/>
      </c>
      <c r="N9" s="38">
        <f>IFERROR(M9-L9,"—")</f>
        <v/>
      </c>
      <c r="O9" s="37" t="n">
        <v>2400000</v>
      </c>
      <c r="P9" s="38">
        <f>SUMPRODUCT((YEAR(Revenue_Log!A6:A5000)=Dashboard!$B$1)*(MONTH(Revenue_Log!A6:A5000)=5)*(Revenue_Log!D6:D5000="Room Revenue")*(Revenue_Log!H6:H5000))</f>
        <v/>
      </c>
      <c r="Q9" s="38">
        <f>IFERROR(P9-O9,"—")</f>
        <v/>
      </c>
      <c r="R9" s="37" t="n">
        <v>1800000</v>
      </c>
      <c r="S9" s="38">
        <f>SUMPRODUCT((YEAR(Revenue_Log!A6:A5000)=Dashboard!$B$1)*(MONTH(Revenue_Log!A6:A5000)=6)*(Revenue_Log!D6:D5000="Room Revenue")*(Revenue_Log!H6:H5000))</f>
        <v/>
      </c>
      <c r="T9" s="38">
        <f>IFERROR(S9-R9,"—")</f>
        <v/>
      </c>
      <c r="U9" s="37" t="n">
        <v>1600000</v>
      </c>
      <c r="V9" s="38">
        <f>SUMPRODUCT((YEAR(Revenue_Log!A6:A5000)=Dashboard!$B$1)*(MONTH(Revenue_Log!A6:A5000)=7)*(Revenue_Log!D6:D5000="Room Revenue")*(Revenue_Log!H6:H5000))</f>
        <v/>
      </c>
      <c r="W9" s="38">
        <f>IFERROR(V9-U9,"—")</f>
        <v/>
      </c>
      <c r="X9" s="37" t="n">
        <v>1600000</v>
      </c>
      <c r="Y9" s="38">
        <f>SUMPRODUCT((YEAR(Revenue_Log!A6:A5000)=Dashboard!$B$1)*(MONTH(Revenue_Log!A6:A5000)=8)*(Revenue_Log!D6:D5000="Room Revenue")*(Revenue_Log!H6:H5000))</f>
        <v/>
      </c>
      <c r="Z9" s="38">
        <f>IFERROR(Y9-X9,"—")</f>
        <v/>
      </c>
      <c r="AA9" s="37" t="n">
        <v>3200000</v>
      </c>
      <c r="AB9" s="38">
        <f>SUMPRODUCT((YEAR(Revenue_Log!A6:A5000)=Dashboard!$B$1)*(MONTH(Revenue_Log!A6:A5000)=9)*(Revenue_Log!D6:D5000="Room Revenue")*(Revenue_Log!H6:H5000))</f>
        <v/>
      </c>
      <c r="AC9" s="38">
        <f>IFERROR(AB9-AA9,"—")</f>
        <v/>
      </c>
      <c r="AD9" s="37" t="n">
        <v>3200000</v>
      </c>
      <c r="AE9" s="38">
        <f>SUMPRODUCT((YEAR(Revenue_Log!A6:A5000)=Dashboard!$B$1)*(MONTH(Revenue_Log!A6:A5000)=10)*(Revenue_Log!D6:D5000="Room Revenue")*(Revenue_Log!H6:H5000))</f>
        <v/>
      </c>
      <c r="AF9" s="38">
        <f>IFERROR(AE9-AD9,"—")</f>
        <v/>
      </c>
      <c r="AG9" s="37" t="n">
        <v>2800000</v>
      </c>
      <c r="AH9" s="38">
        <f>SUMPRODUCT((YEAR(Revenue_Log!A6:A5000)=Dashboard!$B$1)*(MONTH(Revenue_Log!A6:A5000)=11)*(Revenue_Log!D6:D5000="Room Revenue")*(Revenue_Log!H6:H5000))</f>
        <v/>
      </c>
      <c r="AI9" s="38">
        <f>IFERROR(AH9-AG9,"—")</f>
        <v/>
      </c>
      <c r="AJ9" s="37" t="n">
        <v>2800000</v>
      </c>
      <c r="AK9" s="38">
        <f>SUMPRODUCT((YEAR(Revenue_Log!A6:A5000)=Dashboard!$B$1)*(MONTH(Revenue_Log!A6:A5000)=12)*(Revenue_Log!D6:D5000="Room Revenue")*(Revenue_Log!H6:H5000))</f>
        <v/>
      </c>
      <c r="AL9" s="38">
        <f>IFERROR(AK9-AJ9,"—")</f>
        <v/>
      </c>
      <c r="AM9" s="39">
        <f>C9+F9+I9+L9+O9+R9+U9+X9+AA9+AD9+AG9+AJ9</f>
        <v/>
      </c>
      <c r="AN9" s="39">
        <f>D9+G9+J9+M9+P9+S9+V9+Y9+AB9+AE9+AH9+AK9</f>
        <v/>
      </c>
      <c r="AO9" s="39">
        <f>IFERROR(AN9-AM9,"—")</f>
        <v/>
      </c>
    </row>
    <row r="10" ht="15" customHeight="1">
      <c r="B10" s="40" t="inlineStr">
        <is>
          <t>Shop Rent</t>
        </is>
      </c>
      <c r="C10" s="41" t="n">
        <v>120000</v>
      </c>
      <c r="D10" s="42">
        <f>SUMPRODUCT((YEAR(Revenue_Log!A6:A5000)=Dashboard!$B$1)*(MONTH(Revenue_Log!A6:A5000)=1)*(Revenue_Log!D6:D5000="Shop Rent")*(Revenue_Log!H6:H5000))</f>
        <v/>
      </c>
      <c r="E10" s="42">
        <f>IFERROR(D10-C10,"—")</f>
        <v/>
      </c>
      <c r="F10" s="41" t="n">
        <v>120000</v>
      </c>
      <c r="G10" s="42">
        <f>SUMPRODUCT((YEAR(Revenue_Log!A6:A5000)=Dashboard!$B$1)*(MONTH(Revenue_Log!A6:A5000)=2)*(Revenue_Log!D6:D5000="Shop Rent")*(Revenue_Log!H6:H5000))</f>
        <v/>
      </c>
      <c r="H10" s="42">
        <f>IFERROR(G10-F10,"—")</f>
        <v/>
      </c>
      <c r="I10" s="41" t="n">
        <v>120000</v>
      </c>
      <c r="J10" s="42">
        <f>SUMPRODUCT((YEAR(Revenue_Log!A6:A5000)=Dashboard!$B$1)*(MONTH(Revenue_Log!A6:A5000)=3)*(Revenue_Log!D6:D5000="Shop Rent")*(Revenue_Log!H6:H5000))</f>
        <v/>
      </c>
      <c r="K10" s="42">
        <f>IFERROR(J10-I10,"—")</f>
        <v/>
      </c>
      <c r="L10" s="41" t="n">
        <v>120000</v>
      </c>
      <c r="M10" s="42">
        <f>SUMPRODUCT((YEAR(Revenue_Log!A6:A5000)=Dashboard!$B$1)*(MONTH(Revenue_Log!A6:A5000)=4)*(Revenue_Log!D6:D5000="Shop Rent")*(Revenue_Log!H6:H5000))</f>
        <v/>
      </c>
      <c r="N10" s="42">
        <f>IFERROR(M10-L10,"—")</f>
        <v/>
      </c>
      <c r="O10" s="41" t="n">
        <v>120000</v>
      </c>
      <c r="P10" s="42">
        <f>SUMPRODUCT((YEAR(Revenue_Log!A6:A5000)=Dashboard!$B$1)*(MONTH(Revenue_Log!A6:A5000)=5)*(Revenue_Log!D6:D5000="Shop Rent")*(Revenue_Log!H6:H5000))</f>
        <v/>
      </c>
      <c r="Q10" s="42">
        <f>IFERROR(P10-O10,"—")</f>
        <v/>
      </c>
      <c r="R10" s="41" t="n">
        <v>120000</v>
      </c>
      <c r="S10" s="42">
        <f>SUMPRODUCT((YEAR(Revenue_Log!A6:A5000)=Dashboard!$B$1)*(MONTH(Revenue_Log!A6:A5000)=6)*(Revenue_Log!D6:D5000="Shop Rent")*(Revenue_Log!H6:H5000))</f>
        <v/>
      </c>
      <c r="T10" s="42">
        <f>IFERROR(S10-R10,"—")</f>
        <v/>
      </c>
      <c r="U10" s="41" t="n">
        <v>120000</v>
      </c>
      <c r="V10" s="42">
        <f>SUMPRODUCT((YEAR(Revenue_Log!A6:A5000)=Dashboard!$B$1)*(MONTH(Revenue_Log!A6:A5000)=7)*(Revenue_Log!D6:D5000="Shop Rent")*(Revenue_Log!H6:H5000))</f>
        <v/>
      </c>
      <c r="W10" s="42">
        <f>IFERROR(V10-U10,"—")</f>
        <v/>
      </c>
      <c r="X10" s="41" t="n">
        <v>120000</v>
      </c>
      <c r="Y10" s="42">
        <f>SUMPRODUCT((YEAR(Revenue_Log!A6:A5000)=Dashboard!$B$1)*(MONTH(Revenue_Log!A6:A5000)=8)*(Revenue_Log!D6:D5000="Shop Rent")*(Revenue_Log!H6:H5000))</f>
        <v/>
      </c>
      <c r="Z10" s="42">
        <f>IFERROR(Y10-X10,"—")</f>
        <v/>
      </c>
      <c r="AA10" s="41" t="n">
        <v>120000</v>
      </c>
      <c r="AB10" s="42">
        <f>SUMPRODUCT((YEAR(Revenue_Log!A6:A5000)=Dashboard!$B$1)*(MONTH(Revenue_Log!A6:A5000)=9)*(Revenue_Log!D6:D5000="Shop Rent")*(Revenue_Log!H6:H5000))</f>
        <v/>
      </c>
      <c r="AC10" s="42">
        <f>IFERROR(AB10-AA10,"—")</f>
        <v/>
      </c>
      <c r="AD10" s="41" t="n">
        <v>120000</v>
      </c>
      <c r="AE10" s="42">
        <f>SUMPRODUCT((YEAR(Revenue_Log!A6:A5000)=Dashboard!$B$1)*(MONTH(Revenue_Log!A6:A5000)=10)*(Revenue_Log!D6:D5000="Shop Rent")*(Revenue_Log!H6:H5000))</f>
        <v/>
      </c>
      <c r="AF10" s="42">
        <f>IFERROR(AE10-AD10,"—")</f>
        <v/>
      </c>
      <c r="AG10" s="41" t="n">
        <v>120000</v>
      </c>
      <c r="AH10" s="42">
        <f>SUMPRODUCT((YEAR(Revenue_Log!A6:A5000)=Dashboard!$B$1)*(MONTH(Revenue_Log!A6:A5000)=11)*(Revenue_Log!D6:D5000="Shop Rent")*(Revenue_Log!H6:H5000))</f>
        <v/>
      </c>
      <c r="AI10" s="42">
        <f>IFERROR(AH10-AG10,"—")</f>
        <v/>
      </c>
      <c r="AJ10" s="41" t="n">
        <v>120000</v>
      </c>
      <c r="AK10" s="42">
        <f>SUMPRODUCT((YEAR(Revenue_Log!A6:A5000)=Dashboard!$B$1)*(MONTH(Revenue_Log!A6:A5000)=12)*(Revenue_Log!D6:D5000="Shop Rent")*(Revenue_Log!H6:H5000))</f>
        <v/>
      </c>
      <c r="AL10" s="42">
        <f>IFERROR(AK10-AJ10,"—")</f>
        <v/>
      </c>
      <c r="AM10" s="43">
        <f>C10+F10+I10+L10+O10+R10+U10+X10+AA10+AD10+AG10+AJ10</f>
        <v/>
      </c>
      <c r="AN10" s="43">
        <f>D10+G10+J10+M10+P10+S10+V10+Y10+AB10+AE10+AH10+AK10</f>
        <v/>
      </c>
      <c r="AO10" s="43">
        <f>IFERROR(AN10-AM10,"—")</f>
        <v/>
      </c>
    </row>
    <row r="11" ht="15" customHeight="1">
      <c r="B11" s="36" t="inlineStr">
        <is>
          <t>Caution Fee Income</t>
        </is>
      </c>
      <c r="C11" s="37" t="n">
        <v>75000</v>
      </c>
      <c r="D11" s="38">
        <f>SUMPRODUCT((YEAR(Revenue_Log!A6:A5000)=Dashboard!$B$1)*(MONTH(Revenue_Log!A6:A5000)=1)*(Revenue_Log!D6:D5000="Caution Fee Income")*(Revenue_Log!H6:H5000))</f>
        <v/>
      </c>
      <c r="E11" s="38">
        <f>IFERROR(D11-C11,"—")</f>
        <v/>
      </c>
      <c r="F11" s="37" t="n">
        <v>50000</v>
      </c>
      <c r="G11" s="38">
        <f>SUMPRODUCT((YEAR(Revenue_Log!A6:A5000)=Dashboard!$B$1)*(MONTH(Revenue_Log!A6:A5000)=2)*(Revenue_Log!D6:D5000="Caution Fee Income")*(Revenue_Log!H6:H5000))</f>
        <v/>
      </c>
      <c r="H11" s="38">
        <f>IFERROR(G11-F11,"—")</f>
        <v/>
      </c>
      <c r="I11" s="37" t="n">
        <v>50000</v>
      </c>
      <c r="J11" s="38">
        <f>SUMPRODUCT((YEAR(Revenue_Log!A6:A5000)=Dashboard!$B$1)*(MONTH(Revenue_Log!A6:A5000)=3)*(Revenue_Log!D6:D5000="Caution Fee Income")*(Revenue_Log!H6:H5000))</f>
        <v/>
      </c>
      <c r="K11" s="38">
        <f>IFERROR(J11-I11,"—")</f>
        <v/>
      </c>
      <c r="L11" s="37" t="n">
        <v>50000</v>
      </c>
      <c r="M11" s="38">
        <f>SUMPRODUCT((YEAR(Revenue_Log!A6:A5000)=Dashboard!$B$1)*(MONTH(Revenue_Log!A6:A5000)=4)*(Revenue_Log!D6:D5000="Caution Fee Income")*(Revenue_Log!H6:H5000))</f>
        <v/>
      </c>
      <c r="N11" s="38">
        <f>IFERROR(M11-L11,"—")</f>
        <v/>
      </c>
      <c r="O11" s="37" t="n">
        <v>50000</v>
      </c>
      <c r="P11" s="38">
        <f>SUMPRODUCT((YEAR(Revenue_Log!A6:A5000)=Dashboard!$B$1)*(MONTH(Revenue_Log!A6:A5000)=5)*(Revenue_Log!D6:D5000="Caution Fee Income")*(Revenue_Log!H6:H5000))</f>
        <v/>
      </c>
      <c r="Q11" s="38">
        <f>IFERROR(P11-O11,"—")</f>
        <v/>
      </c>
      <c r="R11" s="37" t="n">
        <v>50000</v>
      </c>
      <c r="S11" s="38">
        <f>SUMPRODUCT((YEAR(Revenue_Log!A6:A5000)=Dashboard!$B$1)*(MONTH(Revenue_Log!A6:A5000)=6)*(Revenue_Log!D6:D5000="Caution Fee Income")*(Revenue_Log!H6:H5000))</f>
        <v/>
      </c>
      <c r="T11" s="38">
        <f>IFERROR(S11-R11,"—")</f>
        <v/>
      </c>
      <c r="U11" s="37" t="n">
        <v>50000</v>
      </c>
      <c r="V11" s="38">
        <f>SUMPRODUCT((YEAR(Revenue_Log!A6:A5000)=Dashboard!$B$1)*(MONTH(Revenue_Log!A6:A5000)=7)*(Revenue_Log!D6:D5000="Caution Fee Income")*(Revenue_Log!H6:H5000))</f>
        <v/>
      </c>
      <c r="W11" s="38">
        <f>IFERROR(V11-U11,"—")</f>
        <v/>
      </c>
      <c r="X11" s="37" t="n">
        <v>50000</v>
      </c>
      <c r="Y11" s="38">
        <f>SUMPRODUCT((YEAR(Revenue_Log!A6:A5000)=Dashboard!$B$1)*(MONTH(Revenue_Log!A6:A5000)=8)*(Revenue_Log!D6:D5000="Caution Fee Income")*(Revenue_Log!H6:H5000))</f>
        <v/>
      </c>
      <c r="Z11" s="38">
        <f>IFERROR(Y11-X11,"—")</f>
        <v/>
      </c>
      <c r="AA11" s="37" t="n">
        <v>75000</v>
      </c>
      <c r="AB11" s="38">
        <f>SUMPRODUCT((YEAR(Revenue_Log!A6:A5000)=Dashboard!$B$1)*(MONTH(Revenue_Log!A6:A5000)=9)*(Revenue_Log!D6:D5000="Caution Fee Income")*(Revenue_Log!H6:H5000))</f>
        <v/>
      </c>
      <c r="AC11" s="38">
        <f>IFERROR(AB11-AA11,"—")</f>
        <v/>
      </c>
      <c r="AD11" s="37" t="n">
        <v>75000</v>
      </c>
      <c r="AE11" s="38">
        <f>SUMPRODUCT((YEAR(Revenue_Log!A6:A5000)=Dashboard!$B$1)*(MONTH(Revenue_Log!A6:A5000)=10)*(Revenue_Log!D6:D5000="Caution Fee Income")*(Revenue_Log!H6:H5000))</f>
        <v/>
      </c>
      <c r="AF11" s="38">
        <f>IFERROR(AE11-AD11,"—")</f>
        <v/>
      </c>
      <c r="AG11" s="37" t="n">
        <v>50000</v>
      </c>
      <c r="AH11" s="38">
        <f>SUMPRODUCT((YEAR(Revenue_Log!A6:A5000)=Dashboard!$B$1)*(MONTH(Revenue_Log!A6:A5000)=11)*(Revenue_Log!D6:D5000="Caution Fee Income")*(Revenue_Log!H6:H5000))</f>
        <v/>
      </c>
      <c r="AI11" s="38">
        <f>IFERROR(AH11-AG11,"—")</f>
        <v/>
      </c>
      <c r="AJ11" s="37" t="n">
        <v>50000</v>
      </c>
      <c r="AK11" s="38">
        <f>SUMPRODUCT((YEAR(Revenue_Log!A6:A5000)=Dashboard!$B$1)*(MONTH(Revenue_Log!A6:A5000)=12)*(Revenue_Log!D6:D5000="Caution Fee Income")*(Revenue_Log!H6:H5000))</f>
        <v/>
      </c>
      <c r="AL11" s="38">
        <f>IFERROR(AK11-AJ11,"—")</f>
        <v/>
      </c>
      <c r="AM11" s="39">
        <f>C11+F11+I11+L11+O11+R11+U11+X11+AA11+AD11+AG11+AJ11</f>
        <v/>
      </c>
      <c r="AN11" s="39">
        <f>D11+G11+J11+M11+P11+S11+V11+Y11+AB11+AE11+AH11+AK11</f>
        <v/>
      </c>
      <c r="AO11" s="39">
        <f>IFERROR(AN11-AM11,"—")</f>
        <v/>
      </c>
    </row>
    <row r="12" ht="15" customHeight="1">
      <c r="B12" s="40" t="inlineStr">
        <is>
          <t>Extra Charges</t>
        </is>
      </c>
      <c r="C12" s="41" t="n">
        <v>150000</v>
      </c>
      <c r="D12" s="42">
        <f>SUMPRODUCT((YEAR(Revenue_Log!A6:A5000)=Dashboard!$B$1)*(MONTH(Revenue_Log!A6:A5000)=1)*(Revenue_Log!D6:D5000="Extra Charges")*(Revenue_Log!H6:H5000))</f>
        <v/>
      </c>
      <c r="E12" s="42">
        <f>IFERROR(D12-C12,"—")</f>
        <v/>
      </c>
      <c r="F12" s="41" t="n">
        <v>130000</v>
      </c>
      <c r="G12" s="42">
        <f>SUMPRODUCT((YEAR(Revenue_Log!A6:A5000)=Dashboard!$B$1)*(MONTH(Revenue_Log!A6:A5000)=2)*(Revenue_Log!D6:D5000="Extra Charges")*(Revenue_Log!H6:H5000))</f>
        <v/>
      </c>
      <c r="H12" s="42">
        <f>IFERROR(G12-F12,"—")</f>
        <v/>
      </c>
      <c r="I12" s="41" t="n">
        <v>110000</v>
      </c>
      <c r="J12" s="42">
        <f>SUMPRODUCT((YEAR(Revenue_Log!A6:A5000)=Dashboard!$B$1)*(MONTH(Revenue_Log!A6:A5000)=3)*(Revenue_Log!D6:D5000="Extra Charges")*(Revenue_Log!H6:H5000))</f>
        <v/>
      </c>
      <c r="K12" s="42">
        <f>IFERROR(J12-I12,"—")</f>
        <v/>
      </c>
      <c r="L12" s="41" t="n">
        <v>100000</v>
      </c>
      <c r="M12" s="42">
        <f>SUMPRODUCT((YEAR(Revenue_Log!A6:A5000)=Dashboard!$B$1)*(MONTH(Revenue_Log!A6:A5000)=4)*(Revenue_Log!D6:D5000="Extra Charges")*(Revenue_Log!H6:H5000))</f>
        <v/>
      </c>
      <c r="N12" s="42">
        <f>IFERROR(M12-L12,"—")</f>
        <v/>
      </c>
      <c r="O12" s="41" t="n">
        <v>100000</v>
      </c>
      <c r="P12" s="42">
        <f>SUMPRODUCT((YEAR(Revenue_Log!A6:A5000)=Dashboard!$B$1)*(MONTH(Revenue_Log!A6:A5000)=5)*(Revenue_Log!D6:D5000="Extra Charges")*(Revenue_Log!H6:H5000))</f>
        <v/>
      </c>
      <c r="Q12" s="42">
        <f>IFERROR(P12-O12,"—")</f>
        <v/>
      </c>
      <c r="R12" s="41" t="n">
        <v>80000</v>
      </c>
      <c r="S12" s="42">
        <f>SUMPRODUCT((YEAR(Revenue_Log!A6:A5000)=Dashboard!$B$1)*(MONTH(Revenue_Log!A6:A5000)=6)*(Revenue_Log!D6:D5000="Extra Charges")*(Revenue_Log!H6:H5000))</f>
        <v/>
      </c>
      <c r="T12" s="42">
        <f>IFERROR(S12-R12,"—")</f>
        <v/>
      </c>
      <c r="U12" s="41" t="n">
        <v>70000</v>
      </c>
      <c r="V12" s="42">
        <f>SUMPRODUCT((YEAR(Revenue_Log!A6:A5000)=Dashboard!$B$1)*(MONTH(Revenue_Log!A6:A5000)=7)*(Revenue_Log!D6:D5000="Extra Charges")*(Revenue_Log!H6:H5000))</f>
        <v/>
      </c>
      <c r="W12" s="42">
        <f>IFERROR(V12-U12,"—")</f>
        <v/>
      </c>
      <c r="X12" s="41" t="n">
        <v>70000</v>
      </c>
      <c r="Y12" s="42">
        <f>SUMPRODUCT((YEAR(Revenue_Log!A6:A5000)=Dashboard!$B$1)*(MONTH(Revenue_Log!A6:A5000)=8)*(Revenue_Log!D6:D5000="Extra Charges")*(Revenue_Log!H6:H5000))</f>
        <v/>
      </c>
      <c r="Z12" s="42">
        <f>IFERROR(Y12-X12,"—")</f>
        <v/>
      </c>
      <c r="AA12" s="41" t="n">
        <v>150000</v>
      </c>
      <c r="AB12" s="42">
        <f>SUMPRODUCT((YEAR(Revenue_Log!A6:A5000)=Dashboard!$B$1)*(MONTH(Revenue_Log!A6:A5000)=9)*(Revenue_Log!D6:D5000="Extra Charges")*(Revenue_Log!H6:H5000))</f>
        <v/>
      </c>
      <c r="AC12" s="42">
        <f>IFERROR(AB12-AA12,"—")</f>
        <v/>
      </c>
      <c r="AD12" s="41" t="n">
        <v>150000</v>
      </c>
      <c r="AE12" s="42">
        <f>SUMPRODUCT((YEAR(Revenue_Log!A6:A5000)=Dashboard!$B$1)*(MONTH(Revenue_Log!A6:A5000)=10)*(Revenue_Log!D6:D5000="Extra Charges")*(Revenue_Log!H6:H5000))</f>
        <v/>
      </c>
      <c r="AF12" s="42">
        <f>IFERROR(AE12-AD12,"—")</f>
        <v/>
      </c>
      <c r="AG12" s="41" t="n">
        <v>110000</v>
      </c>
      <c r="AH12" s="42">
        <f>SUMPRODUCT((YEAR(Revenue_Log!A6:A5000)=Dashboard!$B$1)*(MONTH(Revenue_Log!A6:A5000)=11)*(Revenue_Log!D6:D5000="Extra Charges")*(Revenue_Log!H6:H5000))</f>
        <v/>
      </c>
      <c r="AI12" s="42">
        <f>IFERROR(AH12-AG12,"—")</f>
        <v/>
      </c>
      <c r="AJ12" s="41" t="n">
        <v>110000</v>
      </c>
      <c r="AK12" s="42">
        <f>SUMPRODUCT((YEAR(Revenue_Log!A6:A5000)=Dashboard!$B$1)*(MONTH(Revenue_Log!A6:A5000)=12)*(Revenue_Log!D6:D5000="Extra Charges")*(Revenue_Log!H6:H5000))</f>
        <v/>
      </c>
      <c r="AL12" s="42">
        <f>IFERROR(AK12-AJ12,"—")</f>
        <v/>
      </c>
      <c r="AM12" s="43">
        <f>C12+F12+I12+L12+O12+R12+U12+X12+AA12+AD12+AG12+AJ12</f>
        <v/>
      </c>
      <c r="AN12" s="43">
        <f>D12+G12+J12+M12+P12+S12+V12+Y12+AB12+AE12+AH12+AK12</f>
        <v/>
      </c>
      <c r="AO12" s="43">
        <f>IFERROR(AN12-AM12,"—")</f>
        <v/>
      </c>
    </row>
    <row r="13" ht="15" customHeight="1">
      <c r="B13" s="36" t="inlineStr">
        <is>
          <t>Form &amp; Legal Fees</t>
        </is>
      </c>
      <c r="C13" s="37" t="n">
        <v>80000</v>
      </c>
      <c r="D13" s="38">
        <f>SUMPRODUCT((YEAR(Revenue_Log!A6:A5000)=Dashboard!$B$1)*(MONTH(Revenue_Log!A6:A5000)=1)*(Revenue_Log!D6:D5000="Form &amp; Legal Fees")*(Revenue_Log!H6:H5000))</f>
        <v/>
      </c>
      <c r="E13" s="38">
        <f>IFERROR(D13-C13,"—")</f>
        <v/>
      </c>
      <c r="F13" s="37" t="n">
        <v>60000</v>
      </c>
      <c r="G13" s="38">
        <f>SUMPRODUCT((YEAR(Revenue_Log!A6:A5000)=Dashboard!$B$1)*(MONTH(Revenue_Log!A6:A5000)=2)*(Revenue_Log!D6:D5000="Form &amp; Legal Fees")*(Revenue_Log!H6:H5000))</f>
        <v/>
      </c>
      <c r="H13" s="38">
        <f>IFERROR(G13-F13,"—")</f>
        <v/>
      </c>
      <c r="I13" s="37" t="n">
        <v>50000</v>
      </c>
      <c r="J13" s="38">
        <f>SUMPRODUCT((YEAR(Revenue_Log!A6:A5000)=Dashboard!$B$1)*(MONTH(Revenue_Log!A6:A5000)=3)*(Revenue_Log!D6:D5000="Form &amp; Legal Fees")*(Revenue_Log!H6:H5000))</f>
        <v/>
      </c>
      <c r="K13" s="38">
        <f>IFERROR(J13-I13,"—")</f>
        <v/>
      </c>
      <c r="L13" s="37" t="n">
        <v>45000</v>
      </c>
      <c r="M13" s="38">
        <f>SUMPRODUCT((YEAR(Revenue_Log!A6:A5000)=Dashboard!$B$1)*(MONTH(Revenue_Log!A6:A5000)=4)*(Revenue_Log!D6:D5000="Form &amp; Legal Fees")*(Revenue_Log!H6:H5000))</f>
        <v/>
      </c>
      <c r="N13" s="38">
        <f>IFERROR(M13-L13,"—")</f>
        <v/>
      </c>
      <c r="O13" s="37" t="n">
        <v>45000</v>
      </c>
      <c r="P13" s="38">
        <f>SUMPRODUCT((YEAR(Revenue_Log!A6:A5000)=Dashboard!$B$1)*(MONTH(Revenue_Log!A6:A5000)=5)*(Revenue_Log!D6:D5000="Form &amp; Legal Fees")*(Revenue_Log!H6:H5000))</f>
        <v/>
      </c>
      <c r="Q13" s="38">
        <f>IFERROR(P13-O13,"—")</f>
        <v/>
      </c>
      <c r="R13" s="37" t="n">
        <v>35000</v>
      </c>
      <c r="S13" s="38">
        <f>SUMPRODUCT((YEAR(Revenue_Log!A6:A5000)=Dashboard!$B$1)*(MONTH(Revenue_Log!A6:A5000)=6)*(Revenue_Log!D6:D5000="Form &amp; Legal Fees")*(Revenue_Log!H6:H5000))</f>
        <v/>
      </c>
      <c r="T13" s="38">
        <f>IFERROR(S13-R13,"—")</f>
        <v/>
      </c>
      <c r="U13" s="37" t="n">
        <v>30000</v>
      </c>
      <c r="V13" s="38">
        <f>SUMPRODUCT((YEAR(Revenue_Log!A6:A5000)=Dashboard!$B$1)*(MONTH(Revenue_Log!A6:A5000)=7)*(Revenue_Log!D6:D5000="Form &amp; Legal Fees")*(Revenue_Log!H6:H5000))</f>
        <v/>
      </c>
      <c r="W13" s="38">
        <f>IFERROR(V13-U13,"—")</f>
        <v/>
      </c>
      <c r="X13" s="37" t="n">
        <v>30000</v>
      </c>
      <c r="Y13" s="38">
        <f>SUMPRODUCT((YEAR(Revenue_Log!A6:A5000)=Dashboard!$B$1)*(MONTH(Revenue_Log!A6:A5000)=8)*(Revenue_Log!D6:D5000="Form &amp; Legal Fees")*(Revenue_Log!H6:H5000))</f>
        <v/>
      </c>
      <c r="Z13" s="38">
        <f>IFERROR(Y13-X13,"—")</f>
        <v/>
      </c>
      <c r="AA13" s="37" t="n">
        <v>80000</v>
      </c>
      <c r="AB13" s="38">
        <f>SUMPRODUCT((YEAR(Revenue_Log!A6:A5000)=Dashboard!$B$1)*(MONTH(Revenue_Log!A6:A5000)=9)*(Revenue_Log!D6:D5000="Form &amp; Legal Fees")*(Revenue_Log!H6:H5000))</f>
        <v/>
      </c>
      <c r="AC13" s="38">
        <f>IFERROR(AB13-AA13,"—")</f>
        <v/>
      </c>
      <c r="AD13" s="37" t="n">
        <v>80000</v>
      </c>
      <c r="AE13" s="38">
        <f>SUMPRODUCT((YEAR(Revenue_Log!A6:A5000)=Dashboard!$B$1)*(MONTH(Revenue_Log!A6:A5000)=10)*(Revenue_Log!D6:D5000="Form &amp; Legal Fees")*(Revenue_Log!H6:H5000))</f>
        <v/>
      </c>
      <c r="AF13" s="38">
        <f>IFERROR(AE13-AD13,"—")</f>
        <v/>
      </c>
      <c r="AG13" s="37" t="n">
        <v>60000</v>
      </c>
      <c r="AH13" s="38">
        <f>SUMPRODUCT((YEAR(Revenue_Log!A6:A5000)=Dashboard!$B$1)*(MONTH(Revenue_Log!A6:A5000)=11)*(Revenue_Log!D6:D5000="Form &amp; Legal Fees")*(Revenue_Log!H6:H5000))</f>
        <v/>
      </c>
      <c r="AI13" s="38">
        <f>IFERROR(AH13-AG13,"—")</f>
        <v/>
      </c>
      <c r="AJ13" s="37" t="n">
        <v>60000</v>
      </c>
      <c r="AK13" s="38">
        <f>SUMPRODUCT((YEAR(Revenue_Log!A6:A5000)=Dashboard!$B$1)*(MONTH(Revenue_Log!A6:A5000)=12)*(Revenue_Log!D6:D5000="Form &amp; Legal Fees")*(Revenue_Log!H6:H5000))</f>
        <v/>
      </c>
      <c r="AL13" s="38">
        <f>IFERROR(AK13-AJ13,"—")</f>
        <v/>
      </c>
      <c r="AM13" s="39">
        <f>C13+F13+I13+L13+O13+R13+U13+X13+AA13+AD13+AG13+AJ13</f>
        <v/>
      </c>
      <c r="AN13" s="39">
        <f>D13+G13+J13+M13+P13+S13+V13+Y13+AB13+AE13+AH13+AK13</f>
        <v/>
      </c>
      <c r="AO13" s="39">
        <f>IFERROR(AN13-AM13,"—")</f>
        <v/>
      </c>
    </row>
    <row r="14" ht="15" customHeight="1">
      <c r="B14" s="40" t="inlineStr">
        <is>
          <t>Other Income</t>
        </is>
      </c>
      <c r="C14" s="41" t="n">
        <v>0</v>
      </c>
      <c r="D14" s="42">
        <f>SUMPRODUCT((YEAR(Revenue_Log!A6:A5000)=Dashboard!$B$1)*(MONTH(Revenue_Log!A6:A5000)=1)*(Revenue_Log!D6:D5000="Other Income")*(Revenue_Log!H6:H5000))</f>
        <v/>
      </c>
      <c r="E14" s="42">
        <f>IFERROR(D14-C14,"—")</f>
        <v/>
      </c>
      <c r="F14" s="41" t="n">
        <v>0</v>
      </c>
      <c r="G14" s="42">
        <f>SUMPRODUCT((YEAR(Revenue_Log!A6:A5000)=Dashboard!$B$1)*(MONTH(Revenue_Log!A6:A5000)=2)*(Revenue_Log!D6:D5000="Other Income")*(Revenue_Log!H6:H5000))</f>
        <v/>
      </c>
      <c r="H14" s="42">
        <f>IFERROR(G14-F14,"—")</f>
        <v/>
      </c>
      <c r="I14" s="41" t="n">
        <v>0</v>
      </c>
      <c r="J14" s="42">
        <f>SUMPRODUCT((YEAR(Revenue_Log!A6:A5000)=Dashboard!$B$1)*(MONTH(Revenue_Log!A6:A5000)=3)*(Revenue_Log!D6:D5000="Other Income")*(Revenue_Log!H6:H5000))</f>
        <v/>
      </c>
      <c r="K14" s="42">
        <f>IFERROR(J14-I14,"—")</f>
        <v/>
      </c>
      <c r="L14" s="41" t="n">
        <v>0</v>
      </c>
      <c r="M14" s="42">
        <f>SUMPRODUCT((YEAR(Revenue_Log!A6:A5000)=Dashboard!$B$1)*(MONTH(Revenue_Log!A6:A5000)=4)*(Revenue_Log!D6:D5000="Other Income")*(Revenue_Log!H6:H5000))</f>
        <v/>
      </c>
      <c r="N14" s="42">
        <f>IFERROR(M14-L14,"—")</f>
        <v/>
      </c>
      <c r="O14" s="41" t="n">
        <v>0</v>
      </c>
      <c r="P14" s="42">
        <f>SUMPRODUCT((YEAR(Revenue_Log!A6:A5000)=Dashboard!$B$1)*(MONTH(Revenue_Log!A6:A5000)=5)*(Revenue_Log!D6:D5000="Other Income")*(Revenue_Log!H6:H5000))</f>
        <v/>
      </c>
      <c r="Q14" s="42">
        <f>IFERROR(P14-O14,"—")</f>
        <v/>
      </c>
      <c r="R14" s="41" t="n">
        <v>0</v>
      </c>
      <c r="S14" s="42">
        <f>SUMPRODUCT((YEAR(Revenue_Log!A6:A5000)=Dashboard!$B$1)*(MONTH(Revenue_Log!A6:A5000)=6)*(Revenue_Log!D6:D5000="Other Income")*(Revenue_Log!H6:H5000))</f>
        <v/>
      </c>
      <c r="T14" s="42">
        <f>IFERROR(S14-R14,"—")</f>
        <v/>
      </c>
      <c r="U14" s="41" t="n">
        <v>0</v>
      </c>
      <c r="V14" s="42">
        <f>SUMPRODUCT((YEAR(Revenue_Log!A6:A5000)=Dashboard!$B$1)*(MONTH(Revenue_Log!A6:A5000)=7)*(Revenue_Log!D6:D5000="Other Income")*(Revenue_Log!H6:H5000))</f>
        <v/>
      </c>
      <c r="W14" s="42">
        <f>IFERROR(V14-U14,"—")</f>
        <v/>
      </c>
      <c r="X14" s="41" t="n">
        <v>0</v>
      </c>
      <c r="Y14" s="42">
        <f>SUMPRODUCT((YEAR(Revenue_Log!A6:A5000)=Dashboard!$B$1)*(MONTH(Revenue_Log!A6:A5000)=8)*(Revenue_Log!D6:D5000="Other Income")*(Revenue_Log!H6:H5000))</f>
        <v/>
      </c>
      <c r="Z14" s="42">
        <f>IFERROR(Y14-X14,"—")</f>
        <v/>
      </c>
      <c r="AA14" s="41" t="n">
        <v>0</v>
      </c>
      <c r="AB14" s="42">
        <f>SUMPRODUCT((YEAR(Revenue_Log!A6:A5000)=Dashboard!$B$1)*(MONTH(Revenue_Log!A6:A5000)=9)*(Revenue_Log!D6:D5000="Other Income")*(Revenue_Log!H6:H5000))</f>
        <v/>
      </c>
      <c r="AC14" s="42">
        <f>IFERROR(AB14-AA14,"—")</f>
        <v/>
      </c>
      <c r="AD14" s="41" t="n">
        <v>0</v>
      </c>
      <c r="AE14" s="42">
        <f>SUMPRODUCT((YEAR(Revenue_Log!A6:A5000)=Dashboard!$B$1)*(MONTH(Revenue_Log!A6:A5000)=10)*(Revenue_Log!D6:D5000="Other Income")*(Revenue_Log!H6:H5000))</f>
        <v/>
      </c>
      <c r="AF14" s="42">
        <f>IFERROR(AE14-AD14,"—")</f>
        <v/>
      </c>
      <c r="AG14" s="41" t="n">
        <v>0</v>
      </c>
      <c r="AH14" s="42">
        <f>SUMPRODUCT((YEAR(Revenue_Log!A6:A5000)=Dashboard!$B$1)*(MONTH(Revenue_Log!A6:A5000)=11)*(Revenue_Log!D6:D5000="Other Income")*(Revenue_Log!H6:H5000))</f>
        <v/>
      </c>
      <c r="AI14" s="42">
        <f>IFERROR(AH14-AG14,"—")</f>
        <v/>
      </c>
      <c r="AJ14" s="41" t="n">
        <v>0</v>
      </c>
      <c r="AK14" s="42">
        <f>SUMPRODUCT((YEAR(Revenue_Log!A6:A5000)=Dashboard!$B$1)*(MONTH(Revenue_Log!A6:A5000)=12)*(Revenue_Log!D6:D5000="Other Income")*(Revenue_Log!H6:H5000))</f>
        <v/>
      </c>
      <c r="AL14" s="42">
        <f>IFERROR(AK14-AJ14,"—")</f>
        <v/>
      </c>
      <c r="AM14" s="43">
        <f>C14+F14+I14+L14+O14+R14+U14+X14+AA14+AD14+AG14+AJ14</f>
        <v/>
      </c>
      <c r="AN14" s="43">
        <f>D14+G14+J14+M14+P14+S14+V14+Y14+AB14+AE14+AH14+AK14</f>
        <v/>
      </c>
      <c r="AO14" s="43">
        <f>IFERROR(AN14-AM14,"—")</f>
        <v/>
      </c>
    </row>
    <row r="15" ht="15" customHeight="1">
      <c r="B15" s="44" t="inlineStr">
        <is>
          <t>TOTAL REVENUE</t>
        </is>
      </c>
      <c r="C15" s="45">
        <f>SUM(C9:C14)</f>
        <v/>
      </c>
      <c r="D15" s="46">
        <f>SUM(D9:D14)</f>
        <v/>
      </c>
      <c r="E15" s="46">
        <f>IFERROR(SUM(E9:E14),"—")</f>
        <v/>
      </c>
      <c r="F15" s="45">
        <f>SUM(F9:F14)</f>
        <v/>
      </c>
      <c r="G15" s="46">
        <f>SUM(G9:G14)</f>
        <v/>
      </c>
      <c r="H15" s="46">
        <f>IFERROR(SUM(H9:H14),"—")</f>
        <v/>
      </c>
      <c r="I15" s="45">
        <f>SUM(I9:I14)</f>
        <v/>
      </c>
      <c r="J15" s="46">
        <f>SUM(J9:J14)</f>
        <v/>
      </c>
      <c r="K15" s="46">
        <f>IFERROR(SUM(K9:K14),"—")</f>
        <v/>
      </c>
      <c r="L15" s="45">
        <f>SUM(L9:L14)</f>
        <v/>
      </c>
      <c r="M15" s="46">
        <f>SUM(M9:M14)</f>
        <v/>
      </c>
      <c r="N15" s="46">
        <f>IFERROR(SUM(N9:N14),"—")</f>
        <v/>
      </c>
      <c r="O15" s="45">
        <f>SUM(O9:O14)</f>
        <v/>
      </c>
      <c r="P15" s="46">
        <f>SUM(P9:P14)</f>
        <v/>
      </c>
      <c r="Q15" s="46">
        <f>IFERROR(SUM(Q9:Q14),"—")</f>
        <v/>
      </c>
      <c r="R15" s="45">
        <f>SUM(R9:R14)</f>
        <v/>
      </c>
      <c r="S15" s="46">
        <f>SUM(S9:S14)</f>
        <v/>
      </c>
      <c r="T15" s="46">
        <f>IFERROR(SUM(T9:T14),"—")</f>
        <v/>
      </c>
      <c r="U15" s="45">
        <f>SUM(U9:U14)</f>
        <v/>
      </c>
      <c r="V15" s="46">
        <f>SUM(V9:V14)</f>
        <v/>
      </c>
      <c r="W15" s="46">
        <f>IFERROR(SUM(W9:W14),"—")</f>
        <v/>
      </c>
      <c r="X15" s="45">
        <f>SUM(X9:X14)</f>
        <v/>
      </c>
      <c r="Y15" s="46">
        <f>SUM(Y9:Y14)</f>
        <v/>
      </c>
      <c r="Z15" s="46">
        <f>IFERROR(SUM(Z9:Z14),"—")</f>
        <v/>
      </c>
      <c r="AA15" s="45">
        <f>SUM(AA9:AA14)</f>
        <v/>
      </c>
      <c r="AB15" s="46">
        <f>SUM(AB9:AB14)</f>
        <v/>
      </c>
      <c r="AC15" s="46">
        <f>IFERROR(SUM(AC9:AC14),"—")</f>
        <v/>
      </c>
      <c r="AD15" s="45">
        <f>SUM(AD9:AD14)</f>
        <v/>
      </c>
      <c r="AE15" s="46">
        <f>SUM(AE9:AE14)</f>
        <v/>
      </c>
      <c r="AF15" s="46">
        <f>IFERROR(SUM(AF9:AF14),"—")</f>
        <v/>
      </c>
      <c r="AG15" s="45">
        <f>SUM(AG9:AG14)</f>
        <v/>
      </c>
      <c r="AH15" s="46">
        <f>SUM(AH9:AH14)</f>
        <v/>
      </c>
      <c r="AI15" s="46">
        <f>IFERROR(SUM(AI9:AI14),"—")</f>
        <v/>
      </c>
      <c r="AJ15" s="45">
        <f>SUM(AJ9:AJ14)</f>
        <v/>
      </c>
      <c r="AK15" s="46">
        <f>SUM(AK9:AK14)</f>
        <v/>
      </c>
      <c r="AL15" s="46">
        <f>IFERROR(SUM(AL9:AL14),"—")</f>
        <v/>
      </c>
      <c r="AM15" s="46">
        <f>SUM(AM9:AM14)</f>
        <v/>
      </c>
      <c r="AN15" s="46">
        <f>SUM(AN9:AN14)</f>
        <v/>
      </c>
      <c r="AO15" s="46">
        <f>IFERROR(SUM(AO9:AO14),"—")</f>
        <v/>
      </c>
    </row>
    <row r="16" ht="15" customHeight="1">
      <c r="C16" s="26" t="n"/>
      <c r="F16" s="26" t="n"/>
      <c r="I16" s="26" t="n"/>
      <c r="L16" s="26" t="n"/>
      <c r="O16" s="26" t="n"/>
      <c r="R16" s="26" t="n"/>
      <c r="U16" s="26" t="n"/>
      <c r="X16" s="26" t="n"/>
      <c r="AA16" s="26" t="n"/>
      <c r="AD16" s="26" t="n"/>
      <c r="AG16" s="26" t="n"/>
      <c r="AJ16" s="26" t="n"/>
    </row>
    <row r="17" ht="15" customHeight="1">
      <c r="B17" s="32" t="inlineStr">
        <is>
          <t>EXPENSE BUDGET</t>
        </is>
      </c>
      <c r="C17" s="26" t="n"/>
      <c r="F17" s="26" t="n"/>
      <c r="I17" s="26" t="n"/>
      <c r="L17" s="26" t="n"/>
      <c r="O17" s="26" t="n"/>
      <c r="R17" s="26" t="n"/>
      <c r="U17" s="26" t="n"/>
      <c r="X17" s="26" t="n"/>
      <c r="AA17" s="26" t="n"/>
      <c r="AD17" s="26" t="n"/>
      <c r="AG17" s="26" t="n"/>
      <c r="AJ17" s="26" t="n"/>
    </row>
    <row r="18" ht="15" customHeight="1">
      <c r="B18" s="36" t="inlineStr">
        <is>
          <t>Salaries</t>
        </is>
      </c>
      <c r="C18" s="37" t="n">
        <v>400000</v>
      </c>
      <c r="D18" s="38">
        <f>SUMPRODUCT((Staff_Salaries!A6:A5000=Dashboard!$B$1)*(Staff_Salaries!B6:B5000="January")*(Staff_Salaries!E6:E5000))</f>
        <v/>
      </c>
      <c r="E18" s="38">
        <f>IFERROR(C18-D18,"—")</f>
        <v/>
      </c>
      <c r="F18" s="37" t="n">
        <v>400000</v>
      </c>
      <c r="G18" s="38">
        <f>SUMPRODUCT((Staff_Salaries!A6:A5000=Dashboard!$B$1)*(Staff_Salaries!B6:B5000="February")*(Staff_Salaries!E6:E5000))</f>
        <v/>
      </c>
      <c r="H18" s="38">
        <f>IFERROR(F18-G18,"—")</f>
        <v/>
      </c>
      <c r="I18" s="37" t="n">
        <v>400000</v>
      </c>
      <c r="J18" s="38">
        <f>SUMPRODUCT((Staff_Salaries!A6:A5000=Dashboard!$B$1)*(Staff_Salaries!B6:B5000="March")*(Staff_Salaries!E6:E5000))</f>
        <v/>
      </c>
      <c r="K18" s="38">
        <f>IFERROR(I18-J18,"—")</f>
        <v/>
      </c>
      <c r="L18" s="37" t="n">
        <v>400000</v>
      </c>
      <c r="M18" s="38">
        <f>SUMPRODUCT((Staff_Salaries!A6:A5000=Dashboard!$B$1)*(Staff_Salaries!B6:B5000="April")*(Staff_Salaries!E6:E5000))</f>
        <v/>
      </c>
      <c r="N18" s="38">
        <f>IFERROR(L18-M18,"—")</f>
        <v/>
      </c>
      <c r="O18" s="37" t="n">
        <v>400000</v>
      </c>
      <c r="P18" s="38">
        <f>SUMPRODUCT((Staff_Salaries!A6:A5000=Dashboard!$B$1)*(Staff_Salaries!B6:B5000="May")*(Staff_Salaries!E6:E5000))</f>
        <v/>
      </c>
      <c r="Q18" s="38">
        <f>IFERROR(O18-P18,"—")</f>
        <v/>
      </c>
      <c r="R18" s="37" t="n">
        <v>400000</v>
      </c>
      <c r="S18" s="38">
        <f>SUMPRODUCT((Staff_Salaries!A6:A5000=Dashboard!$B$1)*(Staff_Salaries!B6:B5000="June")*(Staff_Salaries!E6:E5000))</f>
        <v/>
      </c>
      <c r="T18" s="38">
        <f>IFERROR(R18-S18,"—")</f>
        <v/>
      </c>
      <c r="U18" s="37" t="n">
        <v>400000</v>
      </c>
      <c r="V18" s="38">
        <f>SUMPRODUCT((Staff_Salaries!A6:A5000=Dashboard!$B$1)*(Staff_Salaries!B6:B5000="July")*(Staff_Salaries!E6:E5000))</f>
        <v/>
      </c>
      <c r="W18" s="38">
        <f>IFERROR(U18-V18,"—")</f>
        <v/>
      </c>
      <c r="X18" s="37" t="n">
        <v>400000</v>
      </c>
      <c r="Y18" s="38">
        <f>SUMPRODUCT((Staff_Salaries!A6:A5000=Dashboard!$B$1)*(Staff_Salaries!B6:B5000="August")*(Staff_Salaries!E6:E5000))</f>
        <v/>
      </c>
      <c r="Z18" s="38">
        <f>IFERROR(X18-Y18,"—")</f>
        <v/>
      </c>
      <c r="AA18" s="37" t="n">
        <v>400000</v>
      </c>
      <c r="AB18" s="38">
        <f>SUMPRODUCT((Staff_Salaries!A6:A5000=Dashboard!$B$1)*(Staff_Salaries!B6:B5000="September")*(Staff_Salaries!E6:E5000))</f>
        <v/>
      </c>
      <c r="AC18" s="38">
        <f>IFERROR(AA18-AB18,"—")</f>
        <v/>
      </c>
      <c r="AD18" s="37" t="n">
        <v>400000</v>
      </c>
      <c r="AE18" s="38">
        <f>SUMPRODUCT((Staff_Salaries!A6:A5000=Dashboard!$B$1)*(Staff_Salaries!B6:B5000="October")*(Staff_Salaries!E6:E5000))</f>
        <v/>
      </c>
      <c r="AF18" s="38">
        <f>IFERROR(AD18-AE18,"—")</f>
        <v/>
      </c>
      <c r="AG18" s="37" t="n">
        <v>400000</v>
      </c>
      <c r="AH18" s="38">
        <f>SUMPRODUCT((Staff_Salaries!A6:A5000=Dashboard!$B$1)*(Staff_Salaries!B6:B5000="November")*(Staff_Salaries!E6:E5000))</f>
        <v/>
      </c>
      <c r="AI18" s="38">
        <f>IFERROR(AG18-AH18,"—")</f>
        <v/>
      </c>
      <c r="AJ18" s="37" t="n">
        <v>400000</v>
      </c>
      <c r="AK18" s="38">
        <f>SUMPRODUCT((Staff_Salaries!A6:A5000=Dashboard!$B$1)*(Staff_Salaries!B6:B5000="December")*(Staff_Salaries!E6:E5000))</f>
        <v/>
      </c>
      <c r="AL18" s="38">
        <f>IFERROR(AJ18-AK18,"—")</f>
        <v/>
      </c>
      <c r="AM18" s="39">
        <f>C18+F18+I18+L18+O18+R18+U18+X18+AA18+AD18+AG18+AJ18</f>
        <v/>
      </c>
      <c r="AN18" s="39">
        <f>D18+G18+J18+M18+P18+S18+V18+Y18+AB18+AE18+AH18+AK18</f>
        <v/>
      </c>
      <c r="AO18" s="39">
        <f>IFERROR(AM18-AN18,"—")</f>
        <v/>
      </c>
    </row>
    <row r="19" ht="15" customHeight="1">
      <c r="B19" s="40" t="inlineStr">
        <is>
          <t>Construction</t>
        </is>
      </c>
      <c r="C19" s="41" t="n">
        <v>350000</v>
      </c>
      <c r="D19" s="42">
        <f>SUMPRODUCT((YEAR(Expenses_Log!A6:A5000)=Dashboard!$B$1)*(MONTH(Expenses_Log!A6:A5000)=1)*(Expenses_Log!C6:C5000="Construction")*(Expenses_Log!G6:G5000))</f>
        <v/>
      </c>
      <c r="E19" s="42">
        <f>IFERROR(C19-D19,"—")</f>
        <v/>
      </c>
      <c r="F19" s="41" t="n">
        <v>300000</v>
      </c>
      <c r="G19" s="42">
        <f>SUMPRODUCT((YEAR(Expenses_Log!A6:A5000)=Dashboard!$B$1)*(MONTH(Expenses_Log!A6:A5000)=2)*(Expenses_Log!C6:C5000="Construction")*(Expenses_Log!G6:G5000))</f>
        <v/>
      </c>
      <c r="H19" s="42">
        <f>IFERROR(F19-G19,"—")</f>
        <v/>
      </c>
      <c r="I19" s="41" t="n">
        <v>250000</v>
      </c>
      <c r="J19" s="42">
        <f>SUMPRODUCT((YEAR(Expenses_Log!A6:A5000)=Dashboard!$B$1)*(MONTH(Expenses_Log!A6:A5000)=3)*(Expenses_Log!C6:C5000="Construction")*(Expenses_Log!G6:G5000))</f>
        <v/>
      </c>
      <c r="K19" s="42">
        <f>IFERROR(I19-J19,"—")</f>
        <v/>
      </c>
      <c r="L19" s="41" t="n">
        <v>200000</v>
      </c>
      <c r="M19" s="42">
        <f>SUMPRODUCT((YEAR(Expenses_Log!A6:A5000)=Dashboard!$B$1)*(MONTH(Expenses_Log!A6:A5000)=4)*(Expenses_Log!C6:C5000="Construction")*(Expenses_Log!G6:G5000))</f>
        <v/>
      </c>
      <c r="N19" s="42">
        <f>IFERROR(L19-M19,"—")</f>
        <v/>
      </c>
      <c r="O19" s="41" t="n">
        <v>150000</v>
      </c>
      <c r="P19" s="42">
        <f>SUMPRODUCT((YEAR(Expenses_Log!A6:A5000)=Dashboard!$B$1)*(MONTH(Expenses_Log!A6:A5000)=5)*(Expenses_Log!C6:C5000="Construction")*(Expenses_Log!G6:G5000))</f>
        <v/>
      </c>
      <c r="Q19" s="42">
        <f>IFERROR(O19-P19,"—")</f>
        <v/>
      </c>
      <c r="R19" s="41" t="n">
        <v>100000</v>
      </c>
      <c r="S19" s="42">
        <f>SUMPRODUCT((YEAR(Expenses_Log!A6:A5000)=Dashboard!$B$1)*(MONTH(Expenses_Log!A6:A5000)=6)*(Expenses_Log!C6:C5000="Construction")*(Expenses_Log!G6:G5000))</f>
        <v/>
      </c>
      <c r="T19" s="42">
        <f>IFERROR(R19-S19,"—")</f>
        <v/>
      </c>
      <c r="U19" s="41" t="n">
        <v>0</v>
      </c>
      <c r="V19" s="42">
        <f>SUMPRODUCT((YEAR(Expenses_Log!A6:A5000)=Dashboard!$B$1)*(MONTH(Expenses_Log!A6:A5000)=7)*(Expenses_Log!C6:C5000="Construction")*(Expenses_Log!G6:G5000))</f>
        <v/>
      </c>
      <c r="W19" s="42">
        <f>IFERROR(U19-V19,"—")</f>
        <v/>
      </c>
      <c r="X19" s="41" t="n">
        <v>0</v>
      </c>
      <c r="Y19" s="42">
        <f>SUMPRODUCT((YEAR(Expenses_Log!A6:A5000)=Dashboard!$B$1)*(MONTH(Expenses_Log!A6:A5000)=8)*(Expenses_Log!C6:C5000="Construction")*(Expenses_Log!G6:G5000))</f>
        <v/>
      </c>
      <c r="Z19" s="42">
        <f>IFERROR(X19-Y19,"—")</f>
        <v/>
      </c>
      <c r="AA19" s="41" t="n">
        <v>0</v>
      </c>
      <c r="AB19" s="42">
        <f>SUMPRODUCT((YEAR(Expenses_Log!A6:A5000)=Dashboard!$B$1)*(MONTH(Expenses_Log!A6:A5000)=9)*(Expenses_Log!C6:C5000="Construction")*(Expenses_Log!G6:G5000))</f>
        <v/>
      </c>
      <c r="AC19" s="42">
        <f>IFERROR(AA19-AB19,"—")</f>
        <v/>
      </c>
      <c r="AD19" s="41" t="n">
        <v>0</v>
      </c>
      <c r="AE19" s="42">
        <f>SUMPRODUCT((YEAR(Expenses_Log!A6:A5000)=Dashboard!$B$1)*(MONTH(Expenses_Log!A6:A5000)=10)*(Expenses_Log!C6:C5000="Construction")*(Expenses_Log!G6:G5000))</f>
        <v/>
      </c>
      <c r="AF19" s="42">
        <f>IFERROR(AD19-AE19,"—")</f>
        <v/>
      </c>
      <c r="AG19" s="41" t="n">
        <v>0</v>
      </c>
      <c r="AH19" s="42">
        <f>SUMPRODUCT((YEAR(Expenses_Log!A6:A5000)=Dashboard!$B$1)*(MONTH(Expenses_Log!A6:A5000)=11)*(Expenses_Log!C6:C5000="Construction")*(Expenses_Log!G6:G5000))</f>
        <v/>
      </c>
      <c r="AI19" s="42">
        <f>IFERROR(AG19-AH19,"—")</f>
        <v/>
      </c>
      <c r="AJ19" s="41" t="n">
        <v>0</v>
      </c>
      <c r="AK19" s="42">
        <f>SUMPRODUCT((YEAR(Expenses_Log!A6:A5000)=Dashboard!$B$1)*(MONTH(Expenses_Log!A6:A5000)=12)*(Expenses_Log!C6:C5000="Construction")*(Expenses_Log!G6:G5000))</f>
        <v/>
      </c>
      <c r="AL19" s="42">
        <f>IFERROR(AJ19-AK19,"—")</f>
        <v/>
      </c>
      <c r="AM19" s="43">
        <f>C19+F19+I19+L19+O19+R19+U19+X19+AA19+AD19+AG19+AJ19</f>
        <v/>
      </c>
      <c r="AN19" s="43">
        <f>D19+G19+J19+M19+P19+S19+V19+Y19+AB19+AE19+AH19+AK19</f>
        <v/>
      </c>
      <c r="AO19" s="43">
        <f>IFERROR(AM19-AN19,"—")</f>
        <v/>
      </c>
    </row>
    <row r="20" ht="15" customHeight="1">
      <c r="B20" s="36" t="inlineStr">
        <is>
          <t>Maintenance</t>
        </is>
      </c>
      <c r="C20" s="37" t="n">
        <v>100000</v>
      </c>
      <c r="D20" s="38">
        <f>SUMPRODUCT((YEAR(Expenses_Log!A6:A5000)=Dashboard!$B$1)*(MONTH(Expenses_Log!A6:A5000)=1)*(Expenses_Log!C6:C5000="Maintenance")*(Expenses_Log!G6:G5000))</f>
        <v/>
      </c>
      <c r="E20" s="38">
        <f>IFERROR(C20-D20,"—")</f>
        <v/>
      </c>
      <c r="F20" s="37" t="n">
        <v>90000</v>
      </c>
      <c r="G20" s="38">
        <f>SUMPRODUCT((YEAR(Expenses_Log!A6:A5000)=Dashboard!$B$1)*(MONTH(Expenses_Log!A6:A5000)=2)*(Expenses_Log!C6:C5000="Maintenance")*(Expenses_Log!G6:G5000))</f>
        <v/>
      </c>
      <c r="H20" s="38">
        <f>IFERROR(F20-G20,"—")</f>
        <v/>
      </c>
      <c r="I20" s="37" t="n">
        <v>90000</v>
      </c>
      <c r="J20" s="38">
        <f>SUMPRODUCT((YEAR(Expenses_Log!A6:A5000)=Dashboard!$B$1)*(MONTH(Expenses_Log!A6:A5000)=3)*(Expenses_Log!C6:C5000="Maintenance")*(Expenses_Log!G6:G5000))</f>
        <v/>
      </c>
      <c r="K20" s="38">
        <f>IFERROR(I20-J20,"—")</f>
        <v/>
      </c>
      <c r="L20" s="37" t="n">
        <v>80000</v>
      </c>
      <c r="M20" s="38">
        <f>SUMPRODUCT((YEAR(Expenses_Log!A6:A5000)=Dashboard!$B$1)*(MONTH(Expenses_Log!A6:A5000)=4)*(Expenses_Log!C6:C5000="Maintenance")*(Expenses_Log!G6:G5000))</f>
        <v/>
      </c>
      <c r="N20" s="38">
        <f>IFERROR(L20-M20,"—")</f>
        <v/>
      </c>
      <c r="O20" s="37" t="n">
        <v>80000</v>
      </c>
      <c r="P20" s="38">
        <f>SUMPRODUCT((YEAR(Expenses_Log!A6:A5000)=Dashboard!$B$1)*(MONTH(Expenses_Log!A6:A5000)=5)*(Expenses_Log!C6:C5000="Maintenance")*(Expenses_Log!G6:G5000))</f>
        <v/>
      </c>
      <c r="Q20" s="38">
        <f>IFERROR(O20-P20,"—")</f>
        <v/>
      </c>
      <c r="R20" s="37" t="n">
        <v>80000</v>
      </c>
      <c r="S20" s="38">
        <f>SUMPRODUCT((YEAR(Expenses_Log!A6:A5000)=Dashboard!$B$1)*(MONTH(Expenses_Log!A6:A5000)=6)*(Expenses_Log!C6:C5000="Maintenance")*(Expenses_Log!G6:G5000))</f>
        <v/>
      </c>
      <c r="T20" s="38">
        <f>IFERROR(R20-S20,"—")</f>
        <v/>
      </c>
      <c r="U20" s="37" t="n">
        <v>80000</v>
      </c>
      <c r="V20" s="38">
        <f>SUMPRODUCT((YEAR(Expenses_Log!A6:A5000)=Dashboard!$B$1)*(MONTH(Expenses_Log!A6:A5000)=7)*(Expenses_Log!C6:C5000="Maintenance")*(Expenses_Log!G6:G5000))</f>
        <v/>
      </c>
      <c r="W20" s="38">
        <f>IFERROR(U20-V20,"—")</f>
        <v/>
      </c>
      <c r="X20" s="37" t="n">
        <v>80000</v>
      </c>
      <c r="Y20" s="38">
        <f>SUMPRODUCT((YEAR(Expenses_Log!A6:A5000)=Dashboard!$B$1)*(MONTH(Expenses_Log!A6:A5000)=8)*(Expenses_Log!C6:C5000="Maintenance")*(Expenses_Log!G6:G5000))</f>
        <v/>
      </c>
      <c r="Z20" s="38">
        <f>IFERROR(X20-Y20,"—")</f>
        <v/>
      </c>
      <c r="AA20" s="37" t="n">
        <v>100000</v>
      </c>
      <c r="AB20" s="38">
        <f>SUMPRODUCT((YEAR(Expenses_Log!A6:A5000)=Dashboard!$B$1)*(MONTH(Expenses_Log!A6:A5000)=9)*(Expenses_Log!C6:C5000="Maintenance")*(Expenses_Log!G6:G5000))</f>
        <v/>
      </c>
      <c r="AC20" s="38">
        <f>IFERROR(AA20-AB20,"—")</f>
        <v/>
      </c>
      <c r="AD20" s="37" t="n">
        <v>100000</v>
      </c>
      <c r="AE20" s="38">
        <f>SUMPRODUCT((YEAR(Expenses_Log!A6:A5000)=Dashboard!$B$1)*(MONTH(Expenses_Log!A6:A5000)=10)*(Expenses_Log!C6:C5000="Maintenance")*(Expenses_Log!G6:G5000))</f>
        <v/>
      </c>
      <c r="AF20" s="38">
        <f>IFERROR(AD20-AE20,"—")</f>
        <v/>
      </c>
      <c r="AG20" s="37" t="n">
        <v>90000</v>
      </c>
      <c r="AH20" s="38">
        <f>SUMPRODUCT((YEAR(Expenses_Log!A6:A5000)=Dashboard!$B$1)*(MONTH(Expenses_Log!A6:A5000)=11)*(Expenses_Log!C6:C5000="Maintenance")*(Expenses_Log!G6:G5000))</f>
        <v/>
      </c>
      <c r="AI20" s="38">
        <f>IFERROR(AG20-AH20,"—")</f>
        <v/>
      </c>
      <c r="AJ20" s="37" t="n">
        <v>90000</v>
      </c>
      <c r="AK20" s="38">
        <f>SUMPRODUCT((YEAR(Expenses_Log!A6:A5000)=Dashboard!$B$1)*(MONTH(Expenses_Log!A6:A5000)=12)*(Expenses_Log!C6:C5000="Maintenance")*(Expenses_Log!G6:G5000))</f>
        <v/>
      </c>
      <c r="AL20" s="38">
        <f>IFERROR(AJ20-AK20,"—")</f>
        <v/>
      </c>
      <c r="AM20" s="39">
        <f>C20+F20+I20+L20+O20+R20+U20+X20+AA20+AD20+AG20+AJ20</f>
        <v/>
      </c>
      <c r="AN20" s="39">
        <f>D20+G20+J20+M20+P20+S20+V20+Y20+AB20+AE20+AH20+AK20</f>
        <v/>
      </c>
      <c r="AO20" s="39">
        <f>IFERROR(AM20-AN20,"—")</f>
        <v/>
      </c>
    </row>
    <row r="21" ht="15" customHeight="1">
      <c r="B21" s="40" t="inlineStr">
        <is>
          <t>Utilities</t>
        </is>
      </c>
      <c r="C21" s="41" t="n">
        <v>130000</v>
      </c>
      <c r="D21" s="42">
        <f>SUMPRODUCT((YEAR(Expenses_Log!A6:A5000)=Dashboard!$B$1)*(MONTH(Expenses_Log!A6:A5000)=1)*(Expenses_Log!C6:C5000="Utilities")*(Expenses_Log!G6:G5000))</f>
        <v/>
      </c>
      <c r="E21" s="42">
        <f>IFERROR(C21-D21,"—")</f>
        <v/>
      </c>
      <c r="F21" s="41" t="n">
        <v>120000</v>
      </c>
      <c r="G21" s="42">
        <f>SUMPRODUCT((YEAR(Expenses_Log!A6:A5000)=Dashboard!$B$1)*(MONTH(Expenses_Log!A6:A5000)=2)*(Expenses_Log!C6:C5000="Utilities")*(Expenses_Log!G6:G5000))</f>
        <v/>
      </c>
      <c r="H21" s="42">
        <f>IFERROR(F21-G21,"—")</f>
        <v/>
      </c>
      <c r="I21" s="41" t="n">
        <v>110000</v>
      </c>
      <c r="J21" s="42">
        <f>SUMPRODUCT((YEAR(Expenses_Log!A6:A5000)=Dashboard!$B$1)*(MONTH(Expenses_Log!A6:A5000)=3)*(Expenses_Log!C6:C5000="Utilities")*(Expenses_Log!G6:G5000))</f>
        <v/>
      </c>
      <c r="K21" s="42">
        <f>IFERROR(I21-J21,"—")</f>
        <v/>
      </c>
      <c r="L21" s="41" t="n">
        <v>110000</v>
      </c>
      <c r="M21" s="42">
        <f>SUMPRODUCT((YEAR(Expenses_Log!A6:A5000)=Dashboard!$B$1)*(MONTH(Expenses_Log!A6:A5000)=4)*(Expenses_Log!C6:C5000="Utilities")*(Expenses_Log!G6:G5000))</f>
        <v/>
      </c>
      <c r="N21" s="42">
        <f>IFERROR(L21-M21,"—")</f>
        <v/>
      </c>
      <c r="O21" s="41" t="n">
        <v>110000</v>
      </c>
      <c r="P21" s="42">
        <f>SUMPRODUCT((YEAR(Expenses_Log!A6:A5000)=Dashboard!$B$1)*(MONTH(Expenses_Log!A6:A5000)=5)*(Expenses_Log!C6:C5000="Utilities")*(Expenses_Log!G6:G5000))</f>
        <v/>
      </c>
      <c r="Q21" s="42">
        <f>IFERROR(O21-P21,"—")</f>
        <v/>
      </c>
      <c r="R21" s="41" t="n">
        <v>110000</v>
      </c>
      <c r="S21" s="42">
        <f>SUMPRODUCT((YEAR(Expenses_Log!A6:A5000)=Dashboard!$B$1)*(MONTH(Expenses_Log!A6:A5000)=6)*(Expenses_Log!C6:C5000="Utilities")*(Expenses_Log!G6:G5000))</f>
        <v/>
      </c>
      <c r="T21" s="42">
        <f>IFERROR(R21-S21,"—")</f>
        <v/>
      </c>
      <c r="U21" s="41" t="n">
        <v>110000</v>
      </c>
      <c r="V21" s="42">
        <f>SUMPRODUCT((YEAR(Expenses_Log!A6:A5000)=Dashboard!$B$1)*(MONTH(Expenses_Log!A6:A5000)=7)*(Expenses_Log!C6:C5000="Utilities")*(Expenses_Log!G6:G5000))</f>
        <v/>
      </c>
      <c r="W21" s="42">
        <f>IFERROR(U21-V21,"—")</f>
        <v/>
      </c>
      <c r="X21" s="41" t="n">
        <v>110000</v>
      </c>
      <c r="Y21" s="42">
        <f>SUMPRODUCT((YEAR(Expenses_Log!A6:A5000)=Dashboard!$B$1)*(MONTH(Expenses_Log!A6:A5000)=8)*(Expenses_Log!C6:C5000="Utilities")*(Expenses_Log!G6:G5000))</f>
        <v/>
      </c>
      <c r="Z21" s="42">
        <f>IFERROR(X21-Y21,"—")</f>
        <v/>
      </c>
      <c r="AA21" s="41" t="n">
        <v>130000</v>
      </c>
      <c r="AB21" s="42">
        <f>SUMPRODUCT((YEAR(Expenses_Log!A6:A5000)=Dashboard!$B$1)*(MONTH(Expenses_Log!A6:A5000)=9)*(Expenses_Log!C6:C5000="Utilities")*(Expenses_Log!G6:G5000))</f>
        <v/>
      </c>
      <c r="AC21" s="42">
        <f>IFERROR(AA21-AB21,"—")</f>
        <v/>
      </c>
      <c r="AD21" s="41" t="n">
        <v>130000</v>
      </c>
      <c r="AE21" s="42">
        <f>SUMPRODUCT((YEAR(Expenses_Log!A6:A5000)=Dashboard!$B$1)*(MONTH(Expenses_Log!A6:A5000)=10)*(Expenses_Log!C6:C5000="Utilities")*(Expenses_Log!G6:G5000))</f>
        <v/>
      </c>
      <c r="AF21" s="42">
        <f>IFERROR(AD21-AE21,"—")</f>
        <v/>
      </c>
      <c r="AG21" s="41" t="n">
        <v>120000</v>
      </c>
      <c r="AH21" s="42">
        <f>SUMPRODUCT((YEAR(Expenses_Log!A6:A5000)=Dashboard!$B$1)*(MONTH(Expenses_Log!A6:A5000)=11)*(Expenses_Log!C6:C5000="Utilities")*(Expenses_Log!G6:G5000))</f>
        <v/>
      </c>
      <c r="AI21" s="42">
        <f>IFERROR(AG21-AH21,"—")</f>
        <v/>
      </c>
      <c r="AJ21" s="41" t="n">
        <v>120000</v>
      </c>
      <c r="AK21" s="42">
        <f>SUMPRODUCT((YEAR(Expenses_Log!A6:A5000)=Dashboard!$B$1)*(MONTH(Expenses_Log!A6:A5000)=12)*(Expenses_Log!C6:C5000="Utilities")*(Expenses_Log!G6:G5000))</f>
        <v/>
      </c>
      <c r="AL21" s="42">
        <f>IFERROR(AJ21-AK21,"—")</f>
        <v/>
      </c>
      <c r="AM21" s="43">
        <f>C21+F21+I21+L21+O21+R21+U21+X21+AA21+AD21+AG21+AJ21</f>
        <v/>
      </c>
      <c r="AN21" s="43">
        <f>D21+G21+J21+M21+P21+S21+V21+Y21+AB21+AE21+AH21+AK21</f>
        <v/>
      </c>
      <c r="AO21" s="43">
        <f>IFERROR(AM21-AN21,"—")</f>
        <v/>
      </c>
    </row>
    <row r="22" ht="15" customHeight="1">
      <c r="B22" s="36" t="inlineStr">
        <is>
          <t>Inventory</t>
        </is>
      </c>
      <c r="C22" s="37" t="n">
        <v>80000</v>
      </c>
      <c r="D22" s="38">
        <f>SUMPRODUCT((YEAR(Expenses_Log!A6:A5000)=Dashboard!$B$1)*(MONTH(Expenses_Log!A6:A5000)=1)*(Expenses_Log!C6:C5000="Inventory")*(Expenses_Log!G6:G5000))</f>
        <v/>
      </c>
      <c r="E22" s="38">
        <f>IFERROR(C22-D22,"—")</f>
        <v/>
      </c>
      <c r="F22" s="37" t="n">
        <v>60000</v>
      </c>
      <c r="G22" s="38">
        <f>SUMPRODUCT((YEAR(Expenses_Log!A6:A5000)=Dashboard!$B$1)*(MONTH(Expenses_Log!A6:A5000)=2)*(Expenses_Log!C6:C5000="Inventory")*(Expenses_Log!G6:G5000))</f>
        <v/>
      </c>
      <c r="H22" s="38">
        <f>IFERROR(F22-G22,"—")</f>
        <v/>
      </c>
      <c r="I22" s="37" t="n">
        <v>60000</v>
      </c>
      <c r="J22" s="38">
        <f>SUMPRODUCT((YEAR(Expenses_Log!A6:A5000)=Dashboard!$B$1)*(MONTH(Expenses_Log!A6:A5000)=3)*(Expenses_Log!C6:C5000="Inventory")*(Expenses_Log!G6:G5000))</f>
        <v/>
      </c>
      <c r="K22" s="38">
        <f>IFERROR(I22-J22,"—")</f>
        <v/>
      </c>
      <c r="L22" s="37" t="n">
        <v>50000</v>
      </c>
      <c r="M22" s="38">
        <f>SUMPRODUCT((YEAR(Expenses_Log!A6:A5000)=Dashboard!$B$1)*(MONTH(Expenses_Log!A6:A5000)=4)*(Expenses_Log!C6:C5000="Inventory")*(Expenses_Log!G6:G5000))</f>
        <v/>
      </c>
      <c r="N22" s="38">
        <f>IFERROR(L22-M22,"—")</f>
        <v/>
      </c>
      <c r="O22" s="37" t="n">
        <v>50000</v>
      </c>
      <c r="P22" s="38">
        <f>SUMPRODUCT((YEAR(Expenses_Log!A6:A5000)=Dashboard!$B$1)*(MONTH(Expenses_Log!A6:A5000)=5)*(Expenses_Log!C6:C5000="Inventory")*(Expenses_Log!G6:G5000))</f>
        <v/>
      </c>
      <c r="Q22" s="38">
        <f>IFERROR(O22-P22,"—")</f>
        <v/>
      </c>
      <c r="R22" s="37" t="n">
        <v>50000</v>
      </c>
      <c r="S22" s="38">
        <f>SUMPRODUCT((YEAR(Expenses_Log!A6:A5000)=Dashboard!$B$1)*(MONTH(Expenses_Log!A6:A5000)=6)*(Expenses_Log!C6:C5000="Inventory")*(Expenses_Log!G6:G5000))</f>
        <v/>
      </c>
      <c r="T22" s="38">
        <f>IFERROR(R22-S22,"—")</f>
        <v/>
      </c>
      <c r="U22" s="37" t="n">
        <v>50000</v>
      </c>
      <c r="V22" s="38">
        <f>SUMPRODUCT((YEAR(Expenses_Log!A6:A5000)=Dashboard!$B$1)*(MONTH(Expenses_Log!A6:A5000)=7)*(Expenses_Log!C6:C5000="Inventory")*(Expenses_Log!G6:G5000))</f>
        <v/>
      </c>
      <c r="W22" s="38">
        <f>IFERROR(U22-V22,"—")</f>
        <v/>
      </c>
      <c r="X22" s="37" t="n">
        <v>50000</v>
      </c>
      <c r="Y22" s="38">
        <f>SUMPRODUCT((YEAR(Expenses_Log!A6:A5000)=Dashboard!$B$1)*(MONTH(Expenses_Log!A6:A5000)=8)*(Expenses_Log!C6:C5000="Inventory")*(Expenses_Log!G6:G5000))</f>
        <v/>
      </c>
      <c r="Z22" s="38">
        <f>IFERROR(X22-Y22,"—")</f>
        <v/>
      </c>
      <c r="AA22" s="37" t="n">
        <v>80000</v>
      </c>
      <c r="AB22" s="38">
        <f>SUMPRODUCT((YEAR(Expenses_Log!A6:A5000)=Dashboard!$B$1)*(MONTH(Expenses_Log!A6:A5000)=9)*(Expenses_Log!C6:C5000="Inventory")*(Expenses_Log!G6:G5000))</f>
        <v/>
      </c>
      <c r="AC22" s="38">
        <f>IFERROR(AA22-AB22,"—")</f>
        <v/>
      </c>
      <c r="AD22" s="37" t="n">
        <v>80000</v>
      </c>
      <c r="AE22" s="38">
        <f>SUMPRODUCT((YEAR(Expenses_Log!A6:A5000)=Dashboard!$B$1)*(MONTH(Expenses_Log!A6:A5000)=10)*(Expenses_Log!C6:C5000="Inventory")*(Expenses_Log!G6:G5000))</f>
        <v/>
      </c>
      <c r="AF22" s="38">
        <f>IFERROR(AD22-AE22,"—")</f>
        <v/>
      </c>
      <c r="AG22" s="37" t="n">
        <v>60000</v>
      </c>
      <c r="AH22" s="38">
        <f>SUMPRODUCT((YEAR(Expenses_Log!A6:A5000)=Dashboard!$B$1)*(MONTH(Expenses_Log!A6:A5000)=11)*(Expenses_Log!C6:C5000="Inventory")*(Expenses_Log!G6:G5000))</f>
        <v/>
      </c>
      <c r="AI22" s="38">
        <f>IFERROR(AG22-AH22,"—")</f>
        <v/>
      </c>
      <c r="AJ22" s="37" t="n">
        <v>60000</v>
      </c>
      <c r="AK22" s="38">
        <f>SUMPRODUCT((YEAR(Expenses_Log!A6:A5000)=Dashboard!$B$1)*(MONTH(Expenses_Log!A6:A5000)=12)*(Expenses_Log!C6:C5000="Inventory")*(Expenses_Log!G6:G5000))</f>
        <v/>
      </c>
      <c r="AL22" s="38">
        <f>IFERROR(AJ22-AK22,"—")</f>
        <v/>
      </c>
      <c r="AM22" s="39">
        <f>C22+F22+I22+L22+O22+R22+U22+X22+AA22+AD22+AG22+AJ22</f>
        <v/>
      </c>
      <c r="AN22" s="39">
        <f>D22+G22+J22+M22+P22+S22+V22+Y22+AB22+AE22+AH22+AK22</f>
        <v/>
      </c>
      <c r="AO22" s="39">
        <f>IFERROR(AM22-AN22,"—")</f>
        <v/>
      </c>
    </row>
    <row r="23" ht="15" customHeight="1">
      <c r="B23" s="40" t="inlineStr">
        <is>
          <t>Administrative</t>
        </is>
      </c>
      <c r="C23" s="41" t="n">
        <v>40000</v>
      </c>
      <c r="D23" s="42">
        <f>SUMPRODUCT((YEAR(Expenses_Log!A6:A5000)=Dashboard!$B$1)*(MONTH(Expenses_Log!A6:A5000)=1)*(Expenses_Log!C6:C5000="Administrative")*(Expenses_Log!G6:G5000))</f>
        <v/>
      </c>
      <c r="E23" s="42">
        <f>IFERROR(C23-D23,"—")</f>
        <v/>
      </c>
      <c r="F23" s="41" t="n">
        <v>30000</v>
      </c>
      <c r="G23" s="42">
        <f>SUMPRODUCT((YEAR(Expenses_Log!A6:A5000)=Dashboard!$B$1)*(MONTH(Expenses_Log!A6:A5000)=2)*(Expenses_Log!C6:C5000="Administrative")*(Expenses_Log!G6:G5000))</f>
        <v/>
      </c>
      <c r="H23" s="42">
        <f>IFERROR(F23-G23,"—")</f>
        <v/>
      </c>
      <c r="I23" s="41" t="n">
        <v>30000</v>
      </c>
      <c r="J23" s="42">
        <f>SUMPRODUCT((YEAR(Expenses_Log!A6:A5000)=Dashboard!$B$1)*(MONTH(Expenses_Log!A6:A5000)=3)*(Expenses_Log!C6:C5000="Administrative")*(Expenses_Log!G6:G5000))</f>
        <v/>
      </c>
      <c r="K23" s="42">
        <f>IFERROR(I23-J23,"—")</f>
        <v/>
      </c>
      <c r="L23" s="41" t="n">
        <v>25000</v>
      </c>
      <c r="M23" s="42">
        <f>SUMPRODUCT((YEAR(Expenses_Log!A6:A5000)=Dashboard!$B$1)*(MONTH(Expenses_Log!A6:A5000)=4)*(Expenses_Log!C6:C5000="Administrative")*(Expenses_Log!G6:G5000))</f>
        <v/>
      </c>
      <c r="N23" s="42">
        <f>IFERROR(L23-M23,"—")</f>
        <v/>
      </c>
      <c r="O23" s="41" t="n">
        <v>25000</v>
      </c>
      <c r="P23" s="42">
        <f>SUMPRODUCT((YEAR(Expenses_Log!A6:A5000)=Dashboard!$B$1)*(MONTH(Expenses_Log!A6:A5000)=5)*(Expenses_Log!C6:C5000="Administrative")*(Expenses_Log!G6:G5000))</f>
        <v/>
      </c>
      <c r="Q23" s="42">
        <f>IFERROR(O23-P23,"—")</f>
        <v/>
      </c>
      <c r="R23" s="41" t="n">
        <v>25000</v>
      </c>
      <c r="S23" s="42">
        <f>SUMPRODUCT((YEAR(Expenses_Log!A6:A5000)=Dashboard!$B$1)*(MONTH(Expenses_Log!A6:A5000)=6)*(Expenses_Log!C6:C5000="Administrative")*(Expenses_Log!G6:G5000))</f>
        <v/>
      </c>
      <c r="T23" s="42">
        <f>IFERROR(R23-S23,"—")</f>
        <v/>
      </c>
      <c r="U23" s="41" t="n">
        <v>25000</v>
      </c>
      <c r="V23" s="42">
        <f>SUMPRODUCT((YEAR(Expenses_Log!A6:A5000)=Dashboard!$B$1)*(MONTH(Expenses_Log!A6:A5000)=7)*(Expenses_Log!C6:C5000="Administrative")*(Expenses_Log!G6:G5000))</f>
        <v/>
      </c>
      <c r="W23" s="42">
        <f>IFERROR(U23-V23,"—")</f>
        <v/>
      </c>
      <c r="X23" s="41" t="n">
        <v>25000</v>
      </c>
      <c r="Y23" s="42">
        <f>SUMPRODUCT((YEAR(Expenses_Log!A6:A5000)=Dashboard!$B$1)*(MONTH(Expenses_Log!A6:A5000)=8)*(Expenses_Log!C6:C5000="Administrative")*(Expenses_Log!G6:G5000))</f>
        <v/>
      </c>
      <c r="Z23" s="42">
        <f>IFERROR(X23-Y23,"—")</f>
        <v/>
      </c>
      <c r="AA23" s="41" t="n">
        <v>40000</v>
      </c>
      <c r="AB23" s="42">
        <f>SUMPRODUCT((YEAR(Expenses_Log!A6:A5000)=Dashboard!$B$1)*(MONTH(Expenses_Log!A6:A5000)=9)*(Expenses_Log!C6:C5000="Administrative")*(Expenses_Log!G6:G5000))</f>
        <v/>
      </c>
      <c r="AC23" s="42">
        <f>IFERROR(AA23-AB23,"—")</f>
        <v/>
      </c>
      <c r="AD23" s="41" t="n">
        <v>40000</v>
      </c>
      <c r="AE23" s="42">
        <f>SUMPRODUCT((YEAR(Expenses_Log!A6:A5000)=Dashboard!$B$1)*(MONTH(Expenses_Log!A6:A5000)=10)*(Expenses_Log!C6:C5000="Administrative")*(Expenses_Log!G6:G5000))</f>
        <v/>
      </c>
      <c r="AF23" s="42">
        <f>IFERROR(AD23-AE23,"—")</f>
        <v/>
      </c>
      <c r="AG23" s="41" t="n">
        <v>30000</v>
      </c>
      <c r="AH23" s="42">
        <f>SUMPRODUCT((YEAR(Expenses_Log!A6:A5000)=Dashboard!$B$1)*(MONTH(Expenses_Log!A6:A5000)=11)*(Expenses_Log!C6:C5000="Administrative")*(Expenses_Log!G6:G5000))</f>
        <v/>
      </c>
      <c r="AI23" s="42">
        <f>IFERROR(AG23-AH23,"—")</f>
        <v/>
      </c>
      <c r="AJ23" s="41" t="n">
        <v>30000</v>
      </c>
      <c r="AK23" s="42">
        <f>SUMPRODUCT((YEAR(Expenses_Log!A6:A5000)=Dashboard!$B$1)*(MONTH(Expenses_Log!A6:A5000)=12)*(Expenses_Log!C6:C5000="Administrative")*(Expenses_Log!G6:G5000))</f>
        <v/>
      </c>
      <c r="AL23" s="42">
        <f>IFERROR(AJ23-AK23,"—")</f>
        <v/>
      </c>
      <c r="AM23" s="43">
        <f>C23+F23+I23+L23+O23+R23+U23+X23+AA23+AD23+AG23+AJ23</f>
        <v/>
      </c>
      <c r="AN23" s="43">
        <f>D23+G23+J23+M23+P23+S23+V23+Y23+AB23+AE23+AH23+AK23</f>
        <v/>
      </c>
      <c r="AO23" s="43">
        <f>IFERROR(AM23-AN23,"—")</f>
        <v/>
      </c>
    </row>
    <row r="24" ht="15" customHeight="1">
      <c r="B24" s="36" t="inlineStr">
        <is>
          <t>Loans &amp; Advances</t>
        </is>
      </c>
      <c r="C24" s="37" t="n">
        <v>200000</v>
      </c>
      <c r="D24" s="38">
        <f>SUMPRODUCT((YEAR(Expenses_Log!A6:A5000)=Dashboard!$B$1)*(MONTH(Expenses_Log!A6:A5000)=1)*(Expenses_Log!C6:C5000="Loans &amp; Advances")*(Expenses_Log!G6:G5000))</f>
        <v/>
      </c>
      <c r="E24" s="38">
        <f>IFERROR(C24-D24,"—")</f>
        <v/>
      </c>
      <c r="F24" s="37" t="n">
        <v>0</v>
      </c>
      <c r="G24" s="38">
        <f>SUMPRODUCT((YEAR(Expenses_Log!A6:A5000)=Dashboard!$B$1)*(MONTH(Expenses_Log!A6:A5000)=2)*(Expenses_Log!C6:C5000="Loans &amp; Advances")*(Expenses_Log!G6:G5000))</f>
        <v/>
      </c>
      <c r="H24" s="38">
        <f>IFERROR(F24-G24,"—")</f>
        <v/>
      </c>
      <c r="I24" s="37" t="n">
        <v>200000</v>
      </c>
      <c r="J24" s="38">
        <f>SUMPRODUCT((YEAR(Expenses_Log!A6:A5000)=Dashboard!$B$1)*(MONTH(Expenses_Log!A6:A5000)=3)*(Expenses_Log!C6:C5000="Loans &amp; Advances")*(Expenses_Log!G6:G5000))</f>
        <v/>
      </c>
      <c r="K24" s="38">
        <f>IFERROR(I24-J24,"—")</f>
        <v/>
      </c>
      <c r="L24" s="37" t="n">
        <v>0</v>
      </c>
      <c r="M24" s="38">
        <f>SUMPRODUCT((YEAR(Expenses_Log!A6:A5000)=Dashboard!$B$1)*(MONTH(Expenses_Log!A6:A5000)=4)*(Expenses_Log!C6:C5000="Loans &amp; Advances")*(Expenses_Log!G6:G5000))</f>
        <v/>
      </c>
      <c r="N24" s="38">
        <f>IFERROR(L24-M24,"—")</f>
        <v/>
      </c>
      <c r="O24" s="37" t="n">
        <v>200000</v>
      </c>
      <c r="P24" s="38">
        <f>SUMPRODUCT((YEAR(Expenses_Log!A6:A5000)=Dashboard!$B$1)*(MONTH(Expenses_Log!A6:A5000)=5)*(Expenses_Log!C6:C5000="Loans &amp; Advances")*(Expenses_Log!G6:G5000))</f>
        <v/>
      </c>
      <c r="Q24" s="38">
        <f>IFERROR(O24-P24,"—")</f>
        <v/>
      </c>
      <c r="R24" s="37" t="n">
        <v>0</v>
      </c>
      <c r="S24" s="38">
        <f>SUMPRODUCT((YEAR(Expenses_Log!A6:A5000)=Dashboard!$B$1)*(MONTH(Expenses_Log!A6:A5000)=6)*(Expenses_Log!C6:C5000="Loans &amp; Advances")*(Expenses_Log!G6:G5000))</f>
        <v/>
      </c>
      <c r="T24" s="38">
        <f>IFERROR(R24-S24,"—")</f>
        <v/>
      </c>
      <c r="U24" s="37" t="n">
        <v>200000</v>
      </c>
      <c r="V24" s="38">
        <f>SUMPRODUCT((YEAR(Expenses_Log!A6:A5000)=Dashboard!$B$1)*(MONTH(Expenses_Log!A6:A5000)=7)*(Expenses_Log!C6:C5000="Loans &amp; Advances")*(Expenses_Log!G6:G5000))</f>
        <v/>
      </c>
      <c r="W24" s="38">
        <f>IFERROR(U24-V24,"—")</f>
        <v/>
      </c>
      <c r="X24" s="37" t="n">
        <v>0</v>
      </c>
      <c r="Y24" s="38">
        <f>SUMPRODUCT((YEAR(Expenses_Log!A6:A5000)=Dashboard!$B$1)*(MONTH(Expenses_Log!A6:A5000)=8)*(Expenses_Log!C6:C5000="Loans &amp; Advances")*(Expenses_Log!G6:G5000))</f>
        <v/>
      </c>
      <c r="Z24" s="38">
        <f>IFERROR(X24-Y24,"—")</f>
        <v/>
      </c>
      <c r="AA24" s="37" t="n">
        <v>200000</v>
      </c>
      <c r="AB24" s="38">
        <f>SUMPRODUCT((YEAR(Expenses_Log!A6:A5000)=Dashboard!$B$1)*(MONTH(Expenses_Log!A6:A5000)=9)*(Expenses_Log!C6:C5000="Loans &amp; Advances")*(Expenses_Log!G6:G5000))</f>
        <v/>
      </c>
      <c r="AC24" s="38">
        <f>IFERROR(AA24-AB24,"—")</f>
        <v/>
      </c>
      <c r="AD24" s="37" t="n">
        <v>0</v>
      </c>
      <c r="AE24" s="38">
        <f>SUMPRODUCT((YEAR(Expenses_Log!A6:A5000)=Dashboard!$B$1)*(MONTH(Expenses_Log!A6:A5000)=10)*(Expenses_Log!C6:C5000="Loans &amp; Advances")*(Expenses_Log!G6:G5000))</f>
        <v/>
      </c>
      <c r="AF24" s="38">
        <f>IFERROR(AD24-AE24,"—")</f>
        <v/>
      </c>
      <c r="AG24" s="37" t="n">
        <v>200000</v>
      </c>
      <c r="AH24" s="38">
        <f>SUMPRODUCT((YEAR(Expenses_Log!A6:A5000)=Dashboard!$B$1)*(MONTH(Expenses_Log!A6:A5000)=11)*(Expenses_Log!C6:C5000="Loans &amp; Advances")*(Expenses_Log!G6:G5000))</f>
        <v/>
      </c>
      <c r="AI24" s="38">
        <f>IFERROR(AG24-AH24,"—")</f>
        <v/>
      </c>
      <c r="AJ24" s="37" t="n">
        <v>0</v>
      </c>
      <c r="AK24" s="38">
        <f>SUMPRODUCT((YEAR(Expenses_Log!A6:A5000)=Dashboard!$B$1)*(MONTH(Expenses_Log!A6:A5000)=12)*(Expenses_Log!C6:C5000="Loans &amp; Advances")*(Expenses_Log!G6:G5000))</f>
        <v/>
      </c>
      <c r="AL24" s="38">
        <f>IFERROR(AJ24-AK24,"—")</f>
        <v/>
      </c>
      <c r="AM24" s="39">
        <f>C24+F24+I24+L24+O24+R24+U24+X24+AA24+AD24+AG24+AJ24</f>
        <v/>
      </c>
      <c r="AN24" s="39">
        <f>D24+G24+J24+M24+P24+S24+V24+Y24+AB24+AE24+AH24+AK24</f>
        <v/>
      </c>
      <c r="AO24" s="39">
        <f>IFERROR(AM24-AN24,"—")</f>
        <v/>
      </c>
    </row>
    <row r="25" ht="15" customHeight="1">
      <c r="B25" s="40" t="inlineStr">
        <is>
          <t>Transportation</t>
        </is>
      </c>
      <c r="C25" s="41" t="n">
        <v>12000</v>
      </c>
      <c r="D25" s="42">
        <f>SUMPRODUCT((YEAR(Expenses_Log!A6:A5000)=Dashboard!$B$1)*(MONTH(Expenses_Log!A6:A5000)=1)*(Expenses_Log!C6:C5000="Transportation")*(Expenses_Log!G6:G5000))</f>
        <v/>
      </c>
      <c r="E25" s="42">
        <f>IFERROR(C25-D25,"—")</f>
        <v/>
      </c>
      <c r="F25" s="41" t="n">
        <v>10000</v>
      </c>
      <c r="G25" s="42">
        <f>SUMPRODUCT((YEAR(Expenses_Log!A6:A5000)=Dashboard!$B$1)*(MONTH(Expenses_Log!A6:A5000)=2)*(Expenses_Log!C6:C5000="Transportation")*(Expenses_Log!G6:G5000))</f>
        <v/>
      </c>
      <c r="H25" s="42">
        <f>IFERROR(F25-G25,"—")</f>
        <v/>
      </c>
      <c r="I25" s="41" t="n">
        <v>10000</v>
      </c>
      <c r="J25" s="42">
        <f>SUMPRODUCT((YEAR(Expenses_Log!A6:A5000)=Dashboard!$B$1)*(MONTH(Expenses_Log!A6:A5000)=3)*(Expenses_Log!C6:C5000="Transportation")*(Expenses_Log!G6:G5000))</f>
        <v/>
      </c>
      <c r="K25" s="42">
        <f>IFERROR(I25-J25,"—")</f>
        <v/>
      </c>
      <c r="L25" s="41" t="n">
        <v>10000</v>
      </c>
      <c r="M25" s="42">
        <f>SUMPRODUCT((YEAR(Expenses_Log!A6:A5000)=Dashboard!$B$1)*(MONTH(Expenses_Log!A6:A5000)=4)*(Expenses_Log!C6:C5000="Transportation")*(Expenses_Log!G6:G5000))</f>
        <v/>
      </c>
      <c r="N25" s="42">
        <f>IFERROR(L25-M25,"—")</f>
        <v/>
      </c>
      <c r="O25" s="41" t="n">
        <v>10000</v>
      </c>
      <c r="P25" s="42">
        <f>SUMPRODUCT((YEAR(Expenses_Log!A6:A5000)=Dashboard!$B$1)*(MONTH(Expenses_Log!A6:A5000)=5)*(Expenses_Log!C6:C5000="Transportation")*(Expenses_Log!G6:G5000))</f>
        <v/>
      </c>
      <c r="Q25" s="42">
        <f>IFERROR(O25-P25,"—")</f>
        <v/>
      </c>
      <c r="R25" s="41" t="n">
        <v>10000</v>
      </c>
      <c r="S25" s="42">
        <f>SUMPRODUCT((YEAR(Expenses_Log!A6:A5000)=Dashboard!$B$1)*(MONTH(Expenses_Log!A6:A5000)=6)*(Expenses_Log!C6:C5000="Transportation")*(Expenses_Log!G6:G5000))</f>
        <v/>
      </c>
      <c r="T25" s="42">
        <f>IFERROR(R25-S25,"—")</f>
        <v/>
      </c>
      <c r="U25" s="41" t="n">
        <v>10000</v>
      </c>
      <c r="V25" s="42">
        <f>SUMPRODUCT((YEAR(Expenses_Log!A6:A5000)=Dashboard!$B$1)*(MONTH(Expenses_Log!A6:A5000)=7)*(Expenses_Log!C6:C5000="Transportation")*(Expenses_Log!G6:G5000))</f>
        <v/>
      </c>
      <c r="W25" s="42">
        <f>IFERROR(U25-V25,"—")</f>
        <v/>
      </c>
      <c r="X25" s="41" t="n">
        <v>10000</v>
      </c>
      <c r="Y25" s="42">
        <f>SUMPRODUCT((YEAR(Expenses_Log!A6:A5000)=Dashboard!$B$1)*(MONTH(Expenses_Log!A6:A5000)=8)*(Expenses_Log!C6:C5000="Transportation")*(Expenses_Log!G6:G5000))</f>
        <v/>
      </c>
      <c r="Z25" s="42">
        <f>IFERROR(X25-Y25,"—")</f>
        <v/>
      </c>
      <c r="AA25" s="41" t="n">
        <v>12000</v>
      </c>
      <c r="AB25" s="42">
        <f>SUMPRODUCT((YEAR(Expenses_Log!A6:A5000)=Dashboard!$B$1)*(MONTH(Expenses_Log!A6:A5000)=9)*(Expenses_Log!C6:C5000="Transportation")*(Expenses_Log!G6:G5000))</f>
        <v/>
      </c>
      <c r="AC25" s="42">
        <f>IFERROR(AA25-AB25,"—")</f>
        <v/>
      </c>
      <c r="AD25" s="41" t="n">
        <v>12000</v>
      </c>
      <c r="AE25" s="42">
        <f>SUMPRODUCT((YEAR(Expenses_Log!A6:A5000)=Dashboard!$B$1)*(MONTH(Expenses_Log!A6:A5000)=10)*(Expenses_Log!C6:C5000="Transportation")*(Expenses_Log!G6:G5000))</f>
        <v/>
      </c>
      <c r="AF25" s="42">
        <f>IFERROR(AD25-AE25,"—")</f>
        <v/>
      </c>
      <c r="AG25" s="41" t="n">
        <v>10000</v>
      </c>
      <c r="AH25" s="42">
        <f>SUMPRODUCT((YEAR(Expenses_Log!A6:A5000)=Dashboard!$B$1)*(MONTH(Expenses_Log!A6:A5000)=11)*(Expenses_Log!C6:C5000="Transportation")*(Expenses_Log!G6:G5000))</f>
        <v/>
      </c>
      <c r="AI25" s="42">
        <f>IFERROR(AG25-AH25,"—")</f>
        <v/>
      </c>
      <c r="AJ25" s="41" t="n">
        <v>10000</v>
      </c>
      <c r="AK25" s="42">
        <f>SUMPRODUCT((YEAR(Expenses_Log!A6:A5000)=Dashboard!$B$1)*(MONTH(Expenses_Log!A6:A5000)=12)*(Expenses_Log!C6:C5000="Transportation")*(Expenses_Log!G6:G5000))</f>
        <v/>
      </c>
      <c r="AL25" s="42">
        <f>IFERROR(AJ25-AK25,"—")</f>
        <v/>
      </c>
      <c r="AM25" s="43">
        <f>C25+F25+I25+L25+O25+R25+U25+X25+AA25+AD25+AG25+AJ25</f>
        <v/>
      </c>
      <c r="AN25" s="43">
        <f>D25+G25+J25+M25+P25+S25+V25+Y25+AB25+AE25+AH25+AK25</f>
        <v/>
      </c>
      <c r="AO25" s="43">
        <f>IFERROR(AM25-AN25,"—")</f>
        <v/>
      </c>
    </row>
    <row r="26" ht="15" customHeight="1">
      <c r="B26" s="36" t="inlineStr">
        <is>
          <t>IT &amp; Communications</t>
        </is>
      </c>
      <c r="C26" s="37" t="n">
        <v>15000</v>
      </c>
      <c r="D26" s="38">
        <f>SUMPRODUCT((YEAR(Expenses_Log!A6:A5000)=Dashboard!$B$1)*(MONTH(Expenses_Log!A6:A5000)=1)*(Expenses_Log!C6:C5000="IT &amp; Communications")*(Expenses_Log!G6:G5000))</f>
        <v/>
      </c>
      <c r="E26" s="38">
        <f>IFERROR(C26-D26,"—")</f>
        <v/>
      </c>
      <c r="F26" s="37" t="n">
        <v>12000</v>
      </c>
      <c r="G26" s="38">
        <f>SUMPRODUCT((YEAR(Expenses_Log!A6:A5000)=Dashboard!$B$1)*(MONTH(Expenses_Log!A6:A5000)=2)*(Expenses_Log!C6:C5000="IT &amp; Communications")*(Expenses_Log!G6:G5000))</f>
        <v/>
      </c>
      <c r="H26" s="38">
        <f>IFERROR(F26-G26,"—")</f>
        <v/>
      </c>
      <c r="I26" s="37" t="n">
        <v>12000</v>
      </c>
      <c r="J26" s="38">
        <f>SUMPRODUCT((YEAR(Expenses_Log!A6:A5000)=Dashboard!$B$1)*(MONTH(Expenses_Log!A6:A5000)=3)*(Expenses_Log!C6:C5000="IT &amp; Communications")*(Expenses_Log!G6:G5000))</f>
        <v/>
      </c>
      <c r="K26" s="38">
        <f>IFERROR(I26-J26,"—")</f>
        <v/>
      </c>
      <c r="L26" s="37" t="n">
        <v>10000</v>
      </c>
      <c r="M26" s="38">
        <f>SUMPRODUCT((YEAR(Expenses_Log!A6:A5000)=Dashboard!$B$1)*(MONTH(Expenses_Log!A6:A5000)=4)*(Expenses_Log!C6:C5000="IT &amp; Communications")*(Expenses_Log!G6:G5000))</f>
        <v/>
      </c>
      <c r="N26" s="38">
        <f>IFERROR(L26-M26,"—")</f>
        <v/>
      </c>
      <c r="O26" s="37" t="n">
        <v>10000</v>
      </c>
      <c r="P26" s="38">
        <f>SUMPRODUCT((YEAR(Expenses_Log!A6:A5000)=Dashboard!$B$1)*(MONTH(Expenses_Log!A6:A5000)=5)*(Expenses_Log!C6:C5000="IT &amp; Communications")*(Expenses_Log!G6:G5000))</f>
        <v/>
      </c>
      <c r="Q26" s="38">
        <f>IFERROR(O26-P26,"—")</f>
        <v/>
      </c>
      <c r="R26" s="37" t="n">
        <v>10000</v>
      </c>
      <c r="S26" s="38">
        <f>SUMPRODUCT((YEAR(Expenses_Log!A6:A5000)=Dashboard!$B$1)*(MONTH(Expenses_Log!A6:A5000)=6)*(Expenses_Log!C6:C5000="IT &amp; Communications")*(Expenses_Log!G6:G5000))</f>
        <v/>
      </c>
      <c r="T26" s="38">
        <f>IFERROR(R26-S26,"—")</f>
        <v/>
      </c>
      <c r="U26" s="37" t="n">
        <v>10000</v>
      </c>
      <c r="V26" s="38">
        <f>SUMPRODUCT((YEAR(Expenses_Log!A6:A5000)=Dashboard!$B$1)*(MONTH(Expenses_Log!A6:A5000)=7)*(Expenses_Log!C6:C5000="IT &amp; Communications")*(Expenses_Log!G6:G5000))</f>
        <v/>
      </c>
      <c r="W26" s="38">
        <f>IFERROR(U26-V26,"—")</f>
        <v/>
      </c>
      <c r="X26" s="37" t="n">
        <v>10000</v>
      </c>
      <c r="Y26" s="38">
        <f>SUMPRODUCT((YEAR(Expenses_Log!A6:A5000)=Dashboard!$B$1)*(MONTH(Expenses_Log!A6:A5000)=8)*(Expenses_Log!C6:C5000="IT &amp; Communications")*(Expenses_Log!G6:G5000))</f>
        <v/>
      </c>
      <c r="Z26" s="38">
        <f>IFERROR(X26-Y26,"—")</f>
        <v/>
      </c>
      <c r="AA26" s="37" t="n">
        <v>15000</v>
      </c>
      <c r="AB26" s="38">
        <f>SUMPRODUCT((YEAR(Expenses_Log!A6:A5000)=Dashboard!$B$1)*(MONTH(Expenses_Log!A6:A5000)=9)*(Expenses_Log!C6:C5000="IT &amp; Communications")*(Expenses_Log!G6:G5000))</f>
        <v/>
      </c>
      <c r="AC26" s="38">
        <f>IFERROR(AA26-AB26,"—")</f>
        <v/>
      </c>
      <c r="AD26" s="37" t="n">
        <v>15000</v>
      </c>
      <c r="AE26" s="38">
        <f>SUMPRODUCT((YEAR(Expenses_Log!A6:A5000)=Dashboard!$B$1)*(MONTH(Expenses_Log!A6:A5000)=10)*(Expenses_Log!C6:C5000="IT &amp; Communications")*(Expenses_Log!G6:G5000))</f>
        <v/>
      </c>
      <c r="AF26" s="38">
        <f>IFERROR(AD26-AE26,"—")</f>
        <v/>
      </c>
      <c r="AG26" s="37" t="n">
        <v>12000</v>
      </c>
      <c r="AH26" s="38">
        <f>SUMPRODUCT((YEAR(Expenses_Log!A6:A5000)=Dashboard!$B$1)*(MONTH(Expenses_Log!A6:A5000)=11)*(Expenses_Log!C6:C5000="IT &amp; Communications")*(Expenses_Log!G6:G5000))</f>
        <v/>
      </c>
      <c r="AI26" s="38">
        <f>IFERROR(AG26-AH26,"—")</f>
        <v/>
      </c>
      <c r="AJ26" s="37" t="n">
        <v>12000</v>
      </c>
      <c r="AK26" s="38">
        <f>SUMPRODUCT((YEAR(Expenses_Log!A6:A5000)=Dashboard!$B$1)*(MONTH(Expenses_Log!A6:A5000)=12)*(Expenses_Log!C6:C5000="IT &amp; Communications")*(Expenses_Log!G6:G5000))</f>
        <v/>
      </c>
      <c r="AL26" s="38">
        <f>IFERROR(AJ26-AK26,"—")</f>
        <v/>
      </c>
      <c r="AM26" s="39">
        <f>C26+F26+I26+L26+O26+R26+U26+X26+AA26+AD26+AG26+AJ26</f>
        <v/>
      </c>
      <c r="AN26" s="39">
        <f>D26+G26+J26+M26+P26+S26+V26+Y26+AB26+AE26+AH26+AK26</f>
        <v/>
      </c>
      <c r="AO26" s="39">
        <f>IFERROR(AM26-AN26,"—")</f>
        <v/>
      </c>
    </row>
    <row r="27" ht="15" customHeight="1">
      <c r="B27" s="40" t="inlineStr">
        <is>
          <t>Other</t>
        </is>
      </c>
      <c r="C27" s="41" t="n">
        <v>10000</v>
      </c>
      <c r="D27" s="42">
        <f>SUMPRODUCT((YEAR(Expenses_Log!A6:A5000)=Dashboard!$B$1)*(MONTH(Expenses_Log!A6:A5000)=1)*(Expenses_Log!C6:C5000="Other")*(Expenses_Log!G6:G5000))</f>
        <v/>
      </c>
      <c r="E27" s="42">
        <f>IFERROR(C27-D27,"—")</f>
        <v/>
      </c>
      <c r="F27" s="41" t="n">
        <v>8000</v>
      </c>
      <c r="G27" s="42">
        <f>SUMPRODUCT((YEAR(Expenses_Log!A6:A5000)=Dashboard!$B$1)*(MONTH(Expenses_Log!A6:A5000)=2)*(Expenses_Log!C6:C5000="Other")*(Expenses_Log!G6:G5000))</f>
        <v/>
      </c>
      <c r="H27" s="42">
        <f>IFERROR(F27-G27,"—")</f>
        <v/>
      </c>
      <c r="I27" s="41" t="n">
        <v>8000</v>
      </c>
      <c r="J27" s="42">
        <f>SUMPRODUCT((YEAR(Expenses_Log!A6:A5000)=Dashboard!$B$1)*(MONTH(Expenses_Log!A6:A5000)=3)*(Expenses_Log!C6:C5000="Other")*(Expenses_Log!G6:G5000))</f>
        <v/>
      </c>
      <c r="K27" s="42">
        <f>IFERROR(I27-J27,"—")</f>
        <v/>
      </c>
      <c r="L27" s="41" t="n">
        <v>8000</v>
      </c>
      <c r="M27" s="42">
        <f>SUMPRODUCT((YEAR(Expenses_Log!A6:A5000)=Dashboard!$B$1)*(MONTH(Expenses_Log!A6:A5000)=4)*(Expenses_Log!C6:C5000="Other")*(Expenses_Log!G6:G5000))</f>
        <v/>
      </c>
      <c r="N27" s="42">
        <f>IFERROR(L27-M27,"—")</f>
        <v/>
      </c>
      <c r="O27" s="41" t="n">
        <v>8000</v>
      </c>
      <c r="P27" s="42">
        <f>SUMPRODUCT((YEAR(Expenses_Log!A6:A5000)=Dashboard!$B$1)*(MONTH(Expenses_Log!A6:A5000)=5)*(Expenses_Log!C6:C5000="Other")*(Expenses_Log!G6:G5000))</f>
        <v/>
      </c>
      <c r="Q27" s="42">
        <f>IFERROR(O27-P27,"—")</f>
        <v/>
      </c>
      <c r="R27" s="41" t="n">
        <v>8000</v>
      </c>
      <c r="S27" s="42">
        <f>SUMPRODUCT((YEAR(Expenses_Log!A6:A5000)=Dashboard!$B$1)*(MONTH(Expenses_Log!A6:A5000)=6)*(Expenses_Log!C6:C5000="Other")*(Expenses_Log!G6:G5000))</f>
        <v/>
      </c>
      <c r="T27" s="42">
        <f>IFERROR(R27-S27,"—")</f>
        <v/>
      </c>
      <c r="U27" s="41" t="n">
        <v>8000</v>
      </c>
      <c r="V27" s="42">
        <f>SUMPRODUCT((YEAR(Expenses_Log!A6:A5000)=Dashboard!$B$1)*(MONTH(Expenses_Log!A6:A5000)=7)*(Expenses_Log!C6:C5000="Other")*(Expenses_Log!G6:G5000))</f>
        <v/>
      </c>
      <c r="W27" s="42">
        <f>IFERROR(U27-V27,"—")</f>
        <v/>
      </c>
      <c r="X27" s="41" t="n">
        <v>8000</v>
      </c>
      <c r="Y27" s="42">
        <f>SUMPRODUCT((YEAR(Expenses_Log!A6:A5000)=Dashboard!$B$1)*(MONTH(Expenses_Log!A6:A5000)=8)*(Expenses_Log!C6:C5000="Other")*(Expenses_Log!G6:G5000))</f>
        <v/>
      </c>
      <c r="Z27" s="42">
        <f>IFERROR(X27-Y27,"—")</f>
        <v/>
      </c>
      <c r="AA27" s="41" t="n">
        <v>10000</v>
      </c>
      <c r="AB27" s="42">
        <f>SUMPRODUCT((YEAR(Expenses_Log!A6:A5000)=Dashboard!$B$1)*(MONTH(Expenses_Log!A6:A5000)=9)*(Expenses_Log!C6:C5000="Other")*(Expenses_Log!G6:G5000))</f>
        <v/>
      </c>
      <c r="AC27" s="42">
        <f>IFERROR(AA27-AB27,"—")</f>
        <v/>
      </c>
      <c r="AD27" s="41" t="n">
        <v>10000</v>
      </c>
      <c r="AE27" s="42">
        <f>SUMPRODUCT((YEAR(Expenses_Log!A6:A5000)=Dashboard!$B$1)*(MONTH(Expenses_Log!A6:A5000)=10)*(Expenses_Log!C6:C5000="Other")*(Expenses_Log!G6:G5000))</f>
        <v/>
      </c>
      <c r="AF27" s="42">
        <f>IFERROR(AD27-AE27,"—")</f>
        <v/>
      </c>
      <c r="AG27" s="41" t="n">
        <v>8000</v>
      </c>
      <c r="AH27" s="42">
        <f>SUMPRODUCT((YEAR(Expenses_Log!A6:A5000)=Dashboard!$B$1)*(MONTH(Expenses_Log!A6:A5000)=11)*(Expenses_Log!C6:C5000="Other")*(Expenses_Log!G6:G5000))</f>
        <v/>
      </c>
      <c r="AI27" s="42">
        <f>IFERROR(AG27-AH27,"—")</f>
        <v/>
      </c>
      <c r="AJ27" s="41" t="n">
        <v>8000</v>
      </c>
      <c r="AK27" s="42">
        <f>SUMPRODUCT((YEAR(Expenses_Log!A6:A5000)=Dashboard!$B$1)*(MONTH(Expenses_Log!A6:A5000)=12)*(Expenses_Log!C6:C5000="Other")*(Expenses_Log!G6:G5000))</f>
        <v/>
      </c>
      <c r="AL27" s="42">
        <f>IFERROR(AJ27-AK27,"—")</f>
        <v/>
      </c>
      <c r="AM27" s="43">
        <f>C27+F27+I27+L27+O27+R27+U27+X27+AA27+AD27+AG27+AJ27</f>
        <v/>
      </c>
      <c r="AN27" s="43">
        <f>D27+G27+J27+M27+P27+S27+V27+Y27+AB27+AE27+AH27+AK27</f>
        <v/>
      </c>
      <c r="AO27" s="43">
        <f>IFERROR(AM27-AN27,"—")</f>
        <v/>
      </c>
    </row>
    <row r="28" ht="15" customHeight="1">
      <c r="B28" s="47" t="inlineStr">
        <is>
          <t>TOTAL EXPENSES</t>
        </is>
      </c>
      <c r="C28" s="48">
        <f>SUM(C18:C27)</f>
        <v/>
      </c>
      <c r="D28" s="49">
        <f>SUM(D18:D27)</f>
        <v/>
      </c>
      <c r="E28" s="49">
        <f>IFERROR(SUM(E18:E27),"—")</f>
        <v/>
      </c>
      <c r="F28" s="48">
        <f>SUM(F18:F27)</f>
        <v/>
      </c>
      <c r="G28" s="49">
        <f>SUM(G18:G27)</f>
        <v/>
      </c>
      <c r="H28" s="49">
        <f>IFERROR(SUM(H18:H27),"—")</f>
        <v/>
      </c>
      <c r="I28" s="48">
        <f>SUM(I18:I27)</f>
        <v/>
      </c>
      <c r="J28" s="49">
        <f>SUM(J18:J27)</f>
        <v/>
      </c>
      <c r="K28" s="49">
        <f>IFERROR(SUM(K18:K27),"—")</f>
        <v/>
      </c>
      <c r="L28" s="48">
        <f>SUM(L18:L27)</f>
        <v/>
      </c>
      <c r="M28" s="49">
        <f>SUM(M18:M27)</f>
        <v/>
      </c>
      <c r="N28" s="49">
        <f>IFERROR(SUM(N18:N27),"—")</f>
        <v/>
      </c>
      <c r="O28" s="48">
        <f>SUM(O18:O27)</f>
        <v/>
      </c>
      <c r="P28" s="49">
        <f>SUM(P18:P27)</f>
        <v/>
      </c>
      <c r="Q28" s="49">
        <f>IFERROR(SUM(Q18:Q27),"—")</f>
        <v/>
      </c>
      <c r="R28" s="48">
        <f>SUM(R18:R27)</f>
        <v/>
      </c>
      <c r="S28" s="49">
        <f>SUM(S18:S27)</f>
        <v/>
      </c>
      <c r="T28" s="49">
        <f>IFERROR(SUM(T18:T27),"—")</f>
        <v/>
      </c>
      <c r="U28" s="48">
        <f>SUM(U18:U27)</f>
        <v/>
      </c>
      <c r="V28" s="49">
        <f>SUM(V18:V27)</f>
        <v/>
      </c>
      <c r="W28" s="49">
        <f>IFERROR(SUM(W18:W27),"—")</f>
        <v/>
      </c>
      <c r="X28" s="48">
        <f>SUM(X18:X27)</f>
        <v/>
      </c>
      <c r="Y28" s="49">
        <f>SUM(Y18:Y27)</f>
        <v/>
      </c>
      <c r="Z28" s="49">
        <f>IFERROR(SUM(Z18:Z27),"—")</f>
        <v/>
      </c>
      <c r="AA28" s="48">
        <f>SUM(AA18:AA27)</f>
        <v/>
      </c>
      <c r="AB28" s="49">
        <f>SUM(AB18:AB27)</f>
        <v/>
      </c>
      <c r="AC28" s="49">
        <f>IFERROR(SUM(AC18:AC27),"—")</f>
        <v/>
      </c>
      <c r="AD28" s="48">
        <f>SUM(AD18:AD27)</f>
        <v/>
      </c>
      <c r="AE28" s="49">
        <f>SUM(AE18:AE27)</f>
        <v/>
      </c>
      <c r="AF28" s="49">
        <f>IFERROR(SUM(AF18:AF27),"—")</f>
        <v/>
      </c>
      <c r="AG28" s="48">
        <f>SUM(AG18:AG27)</f>
        <v/>
      </c>
      <c r="AH28" s="49">
        <f>SUM(AH18:AH27)</f>
        <v/>
      </c>
      <c r="AI28" s="49">
        <f>IFERROR(SUM(AI18:AI27),"—")</f>
        <v/>
      </c>
      <c r="AJ28" s="48">
        <f>SUM(AJ18:AJ27)</f>
        <v/>
      </c>
      <c r="AK28" s="49">
        <f>SUM(AK18:AK27)</f>
        <v/>
      </c>
      <c r="AL28" s="49">
        <f>IFERROR(SUM(AL18:AL27),"—")</f>
        <v/>
      </c>
      <c r="AM28" s="49">
        <f>SUM(AM18:AM27)</f>
        <v/>
      </c>
      <c r="AN28" s="49">
        <f>SUM(AN18:AN27)</f>
        <v/>
      </c>
      <c r="AO28" s="49">
        <f>IFERROR(SUM(AO18:AO27),"—")</f>
        <v/>
      </c>
    </row>
    <row r="29" ht="17.25" customHeight="1">
      <c r="B29" s="50" t="inlineStr">
        <is>
          <t>NET PROFIT</t>
        </is>
      </c>
      <c r="C29" s="51">
        <f>C15-C28</f>
        <v/>
      </c>
      <c r="D29" s="52">
        <f>D15-D28</f>
        <v/>
      </c>
      <c r="E29" s="52">
        <f>IFERROR(E15-E28,"—")</f>
        <v/>
      </c>
      <c r="F29" s="51">
        <f>F15-F28</f>
        <v/>
      </c>
      <c r="G29" s="52">
        <f>G15-G28</f>
        <v/>
      </c>
      <c r="H29" s="52">
        <f>IFERROR(H15-H28,"—")</f>
        <v/>
      </c>
      <c r="I29" s="51">
        <f>I15-I28</f>
        <v/>
      </c>
      <c r="J29" s="52">
        <f>J15-J28</f>
        <v/>
      </c>
      <c r="K29" s="52">
        <f>IFERROR(K15-K28,"—")</f>
        <v/>
      </c>
      <c r="L29" s="51">
        <f>L15-L28</f>
        <v/>
      </c>
      <c r="M29" s="52">
        <f>M15-M28</f>
        <v/>
      </c>
      <c r="N29" s="52">
        <f>IFERROR(N15-N28,"—")</f>
        <v/>
      </c>
      <c r="O29" s="51">
        <f>O15-O28</f>
        <v/>
      </c>
      <c r="P29" s="52">
        <f>P15-P28</f>
        <v/>
      </c>
      <c r="Q29" s="52">
        <f>IFERROR(Q15-Q28,"—")</f>
        <v/>
      </c>
      <c r="R29" s="51">
        <f>R15-R28</f>
        <v/>
      </c>
      <c r="S29" s="52">
        <f>S15-S28</f>
        <v/>
      </c>
      <c r="T29" s="52">
        <f>IFERROR(T15-T28,"—")</f>
        <v/>
      </c>
      <c r="U29" s="51">
        <f>U15-U28</f>
        <v/>
      </c>
      <c r="V29" s="52">
        <f>V15-V28</f>
        <v/>
      </c>
      <c r="W29" s="52">
        <f>IFERROR(W15-W28,"—")</f>
        <v/>
      </c>
      <c r="X29" s="51">
        <f>X15-X28</f>
        <v/>
      </c>
      <c r="Y29" s="52">
        <f>Y15-Y28</f>
        <v/>
      </c>
      <c r="Z29" s="52">
        <f>IFERROR(Z15-Z28,"—")</f>
        <v/>
      </c>
      <c r="AA29" s="51">
        <f>AA15-AA28</f>
        <v/>
      </c>
      <c r="AB29" s="52">
        <f>AB15-AB28</f>
        <v/>
      </c>
      <c r="AC29" s="52">
        <f>IFERROR(AC15-AC28,"—")</f>
        <v/>
      </c>
      <c r="AD29" s="51">
        <f>AD15-AD28</f>
        <v/>
      </c>
      <c r="AE29" s="52">
        <f>AE15-AE28</f>
        <v/>
      </c>
      <c r="AF29" s="52">
        <f>IFERROR(AF15-AF28,"—")</f>
        <v/>
      </c>
      <c r="AG29" s="51">
        <f>AG15-AG28</f>
        <v/>
      </c>
      <c r="AH29" s="52">
        <f>AH15-AH28</f>
        <v/>
      </c>
      <c r="AI29" s="52">
        <f>IFERROR(AI15-AI28,"—")</f>
        <v/>
      </c>
      <c r="AJ29" s="51">
        <f>AJ15-AJ28</f>
        <v/>
      </c>
      <c r="AK29" s="52">
        <f>AK15-AK28</f>
        <v/>
      </c>
      <c r="AL29" s="52">
        <f>IFERROR(AL15-AL28,"—")</f>
        <v/>
      </c>
      <c r="AM29" s="52">
        <f>AM15-AM28</f>
        <v/>
      </c>
      <c r="AN29" s="52">
        <f>AN15-AN28</f>
        <v/>
      </c>
      <c r="AO29" s="52">
        <f>IFERROR(AO15-AO28,"—")</f>
        <v/>
      </c>
    </row>
  </sheetData>
  <mergeCells count="13">
    <mergeCell ref="AA7:AC7"/>
    <mergeCell ref="AG7:AI7"/>
    <mergeCell ref="AJ7:AL7"/>
    <mergeCell ref="AD7:AF7"/>
    <mergeCell ref="O7:Q7"/>
    <mergeCell ref="F7:H7"/>
    <mergeCell ref="U7:W7"/>
    <mergeCell ref="R7:T7"/>
    <mergeCell ref="X7:Z7"/>
    <mergeCell ref="AM7:AO7"/>
    <mergeCell ref="C7:E7"/>
    <mergeCell ref="I7:K7"/>
    <mergeCell ref="L7:N7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P37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" customWidth="1" min="1" max="1"/>
    <col width="24" customWidth="1" min="2" max="2"/>
    <col width="12" customWidth="1" min="3" max="15"/>
  </cols>
  <sheetData>
    <row r="1" ht="15" customHeight="1">
      <c r="A1" t="inlineStr">
        <is>
          <t>FY Year:</t>
        </is>
      </c>
      <c r="B1" s="26" t="n">
        <v>2024</v>
      </c>
    </row>
    <row r="2" ht="26.25" customHeight="1">
      <c r="E2" s="4" t="inlineStr">
        <is>
          <t>TALENTS APARTMENT</t>
        </is>
      </c>
    </row>
    <row r="3" ht="15" customHeight="1">
      <c r="E3" s="3">
        <f>"Executive Dashboard  |  FY "&amp;Dashboard!$B$1</f>
        <v/>
      </c>
    </row>
    <row r="4" ht="15" customHeight="1"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5" customHeight="1">
      <c r="B5" s="31" t="inlineStr">
        <is>
          <t>FILTER:</t>
        </is>
      </c>
      <c r="C5" s="53" t="inlineStr">
        <is>
          <t>All</t>
        </is>
      </c>
    </row>
    <row r="6"/>
    <row r="7" ht="21.75" customHeight="1">
      <c r="B7" s="54" t="inlineStr">
        <is>
          <t>TOTAL REVENUE</t>
        </is>
      </c>
      <c r="C7" s="55" t="n"/>
      <c r="E7" s="54" t="inlineStr">
        <is>
          <t>TOTAL EXPENSES</t>
        </is>
      </c>
      <c r="F7" s="55" t="n"/>
      <c r="H7" s="54" t="inlineStr">
        <is>
          <t>NET PROFIT</t>
        </is>
      </c>
      <c r="I7" s="55" t="n"/>
      <c r="K7" s="54" t="inlineStr">
        <is>
          <t>STAFF SALARIES</t>
        </is>
      </c>
      <c r="L7" s="55" t="n"/>
      <c r="N7" s="54" t="inlineStr">
        <is>
          <t>MARGIN</t>
        </is>
      </c>
      <c r="O7" s="55" t="n"/>
    </row>
    <row r="8" ht="29.25" customHeight="1">
      <c r="B8" s="2">
        <f>IF(C5="All",SUMPRODUCT((YEAR(Revenue_Log!A6:A5000)=Dashboard!$B$1)*(Revenue_Log!H6:H5000)),SUMPRODUCT((YEAR(Revenue_Log!A6:A5000)=Dashboard!$B$1)*(Revenue_Log!B6:B5000=C5)*(Revenue_Log!H6:H5000)))</f>
        <v/>
      </c>
      <c r="E8" s="2">
        <f>IFERROR(IF(C5="All",SUMPRODUCT((YEAR(Expenses_Log!A6:A5000)=Dashboard!$B$1)*(Expenses_Log!G6:G5000))+Staff_Salaries!E4,SUMPRODUCT((YEAR(Expenses_Log!A6:A5000)=Dashboard!$B$1)*(Expenses_Log!B6:B5000=C5)*(Expenses_Log!G6:G5000))+Staff_Salaries!E4),"—")</f>
        <v/>
      </c>
      <c r="H8" s="2">
        <f>B8-E8</f>
        <v/>
      </c>
      <c r="K8" s="2">
        <f>Staff_Salaries!E4</f>
        <v/>
      </c>
      <c r="N8" s="89">
        <f>IFERROR(H8/B8,0)</f>
        <v/>
      </c>
    </row>
    <row r="9"/>
    <row r="10" ht="15" customHeight="1">
      <c r="B10" s="32" t="inlineStr">
        <is>
          <t>REVENUE &amp; EXPENDITURE</t>
        </is>
      </c>
    </row>
    <row r="11" ht="15" customHeight="1">
      <c r="C11" s="33" t="inlineStr">
        <is>
          <t>Jan</t>
        </is>
      </c>
      <c r="D11" s="33" t="inlineStr">
        <is>
          <t>Feb</t>
        </is>
      </c>
      <c r="E11" s="33" t="inlineStr">
        <is>
          <t>Mar</t>
        </is>
      </c>
      <c r="F11" s="33" t="inlineStr">
        <is>
          <t>Apr</t>
        </is>
      </c>
      <c r="G11" s="33" t="inlineStr">
        <is>
          <t>May</t>
        </is>
      </c>
      <c r="H11" s="33" t="inlineStr">
        <is>
          <t>Jun</t>
        </is>
      </c>
      <c r="I11" s="33" t="inlineStr">
        <is>
          <t>Jul</t>
        </is>
      </c>
      <c r="J11" s="33" t="inlineStr">
        <is>
          <t>Aug</t>
        </is>
      </c>
      <c r="K11" s="33" t="inlineStr">
        <is>
          <t>Sep</t>
        </is>
      </c>
      <c r="L11" s="33" t="inlineStr">
        <is>
          <t>Oct</t>
        </is>
      </c>
      <c r="M11" s="33" t="inlineStr">
        <is>
          <t>Nov</t>
        </is>
      </c>
      <c r="N11" s="33" t="inlineStr">
        <is>
          <t>Dec</t>
        </is>
      </c>
      <c r="O11" s="56" t="inlineStr">
        <is>
          <t>YTD</t>
        </is>
      </c>
    </row>
    <row r="12" ht="15" customHeight="1">
      <c r="B12" s="57" t="inlineStr">
        <is>
          <t>REVENUE:</t>
        </is>
      </c>
    </row>
    <row r="13" ht="15" customHeight="1">
      <c r="B13" s="36" t="inlineStr">
        <is>
          <t>Room Revenue</t>
        </is>
      </c>
      <c r="C13" s="58">
        <f>IF($C$5="All",SUMPRODUCT((MONTH(Revenue_Log!A6:A5000)=1)*(Revenue_Log!D6:D5000="Room Revenue")*(Revenue_Log!H6:H5000)),SUMPRODUCT((MONTH(Revenue_Log!A6:A5000)=1)*(Revenue_Log!D6:D5000="Room Revenue")*(Revenue_Log!B6:B5000=$C$5)*(Revenue_Log!H6:H5000)))</f>
        <v/>
      </c>
      <c r="D13" s="58">
        <f>IF($C$5="All",SUMPRODUCT((MONTH(Revenue_Log!A6:A5000)=2)*(Revenue_Log!D6:D5000="Room Revenue")*(Revenue_Log!H6:H5000)),SUMPRODUCT((MONTH(Revenue_Log!A6:A5000)=2)*(Revenue_Log!D6:D5000="Room Revenue")*(Revenue_Log!B6:B5000=$C$5)*(Revenue_Log!H6:H5000)))</f>
        <v/>
      </c>
      <c r="E13" s="58">
        <f>IF($C$5="All",SUMPRODUCT((MONTH(Revenue_Log!A6:A5000)=3)*(Revenue_Log!D6:D5000="Room Revenue")*(Revenue_Log!H6:H5000)),SUMPRODUCT((MONTH(Revenue_Log!A6:A5000)=3)*(Revenue_Log!D6:D5000="Room Revenue")*(Revenue_Log!B6:B5000=$C$5)*(Revenue_Log!H6:H5000)))</f>
        <v/>
      </c>
      <c r="F13" s="58">
        <f>IF($C$5="All",SUMPRODUCT((MONTH(Revenue_Log!A6:A5000)=4)*(Revenue_Log!D6:D5000="Room Revenue")*(Revenue_Log!H6:H5000)),SUMPRODUCT((MONTH(Revenue_Log!A6:A5000)=4)*(Revenue_Log!D6:D5000="Room Revenue")*(Revenue_Log!B6:B5000=$C$5)*(Revenue_Log!H6:H5000)))</f>
        <v/>
      </c>
      <c r="G13" s="58">
        <f>IF($C$5="All",SUMPRODUCT((MONTH(Revenue_Log!A6:A5000)=5)*(Revenue_Log!D6:D5000="Room Revenue")*(Revenue_Log!H6:H5000)),SUMPRODUCT((MONTH(Revenue_Log!A6:A5000)=5)*(Revenue_Log!D6:D5000="Room Revenue")*(Revenue_Log!B6:B5000=$C$5)*(Revenue_Log!H6:H5000)))</f>
        <v/>
      </c>
      <c r="H13" s="58">
        <f>IF($C$5="All",SUMPRODUCT((MONTH(Revenue_Log!A6:A5000)=6)*(Revenue_Log!D6:D5000="Room Revenue")*(Revenue_Log!H6:H5000)),SUMPRODUCT((MONTH(Revenue_Log!A6:A5000)=6)*(Revenue_Log!D6:D5000="Room Revenue")*(Revenue_Log!B6:B5000=$C$5)*(Revenue_Log!H6:H5000)))</f>
        <v/>
      </c>
      <c r="I13" s="58">
        <f>IF($C$5="All",SUMPRODUCT((MONTH(Revenue_Log!A6:A5000)=7)*(Revenue_Log!D6:D5000="Room Revenue")*(Revenue_Log!H6:H5000)),SUMPRODUCT((MONTH(Revenue_Log!A6:A5000)=7)*(Revenue_Log!D6:D5000="Room Revenue")*(Revenue_Log!B6:B5000=$C$5)*(Revenue_Log!H6:H5000)))</f>
        <v/>
      </c>
      <c r="J13" s="58">
        <f>IF($C$5="All",SUMPRODUCT((MONTH(Revenue_Log!A6:A5000)=8)*(Revenue_Log!D6:D5000="Room Revenue")*(Revenue_Log!H6:H5000)),SUMPRODUCT((MONTH(Revenue_Log!A6:A5000)=8)*(Revenue_Log!D6:D5000="Room Revenue")*(Revenue_Log!B6:B5000=$C$5)*(Revenue_Log!H6:H5000)))</f>
        <v/>
      </c>
      <c r="K13" s="58">
        <f>IF($C$5="All",SUMPRODUCT((MONTH(Revenue_Log!A6:A5000)=9)*(Revenue_Log!D6:D5000="Room Revenue")*(Revenue_Log!H6:H5000)),SUMPRODUCT((MONTH(Revenue_Log!A6:A5000)=9)*(Revenue_Log!D6:D5000="Room Revenue")*(Revenue_Log!B6:B5000=$C$5)*(Revenue_Log!H6:H5000)))</f>
        <v/>
      </c>
      <c r="L13" s="58">
        <f>IF($C$5="All",SUMPRODUCT((MONTH(Revenue_Log!A6:A5000)=10)*(Revenue_Log!D6:D5000="Room Revenue")*(Revenue_Log!H6:H5000)),SUMPRODUCT((MONTH(Revenue_Log!A6:A5000)=10)*(Revenue_Log!D6:D5000="Room Revenue")*(Revenue_Log!B6:B5000=$C$5)*(Revenue_Log!H6:H5000)))</f>
        <v/>
      </c>
      <c r="M13" s="58">
        <f>IF($C$5="All",SUMPRODUCT((MONTH(Revenue_Log!A6:A5000)=11)*(Revenue_Log!D6:D5000="Room Revenue")*(Revenue_Log!H6:H5000)),SUMPRODUCT((MONTH(Revenue_Log!A6:A5000)=11)*(Revenue_Log!D6:D5000="Room Revenue")*(Revenue_Log!B6:B5000=$C$5)*(Revenue_Log!H6:H5000)))</f>
        <v/>
      </c>
      <c r="N13" s="58">
        <f>IF($C$5="All",SUMPRODUCT((MONTH(Revenue_Log!A6:A5000)=12)*(Revenue_Log!D6:D5000="Room Revenue")*(Revenue_Log!H6:H5000)),SUMPRODUCT((MONTH(Revenue_Log!A6:A5000)=12)*(Revenue_Log!D6:D5000="Room Revenue")*(Revenue_Log!B6:B5000=$C$5)*(Revenue_Log!H6:H5000)))</f>
        <v/>
      </c>
      <c r="O13" s="39">
        <f>SUM(C13:N13)</f>
        <v/>
      </c>
    </row>
    <row r="14" ht="15" customHeight="1">
      <c r="B14" s="40" t="inlineStr">
        <is>
          <t>Shop Rent</t>
        </is>
      </c>
      <c r="C14" s="59">
        <f>IF($C$5="All",SUMPRODUCT((MONTH(Revenue_Log!A6:A5000)=1)*(Revenue_Log!D6:D5000="Shop Rent")*(Revenue_Log!H6:H5000)),SUMPRODUCT((MONTH(Revenue_Log!A6:A5000)=1)*(Revenue_Log!D6:D5000="Shop Rent")*(Revenue_Log!B6:B5000=$C$5)*(Revenue_Log!H6:H5000)))</f>
        <v/>
      </c>
      <c r="D14" s="59">
        <f>IF($C$5="All",SUMPRODUCT((MONTH(Revenue_Log!A6:A5000)=2)*(Revenue_Log!D6:D5000="Shop Rent")*(Revenue_Log!H6:H5000)),SUMPRODUCT((MONTH(Revenue_Log!A6:A5000)=2)*(Revenue_Log!D6:D5000="Shop Rent")*(Revenue_Log!B6:B5000=$C$5)*(Revenue_Log!H6:H5000)))</f>
        <v/>
      </c>
      <c r="E14" s="59">
        <f>IF($C$5="All",SUMPRODUCT((MONTH(Revenue_Log!A6:A5000)=3)*(Revenue_Log!D6:D5000="Shop Rent")*(Revenue_Log!H6:H5000)),SUMPRODUCT((MONTH(Revenue_Log!A6:A5000)=3)*(Revenue_Log!D6:D5000="Shop Rent")*(Revenue_Log!B6:B5000=$C$5)*(Revenue_Log!H6:H5000)))</f>
        <v/>
      </c>
      <c r="F14" s="59">
        <f>IF($C$5="All",SUMPRODUCT((MONTH(Revenue_Log!A6:A5000)=4)*(Revenue_Log!D6:D5000="Shop Rent")*(Revenue_Log!H6:H5000)),SUMPRODUCT((MONTH(Revenue_Log!A6:A5000)=4)*(Revenue_Log!D6:D5000="Shop Rent")*(Revenue_Log!B6:B5000=$C$5)*(Revenue_Log!H6:H5000)))</f>
        <v/>
      </c>
      <c r="G14" s="59">
        <f>IF($C$5="All",SUMPRODUCT((MONTH(Revenue_Log!A6:A5000)=5)*(Revenue_Log!D6:D5000="Shop Rent")*(Revenue_Log!H6:H5000)),SUMPRODUCT((MONTH(Revenue_Log!A6:A5000)=5)*(Revenue_Log!D6:D5000="Shop Rent")*(Revenue_Log!B6:B5000=$C$5)*(Revenue_Log!H6:H5000)))</f>
        <v/>
      </c>
      <c r="H14" s="59">
        <f>IF($C$5="All",SUMPRODUCT((MONTH(Revenue_Log!A6:A5000)=6)*(Revenue_Log!D6:D5000="Shop Rent")*(Revenue_Log!H6:H5000)),SUMPRODUCT((MONTH(Revenue_Log!A6:A5000)=6)*(Revenue_Log!D6:D5000="Shop Rent")*(Revenue_Log!B6:B5000=$C$5)*(Revenue_Log!H6:H5000)))</f>
        <v/>
      </c>
      <c r="I14" s="59">
        <f>IF($C$5="All",SUMPRODUCT((MONTH(Revenue_Log!A6:A5000)=7)*(Revenue_Log!D6:D5000="Shop Rent")*(Revenue_Log!H6:H5000)),SUMPRODUCT((MONTH(Revenue_Log!A6:A5000)=7)*(Revenue_Log!D6:D5000="Shop Rent")*(Revenue_Log!B6:B5000=$C$5)*(Revenue_Log!H6:H5000)))</f>
        <v/>
      </c>
      <c r="J14" s="59">
        <f>IF($C$5="All",SUMPRODUCT((MONTH(Revenue_Log!A6:A5000)=8)*(Revenue_Log!D6:D5000="Shop Rent")*(Revenue_Log!H6:H5000)),SUMPRODUCT((MONTH(Revenue_Log!A6:A5000)=8)*(Revenue_Log!D6:D5000="Shop Rent")*(Revenue_Log!B6:B5000=$C$5)*(Revenue_Log!H6:H5000)))</f>
        <v/>
      </c>
      <c r="K14" s="59">
        <f>IF($C$5="All",SUMPRODUCT((MONTH(Revenue_Log!A6:A5000)=9)*(Revenue_Log!D6:D5000="Shop Rent")*(Revenue_Log!H6:H5000)),SUMPRODUCT((MONTH(Revenue_Log!A6:A5000)=9)*(Revenue_Log!D6:D5000="Shop Rent")*(Revenue_Log!B6:B5000=$C$5)*(Revenue_Log!H6:H5000)))</f>
        <v/>
      </c>
      <c r="L14" s="59">
        <f>IF($C$5="All",SUMPRODUCT((MONTH(Revenue_Log!A6:A5000)=10)*(Revenue_Log!D6:D5000="Shop Rent")*(Revenue_Log!H6:H5000)),SUMPRODUCT((MONTH(Revenue_Log!A6:A5000)=10)*(Revenue_Log!D6:D5000="Shop Rent")*(Revenue_Log!B6:B5000=$C$5)*(Revenue_Log!H6:H5000)))</f>
        <v/>
      </c>
      <c r="M14" s="59">
        <f>IF($C$5="All",SUMPRODUCT((MONTH(Revenue_Log!A6:A5000)=11)*(Revenue_Log!D6:D5000="Shop Rent")*(Revenue_Log!H6:H5000)),SUMPRODUCT((MONTH(Revenue_Log!A6:A5000)=11)*(Revenue_Log!D6:D5000="Shop Rent")*(Revenue_Log!B6:B5000=$C$5)*(Revenue_Log!H6:H5000)))</f>
        <v/>
      </c>
      <c r="N14" s="59">
        <f>IF($C$5="All",SUMPRODUCT((MONTH(Revenue_Log!A6:A5000)=12)*(Revenue_Log!D6:D5000="Shop Rent")*(Revenue_Log!H6:H5000)),SUMPRODUCT((MONTH(Revenue_Log!A6:A5000)=12)*(Revenue_Log!D6:D5000="Shop Rent")*(Revenue_Log!B6:B5000=$C$5)*(Revenue_Log!H6:H5000)))</f>
        <v/>
      </c>
      <c r="O14" s="43">
        <f>SUM(C14:N14)</f>
        <v/>
      </c>
    </row>
    <row r="15" ht="15" customHeight="1">
      <c r="B15" s="36" t="inlineStr">
        <is>
          <t>Caution Fee Income</t>
        </is>
      </c>
      <c r="C15" s="58">
        <f>IF($C$5="All",SUMPRODUCT((MONTH(Revenue_Log!A6:A5000)=1)*(Revenue_Log!D6:D5000="Caution Fee Income")*(Revenue_Log!H6:H5000)),SUMPRODUCT((MONTH(Revenue_Log!A6:A5000)=1)*(Revenue_Log!D6:D5000="Caution Fee Income")*(Revenue_Log!B6:B5000=$C$5)*(Revenue_Log!H6:H5000)))</f>
        <v/>
      </c>
      <c r="D15" s="58">
        <f>IF($C$5="All",SUMPRODUCT((MONTH(Revenue_Log!A6:A5000)=2)*(Revenue_Log!D6:D5000="Caution Fee Income")*(Revenue_Log!H6:H5000)),SUMPRODUCT((MONTH(Revenue_Log!A6:A5000)=2)*(Revenue_Log!D6:D5000="Caution Fee Income")*(Revenue_Log!B6:B5000=$C$5)*(Revenue_Log!H6:H5000)))</f>
        <v/>
      </c>
      <c r="E15" s="58">
        <f>IF($C$5="All",SUMPRODUCT((MONTH(Revenue_Log!A6:A5000)=3)*(Revenue_Log!D6:D5000="Caution Fee Income")*(Revenue_Log!H6:H5000)),SUMPRODUCT((MONTH(Revenue_Log!A6:A5000)=3)*(Revenue_Log!D6:D5000="Caution Fee Income")*(Revenue_Log!B6:B5000=$C$5)*(Revenue_Log!H6:H5000)))</f>
        <v/>
      </c>
      <c r="F15" s="58">
        <f>IF($C$5="All",SUMPRODUCT((MONTH(Revenue_Log!A6:A5000)=4)*(Revenue_Log!D6:D5000="Caution Fee Income")*(Revenue_Log!H6:H5000)),SUMPRODUCT((MONTH(Revenue_Log!A6:A5000)=4)*(Revenue_Log!D6:D5000="Caution Fee Income")*(Revenue_Log!B6:B5000=$C$5)*(Revenue_Log!H6:H5000)))</f>
        <v/>
      </c>
      <c r="G15" s="58">
        <f>IF($C$5="All",SUMPRODUCT((MONTH(Revenue_Log!A6:A5000)=5)*(Revenue_Log!D6:D5000="Caution Fee Income")*(Revenue_Log!H6:H5000)),SUMPRODUCT((MONTH(Revenue_Log!A6:A5000)=5)*(Revenue_Log!D6:D5000="Caution Fee Income")*(Revenue_Log!B6:B5000=$C$5)*(Revenue_Log!H6:H5000)))</f>
        <v/>
      </c>
      <c r="H15" s="58">
        <f>IF($C$5="All",SUMPRODUCT((MONTH(Revenue_Log!A6:A5000)=6)*(Revenue_Log!D6:D5000="Caution Fee Income")*(Revenue_Log!H6:H5000)),SUMPRODUCT((MONTH(Revenue_Log!A6:A5000)=6)*(Revenue_Log!D6:D5000="Caution Fee Income")*(Revenue_Log!B6:B5000=$C$5)*(Revenue_Log!H6:H5000)))</f>
        <v/>
      </c>
      <c r="I15" s="58">
        <f>IF($C$5="All",SUMPRODUCT((MONTH(Revenue_Log!A6:A5000)=7)*(Revenue_Log!D6:D5000="Caution Fee Income")*(Revenue_Log!H6:H5000)),SUMPRODUCT((MONTH(Revenue_Log!A6:A5000)=7)*(Revenue_Log!D6:D5000="Caution Fee Income")*(Revenue_Log!B6:B5000=$C$5)*(Revenue_Log!H6:H5000)))</f>
        <v/>
      </c>
      <c r="J15" s="58">
        <f>IF($C$5="All",SUMPRODUCT((MONTH(Revenue_Log!A6:A5000)=8)*(Revenue_Log!D6:D5000="Caution Fee Income")*(Revenue_Log!H6:H5000)),SUMPRODUCT((MONTH(Revenue_Log!A6:A5000)=8)*(Revenue_Log!D6:D5000="Caution Fee Income")*(Revenue_Log!B6:B5000=$C$5)*(Revenue_Log!H6:H5000)))</f>
        <v/>
      </c>
      <c r="K15" s="58">
        <f>IF($C$5="All",SUMPRODUCT((MONTH(Revenue_Log!A6:A5000)=9)*(Revenue_Log!D6:D5000="Caution Fee Income")*(Revenue_Log!H6:H5000)),SUMPRODUCT((MONTH(Revenue_Log!A6:A5000)=9)*(Revenue_Log!D6:D5000="Caution Fee Income")*(Revenue_Log!B6:B5000=$C$5)*(Revenue_Log!H6:H5000)))</f>
        <v/>
      </c>
      <c r="L15" s="58">
        <f>IF($C$5="All",SUMPRODUCT((MONTH(Revenue_Log!A6:A5000)=10)*(Revenue_Log!D6:D5000="Caution Fee Income")*(Revenue_Log!H6:H5000)),SUMPRODUCT((MONTH(Revenue_Log!A6:A5000)=10)*(Revenue_Log!D6:D5000="Caution Fee Income")*(Revenue_Log!B6:B5000=$C$5)*(Revenue_Log!H6:H5000)))</f>
        <v/>
      </c>
      <c r="M15" s="58">
        <f>IF($C$5="All",SUMPRODUCT((MONTH(Revenue_Log!A6:A5000)=11)*(Revenue_Log!D6:D5000="Caution Fee Income")*(Revenue_Log!H6:H5000)),SUMPRODUCT((MONTH(Revenue_Log!A6:A5000)=11)*(Revenue_Log!D6:D5000="Caution Fee Income")*(Revenue_Log!B6:B5000=$C$5)*(Revenue_Log!H6:H5000)))</f>
        <v/>
      </c>
      <c r="N15" s="58">
        <f>IF($C$5="All",SUMPRODUCT((MONTH(Revenue_Log!A6:A5000)=12)*(Revenue_Log!D6:D5000="Caution Fee Income")*(Revenue_Log!H6:H5000)),SUMPRODUCT((MONTH(Revenue_Log!A6:A5000)=12)*(Revenue_Log!D6:D5000="Caution Fee Income")*(Revenue_Log!B6:B5000=$C$5)*(Revenue_Log!H6:H5000)))</f>
        <v/>
      </c>
      <c r="O15" s="39">
        <f>SUM(C15:N15)</f>
        <v/>
      </c>
    </row>
    <row r="16" ht="15" customHeight="1">
      <c r="B16" s="40" t="inlineStr">
        <is>
          <t>Extra Charges</t>
        </is>
      </c>
      <c r="C16" s="59">
        <f>IF($C$5="All",SUMPRODUCT((MONTH(Revenue_Log!A6:A5000)=1)*(Revenue_Log!D6:D5000="Extra Charges")*(Revenue_Log!H6:H5000)),SUMPRODUCT((MONTH(Revenue_Log!A6:A5000)=1)*(Revenue_Log!D6:D5000="Extra Charges")*(Revenue_Log!B6:B5000=$C$5)*(Revenue_Log!H6:H5000)))</f>
        <v/>
      </c>
      <c r="D16" s="59">
        <f>IF($C$5="All",SUMPRODUCT((MONTH(Revenue_Log!A6:A5000)=2)*(Revenue_Log!D6:D5000="Extra Charges")*(Revenue_Log!H6:H5000)),SUMPRODUCT((MONTH(Revenue_Log!A6:A5000)=2)*(Revenue_Log!D6:D5000="Extra Charges")*(Revenue_Log!B6:B5000=$C$5)*(Revenue_Log!H6:H5000)))</f>
        <v/>
      </c>
      <c r="E16" s="59">
        <f>IF($C$5="All",SUMPRODUCT((MONTH(Revenue_Log!A6:A5000)=3)*(Revenue_Log!D6:D5000="Extra Charges")*(Revenue_Log!H6:H5000)),SUMPRODUCT((MONTH(Revenue_Log!A6:A5000)=3)*(Revenue_Log!D6:D5000="Extra Charges")*(Revenue_Log!B6:B5000=$C$5)*(Revenue_Log!H6:H5000)))</f>
        <v/>
      </c>
      <c r="F16" s="59">
        <f>IF($C$5="All",SUMPRODUCT((MONTH(Revenue_Log!A6:A5000)=4)*(Revenue_Log!D6:D5000="Extra Charges")*(Revenue_Log!H6:H5000)),SUMPRODUCT((MONTH(Revenue_Log!A6:A5000)=4)*(Revenue_Log!D6:D5000="Extra Charges")*(Revenue_Log!B6:B5000=$C$5)*(Revenue_Log!H6:H5000)))</f>
        <v/>
      </c>
      <c r="G16" s="59">
        <f>IF($C$5="All",SUMPRODUCT((MONTH(Revenue_Log!A6:A5000)=5)*(Revenue_Log!D6:D5000="Extra Charges")*(Revenue_Log!H6:H5000)),SUMPRODUCT((MONTH(Revenue_Log!A6:A5000)=5)*(Revenue_Log!D6:D5000="Extra Charges")*(Revenue_Log!B6:B5000=$C$5)*(Revenue_Log!H6:H5000)))</f>
        <v/>
      </c>
      <c r="H16" s="59">
        <f>IF($C$5="All",SUMPRODUCT((MONTH(Revenue_Log!A6:A5000)=6)*(Revenue_Log!D6:D5000="Extra Charges")*(Revenue_Log!H6:H5000)),SUMPRODUCT((MONTH(Revenue_Log!A6:A5000)=6)*(Revenue_Log!D6:D5000="Extra Charges")*(Revenue_Log!B6:B5000=$C$5)*(Revenue_Log!H6:H5000)))</f>
        <v/>
      </c>
      <c r="I16" s="59">
        <f>IF($C$5="All",SUMPRODUCT((MONTH(Revenue_Log!A6:A5000)=7)*(Revenue_Log!D6:D5000="Extra Charges")*(Revenue_Log!H6:H5000)),SUMPRODUCT((MONTH(Revenue_Log!A6:A5000)=7)*(Revenue_Log!D6:D5000="Extra Charges")*(Revenue_Log!B6:B5000=$C$5)*(Revenue_Log!H6:H5000)))</f>
        <v/>
      </c>
      <c r="J16" s="59">
        <f>IF($C$5="All",SUMPRODUCT((MONTH(Revenue_Log!A6:A5000)=8)*(Revenue_Log!D6:D5000="Extra Charges")*(Revenue_Log!H6:H5000)),SUMPRODUCT((MONTH(Revenue_Log!A6:A5000)=8)*(Revenue_Log!D6:D5000="Extra Charges")*(Revenue_Log!B6:B5000=$C$5)*(Revenue_Log!H6:H5000)))</f>
        <v/>
      </c>
      <c r="K16" s="59">
        <f>IF($C$5="All",SUMPRODUCT((MONTH(Revenue_Log!A6:A5000)=9)*(Revenue_Log!D6:D5000="Extra Charges")*(Revenue_Log!H6:H5000)),SUMPRODUCT((MONTH(Revenue_Log!A6:A5000)=9)*(Revenue_Log!D6:D5000="Extra Charges")*(Revenue_Log!B6:B5000=$C$5)*(Revenue_Log!H6:H5000)))</f>
        <v/>
      </c>
      <c r="L16" s="59">
        <f>IF($C$5="All",SUMPRODUCT((MONTH(Revenue_Log!A6:A5000)=10)*(Revenue_Log!D6:D5000="Extra Charges")*(Revenue_Log!H6:H5000)),SUMPRODUCT((MONTH(Revenue_Log!A6:A5000)=10)*(Revenue_Log!D6:D5000="Extra Charges")*(Revenue_Log!B6:B5000=$C$5)*(Revenue_Log!H6:H5000)))</f>
        <v/>
      </c>
      <c r="M16" s="59">
        <f>IF($C$5="All",SUMPRODUCT((MONTH(Revenue_Log!A6:A5000)=11)*(Revenue_Log!D6:D5000="Extra Charges")*(Revenue_Log!H6:H5000)),SUMPRODUCT((MONTH(Revenue_Log!A6:A5000)=11)*(Revenue_Log!D6:D5000="Extra Charges")*(Revenue_Log!B6:B5000=$C$5)*(Revenue_Log!H6:H5000)))</f>
        <v/>
      </c>
      <c r="N16" s="59">
        <f>IF($C$5="All",SUMPRODUCT((MONTH(Revenue_Log!A6:A5000)=12)*(Revenue_Log!D6:D5000="Extra Charges")*(Revenue_Log!H6:H5000)),SUMPRODUCT((MONTH(Revenue_Log!A6:A5000)=12)*(Revenue_Log!D6:D5000="Extra Charges")*(Revenue_Log!B6:B5000=$C$5)*(Revenue_Log!H6:H5000)))</f>
        <v/>
      </c>
      <c r="O16" s="43">
        <f>SUM(C16:N16)</f>
        <v/>
      </c>
    </row>
    <row r="17" ht="15" customHeight="1">
      <c r="B17" s="36" t="inlineStr">
        <is>
          <t>Form &amp; Legal Fees</t>
        </is>
      </c>
      <c r="C17" s="58">
        <f>IF($C$5="All",SUMPRODUCT((MONTH(Revenue_Log!A6:A5000)=1)*(Revenue_Log!D6:D5000="Form &amp; Legal Fees")*(Revenue_Log!H6:H5000)),SUMPRODUCT((MONTH(Revenue_Log!A6:A5000)=1)*(Revenue_Log!D6:D5000="Form &amp; Legal Fees")*(Revenue_Log!B6:B5000=$C$5)*(Revenue_Log!H6:H5000)))</f>
        <v/>
      </c>
      <c r="D17" s="58">
        <f>IF($C$5="All",SUMPRODUCT((MONTH(Revenue_Log!A6:A5000)=2)*(Revenue_Log!D6:D5000="Form &amp; Legal Fees")*(Revenue_Log!H6:H5000)),SUMPRODUCT((MONTH(Revenue_Log!A6:A5000)=2)*(Revenue_Log!D6:D5000="Form &amp; Legal Fees")*(Revenue_Log!B6:B5000=$C$5)*(Revenue_Log!H6:H5000)))</f>
        <v/>
      </c>
      <c r="E17" s="58">
        <f>IF($C$5="All",SUMPRODUCT((MONTH(Revenue_Log!A6:A5000)=3)*(Revenue_Log!D6:D5000="Form &amp; Legal Fees")*(Revenue_Log!H6:H5000)),SUMPRODUCT((MONTH(Revenue_Log!A6:A5000)=3)*(Revenue_Log!D6:D5000="Form &amp; Legal Fees")*(Revenue_Log!B6:B5000=$C$5)*(Revenue_Log!H6:H5000)))</f>
        <v/>
      </c>
      <c r="F17" s="58">
        <f>IF($C$5="All",SUMPRODUCT((MONTH(Revenue_Log!A6:A5000)=4)*(Revenue_Log!D6:D5000="Form &amp; Legal Fees")*(Revenue_Log!H6:H5000)),SUMPRODUCT((MONTH(Revenue_Log!A6:A5000)=4)*(Revenue_Log!D6:D5000="Form &amp; Legal Fees")*(Revenue_Log!B6:B5000=$C$5)*(Revenue_Log!H6:H5000)))</f>
        <v/>
      </c>
      <c r="G17" s="58">
        <f>IF($C$5="All",SUMPRODUCT((MONTH(Revenue_Log!A6:A5000)=5)*(Revenue_Log!D6:D5000="Form &amp; Legal Fees")*(Revenue_Log!H6:H5000)),SUMPRODUCT((MONTH(Revenue_Log!A6:A5000)=5)*(Revenue_Log!D6:D5000="Form &amp; Legal Fees")*(Revenue_Log!B6:B5000=$C$5)*(Revenue_Log!H6:H5000)))</f>
        <v/>
      </c>
      <c r="H17" s="58">
        <f>IF($C$5="All",SUMPRODUCT((MONTH(Revenue_Log!A6:A5000)=6)*(Revenue_Log!D6:D5000="Form &amp; Legal Fees")*(Revenue_Log!H6:H5000)),SUMPRODUCT((MONTH(Revenue_Log!A6:A5000)=6)*(Revenue_Log!D6:D5000="Form &amp; Legal Fees")*(Revenue_Log!B6:B5000=$C$5)*(Revenue_Log!H6:H5000)))</f>
        <v/>
      </c>
      <c r="I17" s="58">
        <f>IF($C$5="All",SUMPRODUCT((MONTH(Revenue_Log!A6:A5000)=7)*(Revenue_Log!D6:D5000="Form &amp; Legal Fees")*(Revenue_Log!H6:H5000)),SUMPRODUCT((MONTH(Revenue_Log!A6:A5000)=7)*(Revenue_Log!D6:D5000="Form &amp; Legal Fees")*(Revenue_Log!B6:B5000=$C$5)*(Revenue_Log!H6:H5000)))</f>
        <v/>
      </c>
      <c r="J17" s="58">
        <f>IF($C$5="All",SUMPRODUCT((MONTH(Revenue_Log!A6:A5000)=8)*(Revenue_Log!D6:D5000="Form &amp; Legal Fees")*(Revenue_Log!H6:H5000)),SUMPRODUCT((MONTH(Revenue_Log!A6:A5000)=8)*(Revenue_Log!D6:D5000="Form &amp; Legal Fees")*(Revenue_Log!B6:B5000=$C$5)*(Revenue_Log!H6:H5000)))</f>
        <v/>
      </c>
      <c r="K17" s="58">
        <f>IF($C$5="All",SUMPRODUCT((MONTH(Revenue_Log!A6:A5000)=9)*(Revenue_Log!D6:D5000="Form &amp; Legal Fees")*(Revenue_Log!H6:H5000)),SUMPRODUCT((MONTH(Revenue_Log!A6:A5000)=9)*(Revenue_Log!D6:D5000="Form &amp; Legal Fees")*(Revenue_Log!B6:B5000=$C$5)*(Revenue_Log!H6:H5000)))</f>
        <v/>
      </c>
      <c r="L17" s="58">
        <f>IF($C$5="All",SUMPRODUCT((MONTH(Revenue_Log!A6:A5000)=10)*(Revenue_Log!D6:D5000="Form &amp; Legal Fees")*(Revenue_Log!H6:H5000)),SUMPRODUCT((MONTH(Revenue_Log!A6:A5000)=10)*(Revenue_Log!D6:D5000="Form &amp; Legal Fees")*(Revenue_Log!B6:B5000=$C$5)*(Revenue_Log!H6:H5000)))</f>
        <v/>
      </c>
      <c r="M17" s="58">
        <f>IF($C$5="All",SUMPRODUCT((MONTH(Revenue_Log!A6:A5000)=11)*(Revenue_Log!D6:D5000="Form &amp; Legal Fees")*(Revenue_Log!H6:H5000)),SUMPRODUCT((MONTH(Revenue_Log!A6:A5000)=11)*(Revenue_Log!D6:D5000="Form &amp; Legal Fees")*(Revenue_Log!B6:B5000=$C$5)*(Revenue_Log!H6:H5000)))</f>
        <v/>
      </c>
      <c r="N17" s="58">
        <f>IF($C$5="All",SUMPRODUCT((MONTH(Revenue_Log!A6:A5000)=12)*(Revenue_Log!D6:D5000="Form &amp; Legal Fees")*(Revenue_Log!H6:H5000)),SUMPRODUCT((MONTH(Revenue_Log!A6:A5000)=12)*(Revenue_Log!D6:D5000="Form &amp; Legal Fees")*(Revenue_Log!B6:B5000=$C$5)*(Revenue_Log!H6:H5000)))</f>
        <v/>
      </c>
      <c r="O17" s="39">
        <f>SUM(C17:N17)</f>
        <v/>
      </c>
    </row>
    <row r="18" ht="15" customHeight="1">
      <c r="B18" s="40" t="inlineStr">
        <is>
          <t>Other Income</t>
        </is>
      </c>
      <c r="C18" s="59">
        <f>IF($C$5="All",SUMPRODUCT((MONTH(Revenue_Log!A6:A5000)=1)*(Revenue_Log!D6:D5000="Other Income")*(Revenue_Log!H6:H5000)),SUMPRODUCT((MONTH(Revenue_Log!A6:A5000)=1)*(Revenue_Log!D6:D5000="Other Income")*(Revenue_Log!B6:B5000=$C$5)*(Revenue_Log!H6:H5000)))</f>
        <v/>
      </c>
      <c r="D18" s="59">
        <f>IF($C$5="All",SUMPRODUCT((MONTH(Revenue_Log!A6:A5000)=2)*(Revenue_Log!D6:D5000="Other Income")*(Revenue_Log!H6:H5000)),SUMPRODUCT((MONTH(Revenue_Log!A6:A5000)=2)*(Revenue_Log!D6:D5000="Other Income")*(Revenue_Log!B6:B5000=$C$5)*(Revenue_Log!H6:H5000)))</f>
        <v/>
      </c>
      <c r="E18" s="59">
        <f>IF($C$5="All",SUMPRODUCT((MONTH(Revenue_Log!A6:A5000)=3)*(Revenue_Log!D6:D5000="Other Income")*(Revenue_Log!H6:H5000)),SUMPRODUCT((MONTH(Revenue_Log!A6:A5000)=3)*(Revenue_Log!D6:D5000="Other Income")*(Revenue_Log!B6:B5000=$C$5)*(Revenue_Log!H6:H5000)))</f>
        <v/>
      </c>
      <c r="F18" s="59">
        <f>IF($C$5="All",SUMPRODUCT((MONTH(Revenue_Log!A6:A5000)=4)*(Revenue_Log!D6:D5000="Other Income")*(Revenue_Log!H6:H5000)),SUMPRODUCT((MONTH(Revenue_Log!A6:A5000)=4)*(Revenue_Log!D6:D5000="Other Income")*(Revenue_Log!B6:B5000=$C$5)*(Revenue_Log!H6:H5000)))</f>
        <v/>
      </c>
      <c r="G18" s="59">
        <f>IF($C$5="All",SUMPRODUCT((MONTH(Revenue_Log!A6:A5000)=5)*(Revenue_Log!D6:D5000="Other Income")*(Revenue_Log!H6:H5000)),SUMPRODUCT((MONTH(Revenue_Log!A6:A5000)=5)*(Revenue_Log!D6:D5000="Other Income")*(Revenue_Log!B6:B5000=$C$5)*(Revenue_Log!H6:H5000)))</f>
        <v/>
      </c>
      <c r="H18" s="59">
        <f>IF($C$5="All",SUMPRODUCT((MONTH(Revenue_Log!A6:A5000)=6)*(Revenue_Log!D6:D5000="Other Income")*(Revenue_Log!H6:H5000)),SUMPRODUCT((MONTH(Revenue_Log!A6:A5000)=6)*(Revenue_Log!D6:D5000="Other Income")*(Revenue_Log!B6:B5000=$C$5)*(Revenue_Log!H6:H5000)))</f>
        <v/>
      </c>
      <c r="I18" s="59">
        <f>IF($C$5="All",SUMPRODUCT((MONTH(Revenue_Log!A6:A5000)=7)*(Revenue_Log!D6:D5000="Other Income")*(Revenue_Log!H6:H5000)),SUMPRODUCT((MONTH(Revenue_Log!A6:A5000)=7)*(Revenue_Log!D6:D5000="Other Income")*(Revenue_Log!B6:B5000=$C$5)*(Revenue_Log!H6:H5000)))</f>
        <v/>
      </c>
      <c r="J18" s="59">
        <f>IF($C$5="All",SUMPRODUCT((MONTH(Revenue_Log!A6:A5000)=8)*(Revenue_Log!D6:D5000="Other Income")*(Revenue_Log!H6:H5000)),SUMPRODUCT((MONTH(Revenue_Log!A6:A5000)=8)*(Revenue_Log!D6:D5000="Other Income")*(Revenue_Log!B6:B5000=$C$5)*(Revenue_Log!H6:H5000)))</f>
        <v/>
      </c>
      <c r="K18" s="59">
        <f>IF($C$5="All",SUMPRODUCT((MONTH(Revenue_Log!A6:A5000)=9)*(Revenue_Log!D6:D5000="Other Income")*(Revenue_Log!H6:H5000)),SUMPRODUCT((MONTH(Revenue_Log!A6:A5000)=9)*(Revenue_Log!D6:D5000="Other Income")*(Revenue_Log!B6:B5000=$C$5)*(Revenue_Log!H6:H5000)))</f>
        <v/>
      </c>
      <c r="L18" s="59">
        <f>IF($C$5="All",SUMPRODUCT((MONTH(Revenue_Log!A6:A5000)=10)*(Revenue_Log!D6:D5000="Other Income")*(Revenue_Log!H6:H5000)),SUMPRODUCT((MONTH(Revenue_Log!A6:A5000)=10)*(Revenue_Log!D6:D5000="Other Income")*(Revenue_Log!B6:B5000=$C$5)*(Revenue_Log!H6:H5000)))</f>
        <v/>
      </c>
      <c r="M18" s="59">
        <f>IF($C$5="All",SUMPRODUCT((MONTH(Revenue_Log!A6:A5000)=11)*(Revenue_Log!D6:D5000="Other Income")*(Revenue_Log!H6:H5000)),SUMPRODUCT((MONTH(Revenue_Log!A6:A5000)=11)*(Revenue_Log!D6:D5000="Other Income")*(Revenue_Log!B6:B5000=$C$5)*(Revenue_Log!H6:H5000)))</f>
        <v/>
      </c>
      <c r="N18" s="59">
        <f>IF($C$5="All",SUMPRODUCT((MONTH(Revenue_Log!A6:A5000)=12)*(Revenue_Log!D6:D5000="Other Income")*(Revenue_Log!H6:H5000)),SUMPRODUCT((MONTH(Revenue_Log!A6:A5000)=12)*(Revenue_Log!D6:D5000="Other Income")*(Revenue_Log!B6:B5000=$C$5)*(Revenue_Log!H6:H5000)))</f>
        <v/>
      </c>
      <c r="O18" s="43">
        <f>SUM(C18:N18)</f>
        <v/>
      </c>
    </row>
    <row r="19" ht="15" customHeight="1">
      <c r="B19" s="60" t="inlineStr">
        <is>
          <t>TOTAL REVENUE</t>
        </is>
      </c>
      <c r="C19" s="61">
        <f>SUM(C13:C18)</f>
        <v/>
      </c>
      <c r="D19" s="61">
        <f>SUM(D13:D18)</f>
        <v/>
      </c>
      <c r="E19" s="61">
        <f>SUM(E13:E18)</f>
        <v/>
      </c>
      <c r="F19" s="61">
        <f>SUM(F13:F18)</f>
        <v/>
      </c>
      <c r="G19" s="61">
        <f>SUM(G13:G18)</f>
        <v/>
      </c>
      <c r="H19" s="61">
        <f>SUM(H13:H18)</f>
        <v/>
      </c>
      <c r="I19" s="61">
        <f>SUM(I13:I18)</f>
        <v/>
      </c>
      <c r="J19" s="61">
        <f>SUM(J13:J18)</f>
        <v/>
      </c>
      <c r="K19" s="61">
        <f>SUM(K13:K18)</f>
        <v/>
      </c>
      <c r="L19" s="61">
        <f>SUM(L13:L18)</f>
        <v/>
      </c>
      <c r="M19" s="61">
        <f>SUM(M13:M18)</f>
        <v/>
      </c>
      <c r="N19" s="61">
        <f>SUM(N13:N18)</f>
        <v/>
      </c>
      <c r="O19" s="61">
        <f>SUM(O13:O18)</f>
        <v/>
      </c>
    </row>
    <row r="20" ht="15" customHeight="1">
      <c r="B20" s="62" t="inlineStr">
        <is>
          <t>EXPENDITURE:</t>
        </is>
      </c>
    </row>
    <row r="21" ht="15" customHeight="1">
      <c r="B21" s="36" t="inlineStr">
        <is>
          <t>Salaries</t>
        </is>
      </c>
      <c r="C21" s="58">
        <f>SUMPRODUCT((Staff_Salaries!A6:A5000=Dashboard!$B$1)*(Staff_Salaries!B6:B5000="January")*(Staff_Salaries!E6:E5000))</f>
        <v/>
      </c>
      <c r="D21" s="58">
        <f>SUMPRODUCT((Staff_Salaries!A6:A5000=Dashboard!$B$1)*(Staff_Salaries!B6:B5000="February")*(Staff_Salaries!E6:E5000))</f>
        <v/>
      </c>
      <c r="E21" s="58">
        <f>SUMPRODUCT((Staff_Salaries!A6:A5000=Dashboard!$B$1)*(Staff_Salaries!B6:B5000="March")*(Staff_Salaries!E6:E5000))</f>
        <v/>
      </c>
      <c r="F21" s="58">
        <f>SUMPRODUCT((Staff_Salaries!A6:A5000=Dashboard!$B$1)*(Staff_Salaries!B6:B5000="April")*(Staff_Salaries!E6:E5000))</f>
        <v/>
      </c>
      <c r="G21" s="58">
        <f>SUMPRODUCT((Staff_Salaries!A6:A5000=Dashboard!$B$1)*(Staff_Salaries!B6:B5000="May")*(Staff_Salaries!E6:E5000))</f>
        <v/>
      </c>
      <c r="H21" s="58">
        <f>SUMPRODUCT((Staff_Salaries!A6:A5000=Dashboard!$B$1)*(Staff_Salaries!B6:B5000="June")*(Staff_Salaries!E6:E5000))</f>
        <v/>
      </c>
      <c r="I21" s="58">
        <f>SUMPRODUCT((Staff_Salaries!A6:A5000=Dashboard!$B$1)*(Staff_Salaries!B6:B5000="July")*(Staff_Salaries!E6:E5000))</f>
        <v/>
      </c>
      <c r="J21" s="58">
        <f>SUMPRODUCT((Staff_Salaries!A6:A5000=Dashboard!$B$1)*(Staff_Salaries!B6:B5000="August")*(Staff_Salaries!E6:E5000))</f>
        <v/>
      </c>
      <c r="K21" s="58">
        <f>SUMPRODUCT((Staff_Salaries!A6:A5000=Dashboard!$B$1)*(Staff_Salaries!B6:B5000="September")*(Staff_Salaries!E6:E5000))</f>
        <v/>
      </c>
      <c r="L21" s="58">
        <f>SUMPRODUCT((Staff_Salaries!A6:A5000=Dashboard!$B$1)*(Staff_Salaries!B6:B5000="October")*(Staff_Salaries!E6:E5000))</f>
        <v/>
      </c>
      <c r="M21" s="58">
        <f>SUMPRODUCT((Staff_Salaries!A6:A5000=Dashboard!$B$1)*(Staff_Salaries!B6:B5000="November")*(Staff_Salaries!E6:E5000))</f>
        <v/>
      </c>
      <c r="N21" s="58">
        <f>SUMPRODUCT((Staff_Salaries!A6:A5000=Dashboard!$B$1)*(Staff_Salaries!B6:B5000="December")*(Staff_Salaries!E6:E5000))</f>
        <v/>
      </c>
      <c r="O21" s="39">
        <f>SUM(C21:N21)</f>
        <v/>
      </c>
    </row>
    <row r="22" ht="15" customHeight="1">
      <c r="B22" s="40" t="inlineStr">
        <is>
          <t>Construction</t>
        </is>
      </c>
      <c r="C22" s="59">
        <f>IF($C$5="All",SUMPRODUCT((MONTH(Expenses_Log!A6:A5000)=1)*(Expenses_Log!C6:C5000="Construction")*(Expenses_Log!G6:G5000)),SUMPRODUCT((MONTH(Expenses_Log!A6:A5000)=1)*(Expenses_Log!C6:C5000="Construction")*(Expenses_Log!B6:B5000=$C$5)*(Expenses_Log!G6:G5000)))</f>
        <v/>
      </c>
      <c r="D22" s="59">
        <f>IF($C$5="All",SUMPRODUCT((MONTH(Expenses_Log!A6:A5000)=2)*(Expenses_Log!C6:C5000="Construction")*(Expenses_Log!G6:G5000)),SUMPRODUCT((MONTH(Expenses_Log!A6:A5000)=2)*(Expenses_Log!C6:C5000="Construction")*(Expenses_Log!B6:B5000=$C$5)*(Expenses_Log!G6:G5000)))</f>
        <v/>
      </c>
      <c r="E22" s="59">
        <f>IF($C$5="All",SUMPRODUCT((MONTH(Expenses_Log!A6:A5000)=3)*(Expenses_Log!C6:C5000="Construction")*(Expenses_Log!G6:G5000)),SUMPRODUCT((MONTH(Expenses_Log!A6:A5000)=3)*(Expenses_Log!C6:C5000="Construction")*(Expenses_Log!B6:B5000=$C$5)*(Expenses_Log!G6:G5000)))</f>
        <v/>
      </c>
      <c r="F22" s="59">
        <f>IF($C$5="All",SUMPRODUCT((MONTH(Expenses_Log!A6:A5000)=4)*(Expenses_Log!C6:C5000="Construction")*(Expenses_Log!G6:G5000)),SUMPRODUCT((MONTH(Expenses_Log!A6:A5000)=4)*(Expenses_Log!C6:C5000="Construction")*(Expenses_Log!B6:B5000=$C$5)*(Expenses_Log!G6:G5000)))</f>
        <v/>
      </c>
      <c r="G22" s="59">
        <f>IF($C$5="All",SUMPRODUCT((MONTH(Expenses_Log!A6:A5000)=5)*(Expenses_Log!C6:C5000="Construction")*(Expenses_Log!G6:G5000)),SUMPRODUCT((MONTH(Expenses_Log!A6:A5000)=5)*(Expenses_Log!C6:C5000="Construction")*(Expenses_Log!B6:B5000=$C$5)*(Expenses_Log!G6:G5000)))</f>
        <v/>
      </c>
      <c r="H22" s="59">
        <f>IF($C$5="All",SUMPRODUCT((MONTH(Expenses_Log!A6:A5000)=6)*(Expenses_Log!C6:C5000="Construction")*(Expenses_Log!G6:G5000)),SUMPRODUCT((MONTH(Expenses_Log!A6:A5000)=6)*(Expenses_Log!C6:C5000="Construction")*(Expenses_Log!B6:B5000=$C$5)*(Expenses_Log!G6:G5000)))</f>
        <v/>
      </c>
      <c r="I22" s="59">
        <f>IF($C$5="All",SUMPRODUCT((MONTH(Expenses_Log!A6:A5000)=7)*(Expenses_Log!C6:C5000="Construction")*(Expenses_Log!G6:G5000)),SUMPRODUCT((MONTH(Expenses_Log!A6:A5000)=7)*(Expenses_Log!C6:C5000="Construction")*(Expenses_Log!B6:B5000=$C$5)*(Expenses_Log!G6:G5000)))</f>
        <v/>
      </c>
      <c r="J22" s="59">
        <f>IF($C$5="All",SUMPRODUCT((MONTH(Expenses_Log!A6:A5000)=8)*(Expenses_Log!C6:C5000="Construction")*(Expenses_Log!G6:G5000)),SUMPRODUCT((MONTH(Expenses_Log!A6:A5000)=8)*(Expenses_Log!C6:C5000="Construction")*(Expenses_Log!B6:B5000=$C$5)*(Expenses_Log!G6:G5000)))</f>
        <v/>
      </c>
      <c r="K22" s="59">
        <f>IF($C$5="All",SUMPRODUCT((MONTH(Expenses_Log!A6:A5000)=9)*(Expenses_Log!C6:C5000="Construction")*(Expenses_Log!G6:G5000)),SUMPRODUCT((MONTH(Expenses_Log!A6:A5000)=9)*(Expenses_Log!C6:C5000="Construction")*(Expenses_Log!B6:B5000=$C$5)*(Expenses_Log!G6:G5000)))</f>
        <v/>
      </c>
      <c r="L22" s="59">
        <f>IF($C$5="All",SUMPRODUCT((MONTH(Expenses_Log!A6:A5000)=10)*(Expenses_Log!C6:C5000="Construction")*(Expenses_Log!G6:G5000)),SUMPRODUCT((MONTH(Expenses_Log!A6:A5000)=10)*(Expenses_Log!C6:C5000="Construction")*(Expenses_Log!B6:B5000=$C$5)*(Expenses_Log!G6:G5000)))</f>
        <v/>
      </c>
      <c r="M22" s="59">
        <f>IF($C$5="All",SUMPRODUCT((MONTH(Expenses_Log!A6:A5000)=11)*(Expenses_Log!C6:C5000="Construction")*(Expenses_Log!G6:G5000)),SUMPRODUCT((MONTH(Expenses_Log!A6:A5000)=11)*(Expenses_Log!C6:C5000="Construction")*(Expenses_Log!B6:B5000=$C$5)*(Expenses_Log!G6:G5000)))</f>
        <v/>
      </c>
      <c r="N22" s="59">
        <f>IF($C$5="All",SUMPRODUCT((MONTH(Expenses_Log!A6:A5000)=12)*(Expenses_Log!C6:C5000="Construction")*(Expenses_Log!G6:G5000)),SUMPRODUCT((MONTH(Expenses_Log!A6:A5000)=12)*(Expenses_Log!C6:C5000="Construction")*(Expenses_Log!B6:B5000=$C$5)*(Expenses_Log!G6:G5000)))</f>
        <v/>
      </c>
      <c r="O22" s="43">
        <f>SUM(C22:N22)</f>
        <v/>
      </c>
    </row>
    <row r="23" ht="15" customHeight="1">
      <c r="B23" s="36" t="inlineStr">
        <is>
          <t>Maintenance</t>
        </is>
      </c>
      <c r="C23" s="58">
        <f>IF($C$5="All",SUMPRODUCT((MONTH(Expenses_Log!A6:A5000)=1)*(Expenses_Log!C6:C5000="Maintenance")*(Expenses_Log!G6:G5000)),SUMPRODUCT((MONTH(Expenses_Log!A6:A5000)=1)*(Expenses_Log!C6:C5000="Maintenance")*(Expenses_Log!B6:B5000=$C$5)*(Expenses_Log!G6:G5000)))</f>
        <v/>
      </c>
      <c r="D23" s="58">
        <f>IF($C$5="All",SUMPRODUCT((MONTH(Expenses_Log!A6:A5000)=2)*(Expenses_Log!C6:C5000="Maintenance")*(Expenses_Log!G6:G5000)),SUMPRODUCT((MONTH(Expenses_Log!A6:A5000)=2)*(Expenses_Log!C6:C5000="Maintenance")*(Expenses_Log!B6:B5000=$C$5)*(Expenses_Log!G6:G5000)))</f>
        <v/>
      </c>
      <c r="E23" s="58">
        <f>IF($C$5="All",SUMPRODUCT((MONTH(Expenses_Log!A6:A5000)=3)*(Expenses_Log!C6:C5000="Maintenance")*(Expenses_Log!G6:G5000)),SUMPRODUCT((MONTH(Expenses_Log!A6:A5000)=3)*(Expenses_Log!C6:C5000="Maintenance")*(Expenses_Log!B6:B5000=$C$5)*(Expenses_Log!G6:G5000)))</f>
        <v/>
      </c>
      <c r="F23" s="58">
        <f>IF($C$5="All",SUMPRODUCT((MONTH(Expenses_Log!A6:A5000)=4)*(Expenses_Log!C6:C5000="Maintenance")*(Expenses_Log!G6:G5000)),SUMPRODUCT((MONTH(Expenses_Log!A6:A5000)=4)*(Expenses_Log!C6:C5000="Maintenance")*(Expenses_Log!B6:B5000=$C$5)*(Expenses_Log!G6:G5000)))</f>
        <v/>
      </c>
      <c r="G23" s="58">
        <f>IF($C$5="All",SUMPRODUCT((MONTH(Expenses_Log!A6:A5000)=5)*(Expenses_Log!C6:C5000="Maintenance")*(Expenses_Log!G6:G5000)),SUMPRODUCT((MONTH(Expenses_Log!A6:A5000)=5)*(Expenses_Log!C6:C5000="Maintenance")*(Expenses_Log!B6:B5000=$C$5)*(Expenses_Log!G6:G5000)))</f>
        <v/>
      </c>
      <c r="H23" s="58">
        <f>IF($C$5="All",SUMPRODUCT((MONTH(Expenses_Log!A6:A5000)=6)*(Expenses_Log!C6:C5000="Maintenance")*(Expenses_Log!G6:G5000)),SUMPRODUCT((MONTH(Expenses_Log!A6:A5000)=6)*(Expenses_Log!C6:C5000="Maintenance")*(Expenses_Log!B6:B5000=$C$5)*(Expenses_Log!G6:G5000)))</f>
        <v/>
      </c>
      <c r="I23" s="58">
        <f>IF($C$5="All",SUMPRODUCT((MONTH(Expenses_Log!A6:A5000)=7)*(Expenses_Log!C6:C5000="Maintenance")*(Expenses_Log!G6:G5000)),SUMPRODUCT((MONTH(Expenses_Log!A6:A5000)=7)*(Expenses_Log!C6:C5000="Maintenance")*(Expenses_Log!B6:B5000=$C$5)*(Expenses_Log!G6:G5000)))</f>
        <v/>
      </c>
      <c r="J23" s="58">
        <f>IF($C$5="All",SUMPRODUCT((MONTH(Expenses_Log!A6:A5000)=8)*(Expenses_Log!C6:C5000="Maintenance")*(Expenses_Log!G6:G5000)),SUMPRODUCT((MONTH(Expenses_Log!A6:A5000)=8)*(Expenses_Log!C6:C5000="Maintenance")*(Expenses_Log!B6:B5000=$C$5)*(Expenses_Log!G6:G5000)))</f>
        <v/>
      </c>
      <c r="K23" s="58">
        <f>IF($C$5="All",SUMPRODUCT((MONTH(Expenses_Log!A6:A5000)=9)*(Expenses_Log!C6:C5000="Maintenance")*(Expenses_Log!G6:G5000)),SUMPRODUCT((MONTH(Expenses_Log!A6:A5000)=9)*(Expenses_Log!C6:C5000="Maintenance")*(Expenses_Log!B6:B5000=$C$5)*(Expenses_Log!G6:G5000)))</f>
        <v/>
      </c>
      <c r="L23" s="58">
        <f>IF($C$5="All",SUMPRODUCT((MONTH(Expenses_Log!A6:A5000)=10)*(Expenses_Log!C6:C5000="Maintenance")*(Expenses_Log!G6:G5000)),SUMPRODUCT((MONTH(Expenses_Log!A6:A5000)=10)*(Expenses_Log!C6:C5000="Maintenance")*(Expenses_Log!B6:B5000=$C$5)*(Expenses_Log!G6:G5000)))</f>
        <v/>
      </c>
      <c r="M23" s="58">
        <f>IF($C$5="All",SUMPRODUCT((MONTH(Expenses_Log!A6:A5000)=11)*(Expenses_Log!C6:C5000="Maintenance")*(Expenses_Log!G6:G5000)),SUMPRODUCT((MONTH(Expenses_Log!A6:A5000)=11)*(Expenses_Log!C6:C5000="Maintenance")*(Expenses_Log!B6:B5000=$C$5)*(Expenses_Log!G6:G5000)))</f>
        <v/>
      </c>
      <c r="N23" s="58">
        <f>IF($C$5="All",SUMPRODUCT((MONTH(Expenses_Log!A6:A5000)=12)*(Expenses_Log!C6:C5000="Maintenance")*(Expenses_Log!G6:G5000)),SUMPRODUCT((MONTH(Expenses_Log!A6:A5000)=12)*(Expenses_Log!C6:C5000="Maintenance")*(Expenses_Log!B6:B5000=$C$5)*(Expenses_Log!G6:G5000)))</f>
        <v/>
      </c>
      <c r="O23" s="39">
        <f>SUM(C23:N23)</f>
        <v/>
      </c>
    </row>
    <row r="24" ht="15" customHeight="1">
      <c r="B24" s="40" t="inlineStr">
        <is>
          <t>Utilities</t>
        </is>
      </c>
      <c r="C24" s="59">
        <f>IF($C$5="All",SUMPRODUCT((MONTH(Expenses_Log!A6:A5000)=1)*(Expenses_Log!C6:C5000="Utilities")*(Expenses_Log!G6:G5000)),SUMPRODUCT((MONTH(Expenses_Log!A6:A5000)=1)*(Expenses_Log!C6:C5000="Utilities")*(Expenses_Log!B6:B5000=$C$5)*(Expenses_Log!G6:G5000)))</f>
        <v/>
      </c>
      <c r="D24" s="59">
        <f>IF($C$5="All",SUMPRODUCT((MONTH(Expenses_Log!A6:A5000)=2)*(Expenses_Log!C6:C5000="Utilities")*(Expenses_Log!G6:G5000)),SUMPRODUCT((MONTH(Expenses_Log!A6:A5000)=2)*(Expenses_Log!C6:C5000="Utilities")*(Expenses_Log!B6:B5000=$C$5)*(Expenses_Log!G6:G5000)))</f>
        <v/>
      </c>
      <c r="E24" s="59">
        <f>IF($C$5="All",SUMPRODUCT((MONTH(Expenses_Log!A6:A5000)=3)*(Expenses_Log!C6:C5000="Utilities")*(Expenses_Log!G6:G5000)),SUMPRODUCT((MONTH(Expenses_Log!A6:A5000)=3)*(Expenses_Log!C6:C5000="Utilities")*(Expenses_Log!B6:B5000=$C$5)*(Expenses_Log!G6:G5000)))</f>
        <v/>
      </c>
      <c r="F24" s="59">
        <f>IF($C$5="All",SUMPRODUCT((MONTH(Expenses_Log!A6:A5000)=4)*(Expenses_Log!C6:C5000="Utilities")*(Expenses_Log!G6:G5000)),SUMPRODUCT((MONTH(Expenses_Log!A6:A5000)=4)*(Expenses_Log!C6:C5000="Utilities")*(Expenses_Log!B6:B5000=$C$5)*(Expenses_Log!G6:G5000)))</f>
        <v/>
      </c>
      <c r="G24" s="59">
        <f>IF($C$5="All",SUMPRODUCT((MONTH(Expenses_Log!A6:A5000)=5)*(Expenses_Log!C6:C5000="Utilities")*(Expenses_Log!G6:G5000)),SUMPRODUCT((MONTH(Expenses_Log!A6:A5000)=5)*(Expenses_Log!C6:C5000="Utilities")*(Expenses_Log!B6:B5000=$C$5)*(Expenses_Log!G6:G5000)))</f>
        <v/>
      </c>
      <c r="H24" s="59">
        <f>IF($C$5="All",SUMPRODUCT((MONTH(Expenses_Log!A6:A5000)=6)*(Expenses_Log!C6:C5000="Utilities")*(Expenses_Log!G6:G5000)),SUMPRODUCT((MONTH(Expenses_Log!A6:A5000)=6)*(Expenses_Log!C6:C5000="Utilities")*(Expenses_Log!B6:B5000=$C$5)*(Expenses_Log!G6:G5000)))</f>
        <v/>
      </c>
      <c r="I24" s="59">
        <f>IF($C$5="All",SUMPRODUCT((MONTH(Expenses_Log!A6:A5000)=7)*(Expenses_Log!C6:C5000="Utilities")*(Expenses_Log!G6:G5000)),SUMPRODUCT((MONTH(Expenses_Log!A6:A5000)=7)*(Expenses_Log!C6:C5000="Utilities")*(Expenses_Log!B6:B5000=$C$5)*(Expenses_Log!G6:G5000)))</f>
        <v/>
      </c>
      <c r="J24" s="59">
        <f>IF($C$5="All",SUMPRODUCT((MONTH(Expenses_Log!A6:A5000)=8)*(Expenses_Log!C6:C5000="Utilities")*(Expenses_Log!G6:G5000)),SUMPRODUCT((MONTH(Expenses_Log!A6:A5000)=8)*(Expenses_Log!C6:C5000="Utilities")*(Expenses_Log!B6:B5000=$C$5)*(Expenses_Log!G6:G5000)))</f>
        <v/>
      </c>
      <c r="K24" s="59">
        <f>IF($C$5="All",SUMPRODUCT((MONTH(Expenses_Log!A6:A5000)=9)*(Expenses_Log!C6:C5000="Utilities")*(Expenses_Log!G6:G5000)),SUMPRODUCT((MONTH(Expenses_Log!A6:A5000)=9)*(Expenses_Log!C6:C5000="Utilities")*(Expenses_Log!B6:B5000=$C$5)*(Expenses_Log!G6:G5000)))</f>
        <v/>
      </c>
      <c r="L24" s="59">
        <f>IF($C$5="All",SUMPRODUCT((MONTH(Expenses_Log!A6:A5000)=10)*(Expenses_Log!C6:C5000="Utilities")*(Expenses_Log!G6:G5000)),SUMPRODUCT((MONTH(Expenses_Log!A6:A5000)=10)*(Expenses_Log!C6:C5000="Utilities")*(Expenses_Log!B6:B5000=$C$5)*(Expenses_Log!G6:G5000)))</f>
        <v/>
      </c>
      <c r="M24" s="59">
        <f>IF($C$5="All",SUMPRODUCT((MONTH(Expenses_Log!A6:A5000)=11)*(Expenses_Log!C6:C5000="Utilities")*(Expenses_Log!G6:G5000)),SUMPRODUCT((MONTH(Expenses_Log!A6:A5000)=11)*(Expenses_Log!C6:C5000="Utilities")*(Expenses_Log!B6:B5000=$C$5)*(Expenses_Log!G6:G5000)))</f>
        <v/>
      </c>
      <c r="N24" s="59">
        <f>IF($C$5="All",SUMPRODUCT((MONTH(Expenses_Log!A6:A5000)=12)*(Expenses_Log!C6:C5000="Utilities")*(Expenses_Log!G6:G5000)),SUMPRODUCT((MONTH(Expenses_Log!A6:A5000)=12)*(Expenses_Log!C6:C5000="Utilities")*(Expenses_Log!B6:B5000=$C$5)*(Expenses_Log!G6:G5000)))</f>
        <v/>
      </c>
      <c r="O24" s="43">
        <f>SUM(C24:N24)</f>
        <v/>
      </c>
    </row>
    <row r="25" ht="15" customHeight="1">
      <c r="B25" s="36" t="inlineStr">
        <is>
          <t>Inventory</t>
        </is>
      </c>
      <c r="C25" s="58">
        <f>IF($C$5="All",SUMPRODUCT((MONTH(Expenses_Log!A6:A5000)=1)*(Expenses_Log!C6:C5000="Inventory")*(Expenses_Log!G6:G5000)),SUMPRODUCT((MONTH(Expenses_Log!A6:A5000)=1)*(Expenses_Log!C6:C5000="Inventory")*(Expenses_Log!B6:B5000=$C$5)*(Expenses_Log!G6:G5000)))</f>
        <v/>
      </c>
      <c r="D25" s="58">
        <f>IF($C$5="All",SUMPRODUCT((MONTH(Expenses_Log!A6:A5000)=2)*(Expenses_Log!C6:C5000="Inventory")*(Expenses_Log!G6:G5000)),SUMPRODUCT((MONTH(Expenses_Log!A6:A5000)=2)*(Expenses_Log!C6:C5000="Inventory")*(Expenses_Log!B6:B5000=$C$5)*(Expenses_Log!G6:G5000)))</f>
        <v/>
      </c>
      <c r="E25" s="58">
        <f>IF($C$5="All",SUMPRODUCT((MONTH(Expenses_Log!A6:A5000)=3)*(Expenses_Log!C6:C5000="Inventory")*(Expenses_Log!G6:G5000)),SUMPRODUCT((MONTH(Expenses_Log!A6:A5000)=3)*(Expenses_Log!C6:C5000="Inventory")*(Expenses_Log!B6:B5000=$C$5)*(Expenses_Log!G6:G5000)))</f>
        <v/>
      </c>
      <c r="F25" s="58">
        <f>IF($C$5="All",SUMPRODUCT((MONTH(Expenses_Log!A6:A5000)=4)*(Expenses_Log!C6:C5000="Inventory")*(Expenses_Log!G6:G5000)),SUMPRODUCT((MONTH(Expenses_Log!A6:A5000)=4)*(Expenses_Log!C6:C5000="Inventory")*(Expenses_Log!B6:B5000=$C$5)*(Expenses_Log!G6:G5000)))</f>
        <v/>
      </c>
      <c r="G25" s="58">
        <f>IF($C$5="All",SUMPRODUCT((MONTH(Expenses_Log!A6:A5000)=5)*(Expenses_Log!C6:C5000="Inventory")*(Expenses_Log!G6:G5000)),SUMPRODUCT((MONTH(Expenses_Log!A6:A5000)=5)*(Expenses_Log!C6:C5000="Inventory")*(Expenses_Log!B6:B5000=$C$5)*(Expenses_Log!G6:G5000)))</f>
        <v/>
      </c>
      <c r="H25" s="58">
        <f>IF($C$5="All",SUMPRODUCT((MONTH(Expenses_Log!A6:A5000)=6)*(Expenses_Log!C6:C5000="Inventory")*(Expenses_Log!G6:G5000)),SUMPRODUCT((MONTH(Expenses_Log!A6:A5000)=6)*(Expenses_Log!C6:C5000="Inventory")*(Expenses_Log!B6:B5000=$C$5)*(Expenses_Log!G6:G5000)))</f>
        <v/>
      </c>
      <c r="I25" s="58">
        <f>IF($C$5="All",SUMPRODUCT((MONTH(Expenses_Log!A6:A5000)=7)*(Expenses_Log!C6:C5000="Inventory")*(Expenses_Log!G6:G5000)),SUMPRODUCT((MONTH(Expenses_Log!A6:A5000)=7)*(Expenses_Log!C6:C5000="Inventory")*(Expenses_Log!B6:B5000=$C$5)*(Expenses_Log!G6:G5000)))</f>
        <v/>
      </c>
      <c r="J25" s="58">
        <f>IF($C$5="All",SUMPRODUCT((MONTH(Expenses_Log!A6:A5000)=8)*(Expenses_Log!C6:C5000="Inventory")*(Expenses_Log!G6:G5000)),SUMPRODUCT((MONTH(Expenses_Log!A6:A5000)=8)*(Expenses_Log!C6:C5000="Inventory")*(Expenses_Log!B6:B5000=$C$5)*(Expenses_Log!G6:G5000)))</f>
        <v/>
      </c>
      <c r="K25" s="58">
        <f>IF($C$5="All",SUMPRODUCT((MONTH(Expenses_Log!A6:A5000)=9)*(Expenses_Log!C6:C5000="Inventory")*(Expenses_Log!G6:G5000)),SUMPRODUCT((MONTH(Expenses_Log!A6:A5000)=9)*(Expenses_Log!C6:C5000="Inventory")*(Expenses_Log!B6:B5000=$C$5)*(Expenses_Log!G6:G5000)))</f>
        <v/>
      </c>
      <c r="L25" s="58">
        <f>IF($C$5="All",SUMPRODUCT((MONTH(Expenses_Log!A6:A5000)=10)*(Expenses_Log!C6:C5000="Inventory")*(Expenses_Log!G6:G5000)),SUMPRODUCT((MONTH(Expenses_Log!A6:A5000)=10)*(Expenses_Log!C6:C5000="Inventory")*(Expenses_Log!B6:B5000=$C$5)*(Expenses_Log!G6:G5000)))</f>
        <v/>
      </c>
      <c r="M25" s="58">
        <f>IF($C$5="All",SUMPRODUCT((MONTH(Expenses_Log!A6:A5000)=11)*(Expenses_Log!C6:C5000="Inventory")*(Expenses_Log!G6:G5000)),SUMPRODUCT((MONTH(Expenses_Log!A6:A5000)=11)*(Expenses_Log!C6:C5000="Inventory")*(Expenses_Log!B6:B5000=$C$5)*(Expenses_Log!G6:G5000)))</f>
        <v/>
      </c>
      <c r="N25" s="58">
        <f>IF($C$5="All",SUMPRODUCT((MONTH(Expenses_Log!A6:A5000)=12)*(Expenses_Log!C6:C5000="Inventory")*(Expenses_Log!G6:G5000)),SUMPRODUCT((MONTH(Expenses_Log!A6:A5000)=12)*(Expenses_Log!C6:C5000="Inventory")*(Expenses_Log!B6:B5000=$C$5)*(Expenses_Log!G6:G5000)))</f>
        <v/>
      </c>
      <c r="O25" s="39">
        <f>SUM(C25:N25)</f>
        <v/>
      </c>
    </row>
    <row r="26" ht="15" customHeight="1">
      <c r="B26" s="40" t="inlineStr">
        <is>
          <t>Administrative</t>
        </is>
      </c>
      <c r="C26" s="59">
        <f>IF($C$5="All",SUMPRODUCT((MONTH(Expenses_Log!A6:A5000)=1)*(Expenses_Log!C6:C5000="Administrative")*(Expenses_Log!G6:G5000)),SUMPRODUCT((MONTH(Expenses_Log!A6:A5000)=1)*(Expenses_Log!C6:C5000="Administrative")*(Expenses_Log!B6:B5000=$C$5)*(Expenses_Log!G6:G5000)))</f>
        <v/>
      </c>
      <c r="D26" s="59">
        <f>IF($C$5="All",SUMPRODUCT((MONTH(Expenses_Log!A6:A5000)=2)*(Expenses_Log!C6:C5000="Administrative")*(Expenses_Log!G6:G5000)),SUMPRODUCT((MONTH(Expenses_Log!A6:A5000)=2)*(Expenses_Log!C6:C5000="Administrative")*(Expenses_Log!B6:B5000=$C$5)*(Expenses_Log!G6:G5000)))</f>
        <v/>
      </c>
      <c r="E26" s="59">
        <f>IF($C$5="All",SUMPRODUCT((MONTH(Expenses_Log!A6:A5000)=3)*(Expenses_Log!C6:C5000="Administrative")*(Expenses_Log!G6:G5000)),SUMPRODUCT((MONTH(Expenses_Log!A6:A5000)=3)*(Expenses_Log!C6:C5000="Administrative")*(Expenses_Log!B6:B5000=$C$5)*(Expenses_Log!G6:G5000)))</f>
        <v/>
      </c>
      <c r="F26" s="59">
        <f>IF($C$5="All",SUMPRODUCT((MONTH(Expenses_Log!A6:A5000)=4)*(Expenses_Log!C6:C5000="Administrative")*(Expenses_Log!G6:G5000)),SUMPRODUCT((MONTH(Expenses_Log!A6:A5000)=4)*(Expenses_Log!C6:C5000="Administrative")*(Expenses_Log!B6:B5000=$C$5)*(Expenses_Log!G6:G5000)))</f>
        <v/>
      </c>
      <c r="G26" s="59">
        <f>IF($C$5="All",SUMPRODUCT((MONTH(Expenses_Log!A6:A5000)=5)*(Expenses_Log!C6:C5000="Administrative")*(Expenses_Log!G6:G5000)),SUMPRODUCT((MONTH(Expenses_Log!A6:A5000)=5)*(Expenses_Log!C6:C5000="Administrative")*(Expenses_Log!B6:B5000=$C$5)*(Expenses_Log!G6:G5000)))</f>
        <v/>
      </c>
      <c r="H26" s="59">
        <f>IF($C$5="All",SUMPRODUCT((MONTH(Expenses_Log!A6:A5000)=6)*(Expenses_Log!C6:C5000="Administrative")*(Expenses_Log!G6:G5000)),SUMPRODUCT((MONTH(Expenses_Log!A6:A5000)=6)*(Expenses_Log!C6:C5000="Administrative")*(Expenses_Log!B6:B5000=$C$5)*(Expenses_Log!G6:G5000)))</f>
        <v/>
      </c>
      <c r="I26" s="59">
        <f>IF($C$5="All",SUMPRODUCT((MONTH(Expenses_Log!A6:A5000)=7)*(Expenses_Log!C6:C5000="Administrative")*(Expenses_Log!G6:G5000)),SUMPRODUCT((MONTH(Expenses_Log!A6:A5000)=7)*(Expenses_Log!C6:C5000="Administrative")*(Expenses_Log!B6:B5000=$C$5)*(Expenses_Log!G6:G5000)))</f>
        <v/>
      </c>
      <c r="J26" s="59">
        <f>IF($C$5="All",SUMPRODUCT((MONTH(Expenses_Log!A6:A5000)=8)*(Expenses_Log!C6:C5000="Administrative")*(Expenses_Log!G6:G5000)),SUMPRODUCT((MONTH(Expenses_Log!A6:A5000)=8)*(Expenses_Log!C6:C5000="Administrative")*(Expenses_Log!B6:B5000=$C$5)*(Expenses_Log!G6:G5000)))</f>
        <v/>
      </c>
      <c r="K26" s="59">
        <f>IF($C$5="All",SUMPRODUCT((MONTH(Expenses_Log!A6:A5000)=9)*(Expenses_Log!C6:C5000="Administrative")*(Expenses_Log!G6:G5000)),SUMPRODUCT((MONTH(Expenses_Log!A6:A5000)=9)*(Expenses_Log!C6:C5000="Administrative")*(Expenses_Log!B6:B5000=$C$5)*(Expenses_Log!G6:G5000)))</f>
        <v/>
      </c>
      <c r="L26" s="59">
        <f>IF($C$5="All",SUMPRODUCT((MONTH(Expenses_Log!A6:A5000)=10)*(Expenses_Log!C6:C5000="Administrative")*(Expenses_Log!G6:G5000)),SUMPRODUCT((MONTH(Expenses_Log!A6:A5000)=10)*(Expenses_Log!C6:C5000="Administrative")*(Expenses_Log!B6:B5000=$C$5)*(Expenses_Log!G6:G5000)))</f>
        <v/>
      </c>
      <c r="M26" s="59">
        <f>IF($C$5="All",SUMPRODUCT((MONTH(Expenses_Log!A6:A5000)=11)*(Expenses_Log!C6:C5000="Administrative")*(Expenses_Log!G6:G5000)),SUMPRODUCT((MONTH(Expenses_Log!A6:A5000)=11)*(Expenses_Log!C6:C5000="Administrative")*(Expenses_Log!B6:B5000=$C$5)*(Expenses_Log!G6:G5000)))</f>
        <v/>
      </c>
      <c r="N26" s="59">
        <f>IF($C$5="All",SUMPRODUCT((MONTH(Expenses_Log!A6:A5000)=12)*(Expenses_Log!C6:C5000="Administrative")*(Expenses_Log!G6:G5000)),SUMPRODUCT((MONTH(Expenses_Log!A6:A5000)=12)*(Expenses_Log!C6:C5000="Administrative")*(Expenses_Log!B6:B5000=$C$5)*(Expenses_Log!G6:G5000)))</f>
        <v/>
      </c>
      <c r="O26" s="43">
        <f>SUM(C26:N26)</f>
        <v/>
      </c>
    </row>
    <row r="27" ht="15" customHeight="1">
      <c r="B27" s="36" t="inlineStr">
        <is>
          <t>Loans &amp; Advances</t>
        </is>
      </c>
      <c r="C27" s="58">
        <f>IF($C$5="All",SUMPRODUCT((MONTH(Expenses_Log!A6:A5000)=1)*(Expenses_Log!C6:C5000="Loans &amp; Advances")*(Expenses_Log!G6:G5000)),SUMPRODUCT((MONTH(Expenses_Log!A6:A5000)=1)*(Expenses_Log!C6:C5000="Loans &amp; Advances")*(Expenses_Log!B6:B5000=$C$5)*(Expenses_Log!G6:G5000)))</f>
        <v/>
      </c>
      <c r="D27" s="58">
        <f>IF($C$5="All",SUMPRODUCT((MONTH(Expenses_Log!A6:A5000)=2)*(Expenses_Log!C6:C5000="Loans &amp; Advances")*(Expenses_Log!G6:G5000)),SUMPRODUCT((MONTH(Expenses_Log!A6:A5000)=2)*(Expenses_Log!C6:C5000="Loans &amp; Advances")*(Expenses_Log!B6:B5000=$C$5)*(Expenses_Log!G6:G5000)))</f>
        <v/>
      </c>
      <c r="E27" s="58">
        <f>IF($C$5="All",SUMPRODUCT((MONTH(Expenses_Log!A6:A5000)=3)*(Expenses_Log!C6:C5000="Loans &amp; Advances")*(Expenses_Log!G6:G5000)),SUMPRODUCT((MONTH(Expenses_Log!A6:A5000)=3)*(Expenses_Log!C6:C5000="Loans &amp; Advances")*(Expenses_Log!B6:B5000=$C$5)*(Expenses_Log!G6:G5000)))</f>
        <v/>
      </c>
      <c r="F27" s="58">
        <f>IF($C$5="All",SUMPRODUCT((MONTH(Expenses_Log!A6:A5000)=4)*(Expenses_Log!C6:C5000="Loans &amp; Advances")*(Expenses_Log!G6:G5000)),SUMPRODUCT((MONTH(Expenses_Log!A6:A5000)=4)*(Expenses_Log!C6:C5000="Loans &amp; Advances")*(Expenses_Log!B6:B5000=$C$5)*(Expenses_Log!G6:G5000)))</f>
        <v/>
      </c>
      <c r="G27" s="58">
        <f>IF($C$5="All",SUMPRODUCT((MONTH(Expenses_Log!A6:A5000)=5)*(Expenses_Log!C6:C5000="Loans &amp; Advances")*(Expenses_Log!G6:G5000)),SUMPRODUCT((MONTH(Expenses_Log!A6:A5000)=5)*(Expenses_Log!C6:C5000="Loans &amp; Advances")*(Expenses_Log!B6:B5000=$C$5)*(Expenses_Log!G6:G5000)))</f>
        <v/>
      </c>
      <c r="H27" s="58">
        <f>IF($C$5="All",SUMPRODUCT((MONTH(Expenses_Log!A6:A5000)=6)*(Expenses_Log!C6:C5000="Loans &amp; Advances")*(Expenses_Log!G6:G5000)),SUMPRODUCT((MONTH(Expenses_Log!A6:A5000)=6)*(Expenses_Log!C6:C5000="Loans &amp; Advances")*(Expenses_Log!B6:B5000=$C$5)*(Expenses_Log!G6:G5000)))</f>
        <v/>
      </c>
      <c r="I27" s="58">
        <f>IF($C$5="All",SUMPRODUCT((MONTH(Expenses_Log!A6:A5000)=7)*(Expenses_Log!C6:C5000="Loans &amp; Advances")*(Expenses_Log!G6:G5000)),SUMPRODUCT((MONTH(Expenses_Log!A6:A5000)=7)*(Expenses_Log!C6:C5000="Loans &amp; Advances")*(Expenses_Log!B6:B5000=$C$5)*(Expenses_Log!G6:G5000)))</f>
        <v/>
      </c>
      <c r="J27" s="58">
        <f>IF($C$5="All",SUMPRODUCT((MONTH(Expenses_Log!A6:A5000)=8)*(Expenses_Log!C6:C5000="Loans &amp; Advances")*(Expenses_Log!G6:G5000)),SUMPRODUCT((MONTH(Expenses_Log!A6:A5000)=8)*(Expenses_Log!C6:C5000="Loans &amp; Advances")*(Expenses_Log!B6:B5000=$C$5)*(Expenses_Log!G6:G5000)))</f>
        <v/>
      </c>
      <c r="K27" s="58">
        <f>IF($C$5="All",SUMPRODUCT((MONTH(Expenses_Log!A6:A5000)=9)*(Expenses_Log!C6:C5000="Loans &amp; Advances")*(Expenses_Log!G6:G5000)),SUMPRODUCT((MONTH(Expenses_Log!A6:A5000)=9)*(Expenses_Log!C6:C5000="Loans &amp; Advances")*(Expenses_Log!B6:B5000=$C$5)*(Expenses_Log!G6:G5000)))</f>
        <v/>
      </c>
      <c r="L27" s="58">
        <f>IF($C$5="All",SUMPRODUCT((MONTH(Expenses_Log!A6:A5000)=10)*(Expenses_Log!C6:C5000="Loans &amp; Advances")*(Expenses_Log!G6:G5000)),SUMPRODUCT((MONTH(Expenses_Log!A6:A5000)=10)*(Expenses_Log!C6:C5000="Loans &amp; Advances")*(Expenses_Log!B6:B5000=$C$5)*(Expenses_Log!G6:G5000)))</f>
        <v/>
      </c>
      <c r="M27" s="58">
        <f>IF($C$5="All",SUMPRODUCT((MONTH(Expenses_Log!A6:A5000)=11)*(Expenses_Log!C6:C5000="Loans &amp; Advances")*(Expenses_Log!G6:G5000)),SUMPRODUCT((MONTH(Expenses_Log!A6:A5000)=11)*(Expenses_Log!C6:C5000="Loans &amp; Advances")*(Expenses_Log!B6:B5000=$C$5)*(Expenses_Log!G6:G5000)))</f>
        <v/>
      </c>
      <c r="N27" s="58">
        <f>IF($C$5="All",SUMPRODUCT((MONTH(Expenses_Log!A6:A5000)=12)*(Expenses_Log!C6:C5000="Loans &amp; Advances")*(Expenses_Log!G6:G5000)),SUMPRODUCT((MONTH(Expenses_Log!A6:A5000)=12)*(Expenses_Log!C6:C5000="Loans &amp; Advances")*(Expenses_Log!B6:B5000=$C$5)*(Expenses_Log!G6:G5000)))</f>
        <v/>
      </c>
      <c r="O27" s="39">
        <f>SUM(C27:N27)</f>
        <v/>
      </c>
    </row>
    <row r="28" ht="15" customHeight="1">
      <c r="B28" s="40" t="inlineStr">
        <is>
          <t>Transportation</t>
        </is>
      </c>
      <c r="C28" s="59">
        <f>IF($C$5="All",SUMPRODUCT((MONTH(Expenses_Log!A6:A5000)=1)*(Expenses_Log!C6:C5000="Transportation")*(Expenses_Log!G6:G5000)),SUMPRODUCT((MONTH(Expenses_Log!A6:A5000)=1)*(Expenses_Log!C6:C5000="Transportation")*(Expenses_Log!B6:B5000=$C$5)*(Expenses_Log!G6:G5000)))</f>
        <v/>
      </c>
      <c r="D28" s="59">
        <f>IF($C$5="All",SUMPRODUCT((MONTH(Expenses_Log!A6:A5000)=2)*(Expenses_Log!C6:C5000="Transportation")*(Expenses_Log!G6:G5000)),SUMPRODUCT((MONTH(Expenses_Log!A6:A5000)=2)*(Expenses_Log!C6:C5000="Transportation")*(Expenses_Log!B6:B5000=$C$5)*(Expenses_Log!G6:G5000)))</f>
        <v/>
      </c>
      <c r="E28" s="59">
        <f>IF($C$5="All",SUMPRODUCT((MONTH(Expenses_Log!A6:A5000)=3)*(Expenses_Log!C6:C5000="Transportation")*(Expenses_Log!G6:G5000)),SUMPRODUCT((MONTH(Expenses_Log!A6:A5000)=3)*(Expenses_Log!C6:C5000="Transportation")*(Expenses_Log!B6:B5000=$C$5)*(Expenses_Log!G6:G5000)))</f>
        <v/>
      </c>
      <c r="F28" s="59">
        <f>IF($C$5="All",SUMPRODUCT((MONTH(Expenses_Log!A6:A5000)=4)*(Expenses_Log!C6:C5000="Transportation")*(Expenses_Log!G6:G5000)),SUMPRODUCT((MONTH(Expenses_Log!A6:A5000)=4)*(Expenses_Log!C6:C5000="Transportation")*(Expenses_Log!B6:B5000=$C$5)*(Expenses_Log!G6:G5000)))</f>
        <v/>
      </c>
      <c r="G28" s="59">
        <f>IF($C$5="All",SUMPRODUCT((MONTH(Expenses_Log!A6:A5000)=5)*(Expenses_Log!C6:C5000="Transportation")*(Expenses_Log!G6:G5000)),SUMPRODUCT((MONTH(Expenses_Log!A6:A5000)=5)*(Expenses_Log!C6:C5000="Transportation")*(Expenses_Log!B6:B5000=$C$5)*(Expenses_Log!G6:G5000)))</f>
        <v/>
      </c>
      <c r="H28" s="59">
        <f>IF($C$5="All",SUMPRODUCT((MONTH(Expenses_Log!A6:A5000)=6)*(Expenses_Log!C6:C5000="Transportation")*(Expenses_Log!G6:G5000)),SUMPRODUCT((MONTH(Expenses_Log!A6:A5000)=6)*(Expenses_Log!C6:C5000="Transportation")*(Expenses_Log!B6:B5000=$C$5)*(Expenses_Log!G6:G5000)))</f>
        <v/>
      </c>
      <c r="I28" s="59">
        <f>IF($C$5="All",SUMPRODUCT((MONTH(Expenses_Log!A6:A5000)=7)*(Expenses_Log!C6:C5000="Transportation")*(Expenses_Log!G6:G5000)),SUMPRODUCT((MONTH(Expenses_Log!A6:A5000)=7)*(Expenses_Log!C6:C5000="Transportation")*(Expenses_Log!B6:B5000=$C$5)*(Expenses_Log!G6:G5000)))</f>
        <v/>
      </c>
      <c r="J28" s="59">
        <f>IF($C$5="All",SUMPRODUCT((MONTH(Expenses_Log!A6:A5000)=8)*(Expenses_Log!C6:C5000="Transportation")*(Expenses_Log!G6:G5000)),SUMPRODUCT((MONTH(Expenses_Log!A6:A5000)=8)*(Expenses_Log!C6:C5000="Transportation")*(Expenses_Log!B6:B5000=$C$5)*(Expenses_Log!G6:G5000)))</f>
        <v/>
      </c>
      <c r="K28" s="59">
        <f>IF($C$5="All",SUMPRODUCT((MONTH(Expenses_Log!A6:A5000)=9)*(Expenses_Log!C6:C5000="Transportation")*(Expenses_Log!G6:G5000)),SUMPRODUCT((MONTH(Expenses_Log!A6:A5000)=9)*(Expenses_Log!C6:C5000="Transportation")*(Expenses_Log!B6:B5000=$C$5)*(Expenses_Log!G6:G5000)))</f>
        <v/>
      </c>
      <c r="L28" s="59">
        <f>IF($C$5="All",SUMPRODUCT((MONTH(Expenses_Log!A6:A5000)=10)*(Expenses_Log!C6:C5000="Transportation")*(Expenses_Log!G6:G5000)),SUMPRODUCT((MONTH(Expenses_Log!A6:A5000)=10)*(Expenses_Log!C6:C5000="Transportation")*(Expenses_Log!B6:B5000=$C$5)*(Expenses_Log!G6:G5000)))</f>
        <v/>
      </c>
      <c r="M28" s="59">
        <f>IF($C$5="All",SUMPRODUCT((MONTH(Expenses_Log!A6:A5000)=11)*(Expenses_Log!C6:C5000="Transportation")*(Expenses_Log!G6:G5000)),SUMPRODUCT((MONTH(Expenses_Log!A6:A5000)=11)*(Expenses_Log!C6:C5000="Transportation")*(Expenses_Log!B6:B5000=$C$5)*(Expenses_Log!G6:G5000)))</f>
        <v/>
      </c>
      <c r="N28" s="59">
        <f>IF($C$5="All",SUMPRODUCT((MONTH(Expenses_Log!A6:A5000)=12)*(Expenses_Log!C6:C5000="Transportation")*(Expenses_Log!G6:G5000)),SUMPRODUCT((MONTH(Expenses_Log!A6:A5000)=12)*(Expenses_Log!C6:C5000="Transportation")*(Expenses_Log!B6:B5000=$C$5)*(Expenses_Log!G6:G5000)))</f>
        <v/>
      </c>
      <c r="O28" s="43">
        <f>SUM(C28:N28)</f>
        <v/>
      </c>
    </row>
    <row r="29" ht="15" customHeight="1">
      <c r="B29" s="36" t="inlineStr">
        <is>
          <t>IT &amp; Communications</t>
        </is>
      </c>
      <c r="C29" s="58">
        <f>IF($C$5="All",SUMPRODUCT((MONTH(Expenses_Log!A6:A5000)=1)*(Expenses_Log!C6:C5000="IT &amp; Communications")*(Expenses_Log!G6:G5000)),SUMPRODUCT((MONTH(Expenses_Log!A6:A5000)=1)*(Expenses_Log!C6:C5000="IT &amp; Communications")*(Expenses_Log!B6:B5000=$C$5)*(Expenses_Log!G6:G5000)))</f>
        <v/>
      </c>
      <c r="D29" s="58">
        <f>IF($C$5="All",SUMPRODUCT((MONTH(Expenses_Log!A6:A5000)=2)*(Expenses_Log!C6:C5000="IT &amp; Communications")*(Expenses_Log!G6:G5000)),SUMPRODUCT((MONTH(Expenses_Log!A6:A5000)=2)*(Expenses_Log!C6:C5000="IT &amp; Communications")*(Expenses_Log!B6:B5000=$C$5)*(Expenses_Log!G6:G5000)))</f>
        <v/>
      </c>
      <c r="E29" s="58">
        <f>IF($C$5="All",SUMPRODUCT((MONTH(Expenses_Log!A6:A5000)=3)*(Expenses_Log!C6:C5000="IT &amp; Communications")*(Expenses_Log!G6:G5000)),SUMPRODUCT((MONTH(Expenses_Log!A6:A5000)=3)*(Expenses_Log!C6:C5000="IT &amp; Communications")*(Expenses_Log!B6:B5000=$C$5)*(Expenses_Log!G6:G5000)))</f>
        <v/>
      </c>
      <c r="F29" s="58">
        <f>IF($C$5="All",SUMPRODUCT((MONTH(Expenses_Log!A6:A5000)=4)*(Expenses_Log!C6:C5000="IT &amp; Communications")*(Expenses_Log!G6:G5000)),SUMPRODUCT((MONTH(Expenses_Log!A6:A5000)=4)*(Expenses_Log!C6:C5000="IT &amp; Communications")*(Expenses_Log!B6:B5000=$C$5)*(Expenses_Log!G6:G5000)))</f>
        <v/>
      </c>
      <c r="G29" s="58">
        <f>IF($C$5="All",SUMPRODUCT((MONTH(Expenses_Log!A6:A5000)=5)*(Expenses_Log!C6:C5000="IT &amp; Communications")*(Expenses_Log!G6:G5000)),SUMPRODUCT((MONTH(Expenses_Log!A6:A5000)=5)*(Expenses_Log!C6:C5000="IT &amp; Communications")*(Expenses_Log!B6:B5000=$C$5)*(Expenses_Log!G6:G5000)))</f>
        <v/>
      </c>
      <c r="H29" s="58">
        <f>IF($C$5="All",SUMPRODUCT((MONTH(Expenses_Log!A6:A5000)=6)*(Expenses_Log!C6:C5000="IT &amp; Communications")*(Expenses_Log!G6:G5000)),SUMPRODUCT((MONTH(Expenses_Log!A6:A5000)=6)*(Expenses_Log!C6:C5000="IT &amp; Communications")*(Expenses_Log!B6:B5000=$C$5)*(Expenses_Log!G6:G5000)))</f>
        <v/>
      </c>
      <c r="I29" s="58">
        <f>IF($C$5="All",SUMPRODUCT((MONTH(Expenses_Log!A6:A5000)=7)*(Expenses_Log!C6:C5000="IT &amp; Communications")*(Expenses_Log!G6:G5000)),SUMPRODUCT((MONTH(Expenses_Log!A6:A5000)=7)*(Expenses_Log!C6:C5000="IT &amp; Communications")*(Expenses_Log!B6:B5000=$C$5)*(Expenses_Log!G6:G5000)))</f>
        <v/>
      </c>
      <c r="J29" s="58">
        <f>IF($C$5="All",SUMPRODUCT((MONTH(Expenses_Log!A6:A5000)=8)*(Expenses_Log!C6:C5000="IT &amp; Communications")*(Expenses_Log!G6:G5000)),SUMPRODUCT((MONTH(Expenses_Log!A6:A5000)=8)*(Expenses_Log!C6:C5000="IT &amp; Communications")*(Expenses_Log!B6:B5000=$C$5)*(Expenses_Log!G6:G5000)))</f>
        <v/>
      </c>
      <c r="K29" s="58">
        <f>IF($C$5="All",SUMPRODUCT((MONTH(Expenses_Log!A6:A5000)=9)*(Expenses_Log!C6:C5000="IT &amp; Communications")*(Expenses_Log!G6:G5000)),SUMPRODUCT((MONTH(Expenses_Log!A6:A5000)=9)*(Expenses_Log!C6:C5000="IT &amp; Communications")*(Expenses_Log!B6:B5000=$C$5)*(Expenses_Log!G6:G5000)))</f>
        <v/>
      </c>
      <c r="L29" s="58">
        <f>IF($C$5="All",SUMPRODUCT((MONTH(Expenses_Log!A6:A5000)=10)*(Expenses_Log!C6:C5000="IT &amp; Communications")*(Expenses_Log!G6:G5000)),SUMPRODUCT((MONTH(Expenses_Log!A6:A5000)=10)*(Expenses_Log!C6:C5000="IT &amp; Communications")*(Expenses_Log!B6:B5000=$C$5)*(Expenses_Log!G6:G5000)))</f>
        <v/>
      </c>
      <c r="M29" s="58">
        <f>IF($C$5="All",SUMPRODUCT((MONTH(Expenses_Log!A6:A5000)=11)*(Expenses_Log!C6:C5000="IT &amp; Communications")*(Expenses_Log!G6:G5000)),SUMPRODUCT((MONTH(Expenses_Log!A6:A5000)=11)*(Expenses_Log!C6:C5000="IT &amp; Communications")*(Expenses_Log!B6:B5000=$C$5)*(Expenses_Log!G6:G5000)))</f>
        <v/>
      </c>
      <c r="N29" s="58">
        <f>IF($C$5="All",SUMPRODUCT((MONTH(Expenses_Log!A6:A5000)=12)*(Expenses_Log!C6:C5000="IT &amp; Communications")*(Expenses_Log!G6:G5000)),SUMPRODUCT((MONTH(Expenses_Log!A6:A5000)=12)*(Expenses_Log!C6:C5000="IT &amp; Communications")*(Expenses_Log!B6:B5000=$C$5)*(Expenses_Log!G6:G5000)))</f>
        <v/>
      </c>
      <c r="O29" s="39">
        <f>SUM(C29:N29)</f>
        <v/>
      </c>
    </row>
    <row r="30" ht="15" customHeight="1">
      <c r="B30" s="40" t="inlineStr">
        <is>
          <t>Other</t>
        </is>
      </c>
      <c r="C30" s="59">
        <f>IF($C$5="All",SUMPRODUCT((MONTH(Expenses_Log!A6:A5000)=1)*(Expenses_Log!C6:C5000="Other")*(Expenses_Log!G6:G5000)),SUMPRODUCT((MONTH(Expenses_Log!A6:A5000)=1)*(Expenses_Log!C6:C5000="Other")*(Expenses_Log!B6:B5000=$C$5)*(Expenses_Log!G6:G5000)))</f>
        <v/>
      </c>
      <c r="D30" s="59">
        <f>IF($C$5="All",SUMPRODUCT((MONTH(Expenses_Log!A6:A5000)=2)*(Expenses_Log!C6:C5000="Other")*(Expenses_Log!G6:G5000)),SUMPRODUCT((MONTH(Expenses_Log!A6:A5000)=2)*(Expenses_Log!C6:C5000="Other")*(Expenses_Log!B6:B5000=$C$5)*(Expenses_Log!G6:G5000)))</f>
        <v/>
      </c>
      <c r="E30" s="59">
        <f>IF($C$5="All",SUMPRODUCT((MONTH(Expenses_Log!A6:A5000)=3)*(Expenses_Log!C6:C5000="Other")*(Expenses_Log!G6:G5000)),SUMPRODUCT((MONTH(Expenses_Log!A6:A5000)=3)*(Expenses_Log!C6:C5000="Other")*(Expenses_Log!B6:B5000=$C$5)*(Expenses_Log!G6:G5000)))</f>
        <v/>
      </c>
      <c r="F30" s="59">
        <f>IF($C$5="All",SUMPRODUCT((MONTH(Expenses_Log!A6:A5000)=4)*(Expenses_Log!C6:C5000="Other")*(Expenses_Log!G6:G5000)),SUMPRODUCT((MONTH(Expenses_Log!A6:A5000)=4)*(Expenses_Log!C6:C5000="Other")*(Expenses_Log!B6:B5000=$C$5)*(Expenses_Log!G6:G5000)))</f>
        <v/>
      </c>
      <c r="G30" s="59">
        <f>IF($C$5="All",SUMPRODUCT((MONTH(Expenses_Log!A6:A5000)=5)*(Expenses_Log!C6:C5000="Other")*(Expenses_Log!G6:G5000)),SUMPRODUCT((MONTH(Expenses_Log!A6:A5000)=5)*(Expenses_Log!C6:C5000="Other")*(Expenses_Log!B6:B5000=$C$5)*(Expenses_Log!G6:G5000)))</f>
        <v/>
      </c>
      <c r="H30" s="59">
        <f>IF($C$5="All",SUMPRODUCT((MONTH(Expenses_Log!A6:A5000)=6)*(Expenses_Log!C6:C5000="Other")*(Expenses_Log!G6:G5000)),SUMPRODUCT((MONTH(Expenses_Log!A6:A5000)=6)*(Expenses_Log!C6:C5000="Other")*(Expenses_Log!B6:B5000=$C$5)*(Expenses_Log!G6:G5000)))</f>
        <v/>
      </c>
      <c r="I30" s="59">
        <f>IF($C$5="All",SUMPRODUCT((MONTH(Expenses_Log!A6:A5000)=7)*(Expenses_Log!C6:C5000="Other")*(Expenses_Log!G6:G5000)),SUMPRODUCT((MONTH(Expenses_Log!A6:A5000)=7)*(Expenses_Log!C6:C5000="Other")*(Expenses_Log!B6:B5000=$C$5)*(Expenses_Log!G6:G5000)))</f>
        <v/>
      </c>
      <c r="J30" s="59">
        <f>IF($C$5="All",SUMPRODUCT((MONTH(Expenses_Log!A6:A5000)=8)*(Expenses_Log!C6:C5000="Other")*(Expenses_Log!G6:G5000)),SUMPRODUCT((MONTH(Expenses_Log!A6:A5000)=8)*(Expenses_Log!C6:C5000="Other")*(Expenses_Log!B6:B5000=$C$5)*(Expenses_Log!G6:G5000)))</f>
        <v/>
      </c>
      <c r="K30" s="59">
        <f>IF($C$5="All",SUMPRODUCT((MONTH(Expenses_Log!A6:A5000)=9)*(Expenses_Log!C6:C5000="Other")*(Expenses_Log!G6:G5000)),SUMPRODUCT((MONTH(Expenses_Log!A6:A5000)=9)*(Expenses_Log!C6:C5000="Other")*(Expenses_Log!B6:B5000=$C$5)*(Expenses_Log!G6:G5000)))</f>
        <v/>
      </c>
      <c r="L30" s="59">
        <f>IF($C$5="All",SUMPRODUCT((MONTH(Expenses_Log!A6:A5000)=10)*(Expenses_Log!C6:C5000="Other")*(Expenses_Log!G6:G5000)),SUMPRODUCT((MONTH(Expenses_Log!A6:A5000)=10)*(Expenses_Log!C6:C5000="Other")*(Expenses_Log!B6:B5000=$C$5)*(Expenses_Log!G6:G5000)))</f>
        <v/>
      </c>
      <c r="M30" s="59">
        <f>IF($C$5="All",SUMPRODUCT((MONTH(Expenses_Log!A6:A5000)=11)*(Expenses_Log!C6:C5000="Other")*(Expenses_Log!G6:G5000)),SUMPRODUCT((MONTH(Expenses_Log!A6:A5000)=11)*(Expenses_Log!C6:C5000="Other")*(Expenses_Log!B6:B5000=$C$5)*(Expenses_Log!G6:G5000)))</f>
        <v/>
      </c>
      <c r="N30" s="59">
        <f>IF($C$5="All",SUMPRODUCT((MONTH(Expenses_Log!A6:A5000)=12)*(Expenses_Log!C6:C5000="Other")*(Expenses_Log!G6:G5000)),SUMPRODUCT((MONTH(Expenses_Log!A6:A5000)=12)*(Expenses_Log!C6:C5000="Other")*(Expenses_Log!B6:B5000=$C$5)*(Expenses_Log!G6:G5000)))</f>
        <v/>
      </c>
      <c r="O30" s="43">
        <f>SUM(C30:N30)</f>
        <v/>
      </c>
    </row>
    <row r="31" ht="15" customHeight="1">
      <c r="B31" s="47" t="inlineStr">
        <is>
          <t>TOTAL EXPENSES</t>
        </is>
      </c>
      <c r="C31" s="49">
        <f>SUM(C21:C30)</f>
        <v/>
      </c>
      <c r="D31" s="49">
        <f>SUM(D21:D30)</f>
        <v/>
      </c>
      <c r="E31" s="49">
        <f>SUM(E21:E30)</f>
        <v/>
      </c>
      <c r="F31" s="49">
        <f>SUM(F21:F30)</f>
        <v/>
      </c>
      <c r="G31" s="49">
        <f>SUM(G21:G30)</f>
        <v/>
      </c>
      <c r="H31" s="49">
        <f>SUM(H21:H30)</f>
        <v/>
      </c>
      <c r="I31" s="49">
        <f>SUM(I21:I30)</f>
        <v/>
      </c>
      <c r="J31" s="49">
        <f>SUM(J21:J30)</f>
        <v/>
      </c>
      <c r="K31" s="49">
        <f>SUM(K21:K30)</f>
        <v/>
      </c>
      <c r="L31" s="49">
        <f>SUM(L21:L30)</f>
        <v/>
      </c>
      <c r="M31" s="49">
        <f>SUM(M21:M30)</f>
        <v/>
      </c>
      <c r="N31" s="49">
        <f>SUM(N21:N30)</f>
        <v/>
      </c>
      <c r="O31" s="49">
        <f>SUM(O21:O30)</f>
        <v/>
      </c>
    </row>
    <row r="32" ht="17.25" customHeight="1">
      <c r="B32" s="50" t="inlineStr">
        <is>
          <t>NET PROFIT</t>
        </is>
      </c>
      <c r="C32" s="52">
        <f>C19-C31</f>
        <v/>
      </c>
      <c r="D32" s="52">
        <f>D19-D31</f>
        <v/>
      </c>
      <c r="E32" s="52">
        <f>E19-E31</f>
        <v/>
      </c>
      <c r="F32" s="52">
        <f>F19-F31</f>
        <v/>
      </c>
      <c r="G32" s="52">
        <f>G19-G31</f>
        <v/>
      </c>
      <c r="H32" s="52">
        <f>H19-H31</f>
        <v/>
      </c>
      <c r="I32" s="52">
        <f>I19-I31</f>
        <v/>
      </c>
      <c r="J32" s="52">
        <f>J19-J31</f>
        <v/>
      </c>
      <c r="K32" s="52">
        <f>K19-K31</f>
        <v/>
      </c>
      <c r="L32" s="52">
        <f>L19-L31</f>
        <v/>
      </c>
      <c r="M32" s="52">
        <f>M19-M31</f>
        <v/>
      </c>
      <c r="N32" s="52">
        <f>N19-N31</f>
        <v/>
      </c>
      <c r="O32" s="52">
        <f>O19-O31</f>
        <v/>
      </c>
    </row>
    <row r="33"/>
    <row r="34" ht="15" customHeight="1">
      <c r="B34" s="32" t="inlineStr">
        <is>
          <t>REVENUE BY LOCATION</t>
        </is>
      </c>
      <c r="F34" s="32" t="inlineStr">
        <is>
          <t>SALARY SUMMARY</t>
        </is>
      </c>
      <c r="J34" s="32" t="inlineStr">
        <is>
          <t>BUDGET STATUS</t>
        </is>
      </c>
    </row>
    <row r="35" ht="15" customHeight="1">
      <c r="B35" s="40">
        <f>IF(Dropdown_Lists!$A$4&lt;&gt;"",Dropdown_Lists!$A$4,"")</f>
        <v/>
      </c>
      <c r="C35" s="63">
        <f>IF(B35="","",SUMIF(Revenue_Log!B6:B5000,B35,Revenue_Log!H6:H5000))</f>
        <v/>
      </c>
      <c r="F35" s="40" t="inlineStr">
        <is>
          <t>Annual Payroll</t>
        </is>
      </c>
      <c r="G35" s="63">
        <f>Staff_Salaries!E4</f>
        <v/>
      </c>
      <c r="J35" s="40" t="inlineStr">
        <is>
          <t>Rev Variance</t>
        </is>
      </c>
      <c r="K35" s="63">
        <f>Budget!AN15-Budget!AM15</f>
        <v/>
      </c>
    </row>
    <row r="36" ht="15" customHeight="1">
      <c r="B36" s="40">
        <f>IF(Dropdown_Lists!$A$5&lt;&gt;"",Dropdown_Lists!$A$5,"")</f>
        <v/>
      </c>
      <c r="C36" s="63">
        <f>IF(B36="","",SUMIF(Revenue_Log!B6:B5000,B36,Revenue_Log!H6:H5000))</f>
        <v/>
      </c>
      <c r="F36" s="40" t="inlineStr">
        <is>
          <t>Avg Monthly</t>
        </is>
      </c>
      <c r="G36" s="63">
        <f>IFERROR(Staff_Salaries!E4/COUNTA(Staff_Salaries!B6:B5000),0)</f>
        <v/>
      </c>
      <c r="J36" s="40" t="inlineStr">
        <is>
          <t>Exp Variance</t>
        </is>
      </c>
      <c r="K36" s="63">
        <f>Budget!AM28-Budget!AN28</f>
        <v/>
      </c>
    </row>
    <row r="37" ht="15" customHeight="1">
      <c r="B37" s="17" t="inlineStr">
        <is>
          <t>TOTAL</t>
        </is>
      </c>
      <c r="C37" s="43">
        <f>SUMPRODUCT((YEAR(Revenue_Log!A6:A5000)=Dashboard!$B$1)*(Revenue_Log!H6:H5000))</f>
        <v/>
      </c>
    </row>
  </sheetData>
  <mergeCells count="7">
    <mergeCell ref="K8:L8"/>
    <mergeCell ref="E8:F8"/>
    <mergeCell ref="E3:N3"/>
    <mergeCell ref="H8:I8"/>
    <mergeCell ref="B8:C8"/>
    <mergeCell ref="N8:O8"/>
    <mergeCell ref="E2:N2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N32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3" customWidth="1" min="1" max="1"/>
    <col width="22" customWidth="1" min="2" max="2"/>
    <col width="12" customWidth="1" min="3" max="14"/>
  </cols>
  <sheetData>
    <row r="1"/>
    <row r="2" ht="18" customHeight="1">
      <c r="B2" s="16" t="inlineStr">
        <is>
          <t>Financial Analysis</t>
        </is>
      </c>
    </row>
    <row r="3" ht="15" customHeight="1">
      <c r="B3" s="12" t="inlineStr">
        <is>
          <t>Interactive charts with location filter</t>
        </is>
      </c>
    </row>
    <row r="4"/>
    <row r="5" ht="15" customHeight="1">
      <c r="B5" s="31" t="inlineStr">
        <is>
          <t>FILTER:</t>
        </is>
      </c>
      <c r="C5" s="53" t="inlineStr">
        <is>
          <t>All</t>
        </is>
      </c>
    </row>
    <row r="6"/>
    <row r="7" ht="15" customHeight="1">
      <c r="B7" s="32" t="inlineStr">
        <is>
          <t>Monthly Data</t>
        </is>
      </c>
    </row>
    <row r="8" ht="15" customHeight="1">
      <c r="C8" s="19" t="inlineStr">
        <is>
          <t>Jan</t>
        </is>
      </c>
      <c r="D8" s="19" t="inlineStr">
        <is>
          <t>Feb</t>
        </is>
      </c>
      <c r="E8" s="19" t="inlineStr">
        <is>
          <t>Mar</t>
        </is>
      </c>
      <c r="F8" s="19" t="inlineStr">
        <is>
          <t>Apr</t>
        </is>
      </c>
      <c r="G8" s="19" t="inlineStr">
        <is>
          <t>May</t>
        </is>
      </c>
      <c r="H8" s="19" t="inlineStr">
        <is>
          <t>Jun</t>
        </is>
      </c>
      <c r="I8" s="19" t="inlineStr">
        <is>
          <t>Jul</t>
        </is>
      </c>
      <c r="J8" s="19" t="inlineStr">
        <is>
          <t>Aug</t>
        </is>
      </c>
      <c r="K8" s="19" t="inlineStr">
        <is>
          <t>Sep</t>
        </is>
      </c>
      <c r="L8" s="19" t="inlineStr">
        <is>
          <t>Oct</t>
        </is>
      </c>
      <c r="M8" s="19" t="inlineStr">
        <is>
          <t>Nov</t>
        </is>
      </c>
      <c r="N8" s="19" t="inlineStr">
        <is>
          <t>Dec</t>
        </is>
      </c>
    </row>
    <row r="9" ht="15" customHeight="1">
      <c r="B9" s="17" t="inlineStr">
        <is>
          <t>Revenue</t>
        </is>
      </c>
      <c r="C9" s="59">
        <f>IF($C$5="All",SUMPRODUCT((MONTH(Revenue_Log!A6:A5000)=1)*(Revenue_Log!H6:H5000)),SUMPRODUCT((MONTH(Revenue_Log!A6:A5000)=1)*(Revenue_Log!B6:B5000=$C$5)*(Revenue_Log!H6:H5000)))</f>
        <v/>
      </c>
      <c r="D9" s="59">
        <f>IF($C$5="All",SUMPRODUCT((MONTH(Revenue_Log!A6:A5000)=2)*(Revenue_Log!H6:H5000)),SUMPRODUCT((MONTH(Revenue_Log!A6:A5000)=2)*(Revenue_Log!B6:B5000=$C$5)*(Revenue_Log!H6:H5000)))</f>
        <v/>
      </c>
      <c r="E9" s="59">
        <f>IF($C$5="All",SUMPRODUCT((MONTH(Revenue_Log!A6:A5000)=3)*(Revenue_Log!H6:H5000)),SUMPRODUCT((MONTH(Revenue_Log!A6:A5000)=3)*(Revenue_Log!B6:B5000=$C$5)*(Revenue_Log!H6:H5000)))</f>
        <v/>
      </c>
      <c r="F9" s="59">
        <f>IF($C$5="All",SUMPRODUCT((MONTH(Revenue_Log!A6:A5000)=4)*(Revenue_Log!H6:H5000)),SUMPRODUCT((MONTH(Revenue_Log!A6:A5000)=4)*(Revenue_Log!B6:B5000=$C$5)*(Revenue_Log!H6:H5000)))</f>
        <v/>
      </c>
      <c r="G9" s="59">
        <f>IF($C$5="All",SUMPRODUCT((MONTH(Revenue_Log!A6:A5000)=5)*(Revenue_Log!H6:H5000)),SUMPRODUCT((MONTH(Revenue_Log!A6:A5000)=5)*(Revenue_Log!B6:B5000=$C$5)*(Revenue_Log!H6:H5000)))</f>
        <v/>
      </c>
      <c r="H9" s="59">
        <f>IF($C$5="All",SUMPRODUCT((MONTH(Revenue_Log!A6:A5000)=6)*(Revenue_Log!H6:H5000)),SUMPRODUCT((MONTH(Revenue_Log!A6:A5000)=6)*(Revenue_Log!B6:B5000=$C$5)*(Revenue_Log!H6:H5000)))</f>
        <v/>
      </c>
      <c r="I9" s="59">
        <f>IF($C$5="All",SUMPRODUCT((MONTH(Revenue_Log!A6:A5000)=7)*(Revenue_Log!H6:H5000)),SUMPRODUCT((MONTH(Revenue_Log!A6:A5000)=7)*(Revenue_Log!B6:B5000=$C$5)*(Revenue_Log!H6:H5000)))</f>
        <v/>
      </c>
      <c r="J9" s="59">
        <f>IF($C$5="All",SUMPRODUCT((MONTH(Revenue_Log!A6:A5000)=8)*(Revenue_Log!H6:H5000)),SUMPRODUCT((MONTH(Revenue_Log!A6:A5000)=8)*(Revenue_Log!B6:B5000=$C$5)*(Revenue_Log!H6:H5000)))</f>
        <v/>
      </c>
      <c r="K9" s="59">
        <f>IF($C$5="All",SUMPRODUCT((MONTH(Revenue_Log!A6:A5000)=9)*(Revenue_Log!H6:H5000)),SUMPRODUCT((MONTH(Revenue_Log!A6:A5000)=9)*(Revenue_Log!B6:B5000=$C$5)*(Revenue_Log!H6:H5000)))</f>
        <v/>
      </c>
      <c r="L9" s="59">
        <f>IF($C$5="All",SUMPRODUCT((MONTH(Revenue_Log!A6:A5000)=10)*(Revenue_Log!H6:H5000)),SUMPRODUCT((MONTH(Revenue_Log!A6:A5000)=10)*(Revenue_Log!B6:B5000=$C$5)*(Revenue_Log!H6:H5000)))</f>
        <v/>
      </c>
      <c r="M9" s="59">
        <f>IF($C$5="All",SUMPRODUCT((MONTH(Revenue_Log!A6:A5000)=11)*(Revenue_Log!H6:H5000)),SUMPRODUCT((MONTH(Revenue_Log!A6:A5000)=11)*(Revenue_Log!B6:B5000=$C$5)*(Revenue_Log!H6:H5000)))</f>
        <v/>
      </c>
      <c r="N9" s="59">
        <f>IF($C$5="All",SUMPRODUCT((MONTH(Revenue_Log!A6:A5000)=12)*(Revenue_Log!H6:H5000)),SUMPRODUCT((MONTH(Revenue_Log!A6:A5000)=12)*(Revenue_Log!B6:B5000=$C$5)*(Revenue_Log!H6:H5000)))</f>
        <v/>
      </c>
    </row>
    <row r="10" ht="15" customHeight="1">
      <c r="B10" s="17" t="inlineStr">
        <is>
          <t>Expenses</t>
        </is>
      </c>
      <c r="C10" s="59">
        <f>IF($C$5="All",SUMPRODUCT((MONTH(Expenses_Log!A6:A5000)=1)*(Expenses_Log!G6:G5000)),SUMPRODUCT((MONTH(Expenses_Log!A6:A5000)=1)*(Expenses_Log!B6:B5000=$C$5)*(Expenses_Log!G6:G5000)))+SUMPRODUCT((Staff_Salaries!A6:A5000=Dashboard!$B$1)*(Staff_Salaries!B6:B5000="January")*(Staff_Salaries!E6:E5000))</f>
        <v/>
      </c>
      <c r="D10" s="59">
        <f>IF($C$5="All",SUMPRODUCT((MONTH(Expenses_Log!A6:A5000)=2)*(Expenses_Log!G6:G5000)),SUMPRODUCT((MONTH(Expenses_Log!A6:A5000)=2)*(Expenses_Log!B6:B5000=$C$5)*(Expenses_Log!G6:G5000)))+SUMPRODUCT((Staff_Salaries!A6:A5000=Dashboard!$B$1)*(Staff_Salaries!B6:B5000="February")*(Staff_Salaries!E6:E5000))</f>
        <v/>
      </c>
      <c r="E10" s="59">
        <f>IF($C$5="All",SUMPRODUCT((MONTH(Expenses_Log!A6:A5000)=3)*(Expenses_Log!G6:G5000)),SUMPRODUCT((MONTH(Expenses_Log!A6:A5000)=3)*(Expenses_Log!B6:B5000=$C$5)*(Expenses_Log!G6:G5000)))+SUMPRODUCT((Staff_Salaries!A6:A5000=Dashboard!$B$1)*(Staff_Salaries!B6:B5000="March")*(Staff_Salaries!E6:E5000))</f>
        <v/>
      </c>
      <c r="F10" s="59">
        <f>IF($C$5="All",SUMPRODUCT((MONTH(Expenses_Log!A6:A5000)=4)*(Expenses_Log!G6:G5000)),SUMPRODUCT((MONTH(Expenses_Log!A6:A5000)=4)*(Expenses_Log!B6:B5000=$C$5)*(Expenses_Log!G6:G5000)))+SUMPRODUCT((Staff_Salaries!A6:A5000=Dashboard!$B$1)*(Staff_Salaries!B6:B5000="April")*(Staff_Salaries!E6:E5000))</f>
        <v/>
      </c>
      <c r="G10" s="59">
        <f>IF($C$5="All",SUMPRODUCT((MONTH(Expenses_Log!A6:A5000)=5)*(Expenses_Log!G6:G5000)),SUMPRODUCT((MONTH(Expenses_Log!A6:A5000)=5)*(Expenses_Log!B6:B5000=$C$5)*(Expenses_Log!G6:G5000)))+SUMPRODUCT((Staff_Salaries!A6:A5000=Dashboard!$B$1)*(Staff_Salaries!B6:B5000="May")*(Staff_Salaries!E6:E5000))</f>
        <v/>
      </c>
      <c r="H10" s="59">
        <f>IF($C$5="All",SUMPRODUCT((MONTH(Expenses_Log!A6:A5000)=6)*(Expenses_Log!G6:G5000)),SUMPRODUCT((MONTH(Expenses_Log!A6:A5000)=6)*(Expenses_Log!B6:B5000=$C$5)*(Expenses_Log!G6:G5000)))+SUMPRODUCT((Staff_Salaries!A6:A5000=Dashboard!$B$1)*(Staff_Salaries!B6:B5000="June")*(Staff_Salaries!E6:E5000))</f>
        <v/>
      </c>
      <c r="I10" s="59">
        <f>IF($C$5="All",SUMPRODUCT((MONTH(Expenses_Log!A6:A5000)=7)*(Expenses_Log!G6:G5000)),SUMPRODUCT((MONTH(Expenses_Log!A6:A5000)=7)*(Expenses_Log!B6:B5000=$C$5)*(Expenses_Log!G6:G5000)))+SUMPRODUCT((Staff_Salaries!A6:A5000=Dashboard!$B$1)*(Staff_Salaries!B6:B5000="July")*(Staff_Salaries!E6:E5000))</f>
        <v/>
      </c>
      <c r="J10" s="59">
        <f>IF($C$5="All",SUMPRODUCT((MONTH(Expenses_Log!A6:A5000)=8)*(Expenses_Log!G6:G5000)),SUMPRODUCT((MONTH(Expenses_Log!A6:A5000)=8)*(Expenses_Log!B6:B5000=$C$5)*(Expenses_Log!G6:G5000)))+SUMPRODUCT((Staff_Salaries!A6:A5000=Dashboard!$B$1)*(Staff_Salaries!B6:B5000="August")*(Staff_Salaries!E6:E5000))</f>
        <v/>
      </c>
      <c r="K10" s="59">
        <f>IF($C$5="All",SUMPRODUCT((MONTH(Expenses_Log!A6:A5000)=9)*(Expenses_Log!G6:G5000)),SUMPRODUCT((MONTH(Expenses_Log!A6:A5000)=9)*(Expenses_Log!B6:B5000=$C$5)*(Expenses_Log!G6:G5000)))+SUMPRODUCT((Staff_Salaries!A6:A5000=Dashboard!$B$1)*(Staff_Salaries!B6:B5000="September")*(Staff_Salaries!E6:E5000))</f>
        <v/>
      </c>
      <c r="L10" s="59">
        <f>IF($C$5="All",SUMPRODUCT((MONTH(Expenses_Log!A6:A5000)=10)*(Expenses_Log!G6:G5000)),SUMPRODUCT((MONTH(Expenses_Log!A6:A5000)=10)*(Expenses_Log!B6:B5000=$C$5)*(Expenses_Log!G6:G5000)))+SUMPRODUCT((Staff_Salaries!A6:A5000=Dashboard!$B$1)*(Staff_Salaries!B6:B5000="October")*(Staff_Salaries!E6:E5000))</f>
        <v/>
      </c>
      <c r="M10" s="59">
        <f>IF($C$5="All",SUMPRODUCT((MONTH(Expenses_Log!A6:A5000)=11)*(Expenses_Log!G6:G5000)),SUMPRODUCT((MONTH(Expenses_Log!A6:A5000)=11)*(Expenses_Log!B6:B5000=$C$5)*(Expenses_Log!G6:G5000)))+SUMPRODUCT((Staff_Salaries!A6:A5000=Dashboard!$B$1)*(Staff_Salaries!B6:B5000="November")*(Staff_Salaries!E6:E5000))</f>
        <v/>
      </c>
      <c r="N10" s="59">
        <f>IF($C$5="All",SUMPRODUCT((MONTH(Expenses_Log!A6:A5000)=12)*(Expenses_Log!G6:G5000)),SUMPRODUCT((MONTH(Expenses_Log!A6:A5000)=12)*(Expenses_Log!B6:B5000=$C$5)*(Expenses_Log!G6:G5000)))+SUMPRODUCT((Staff_Salaries!A6:A5000=Dashboard!$B$1)*(Staff_Salaries!B6:B5000="December")*(Staff_Salaries!E6:E5000))</f>
        <v/>
      </c>
    </row>
    <row r="11" ht="15" customHeight="1">
      <c r="B11" s="17" t="inlineStr">
        <is>
          <t>Net Profit</t>
        </is>
      </c>
      <c r="C11" s="59">
        <f>C9-C10</f>
        <v/>
      </c>
      <c r="D11" s="59">
        <f>D9-D10</f>
        <v/>
      </c>
      <c r="E11" s="59">
        <f>E9-E10</f>
        <v/>
      </c>
      <c r="F11" s="59">
        <f>F9-F10</f>
        <v/>
      </c>
      <c r="G11" s="59">
        <f>G9-G10</f>
        <v/>
      </c>
      <c r="H11" s="59">
        <f>H9-H10</f>
        <v/>
      </c>
      <c r="I11" s="59">
        <f>I9-I10</f>
        <v/>
      </c>
      <c r="J11" s="59">
        <f>J9-J10</f>
        <v/>
      </c>
      <c r="K11" s="59">
        <f>K9-K10</f>
        <v/>
      </c>
      <c r="L11" s="59">
        <f>L9-L10</f>
        <v/>
      </c>
      <c r="M11" s="59">
        <f>M9-M10</f>
        <v/>
      </c>
      <c r="N11" s="59">
        <f>N9-N10</f>
        <v/>
      </c>
    </row>
    <row r="12" ht="15" customHeight="1">
      <c r="B12" s="17" t="inlineStr">
        <is>
          <t>Staff Salary</t>
        </is>
      </c>
      <c r="C12" s="59">
        <f>SUMPRODUCT((Staff_Salaries!A6:A5000=Dashboard!$B$1)*(Staff_Salaries!B6:B5000="January")*(Staff_Salaries!E6:E5000))</f>
        <v/>
      </c>
      <c r="D12" s="59">
        <f>SUMPRODUCT((Staff_Salaries!A6:A5000=Dashboard!$B$1)*(Staff_Salaries!B6:B5000="February")*(Staff_Salaries!E6:E5000))</f>
        <v/>
      </c>
      <c r="E12" s="59">
        <f>SUMPRODUCT((Staff_Salaries!A6:A5000=Dashboard!$B$1)*(Staff_Salaries!B6:B5000="March")*(Staff_Salaries!E6:E5000))</f>
        <v/>
      </c>
      <c r="F12" s="59">
        <f>SUMPRODUCT((Staff_Salaries!A6:A5000=Dashboard!$B$1)*(Staff_Salaries!B6:B5000="April")*(Staff_Salaries!E6:E5000))</f>
        <v/>
      </c>
      <c r="G12" s="59">
        <f>SUMPRODUCT((Staff_Salaries!A6:A5000=Dashboard!$B$1)*(Staff_Salaries!B6:B5000="May")*(Staff_Salaries!E6:E5000))</f>
        <v/>
      </c>
      <c r="H12" s="59">
        <f>SUMPRODUCT((Staff_Salaries!A6:A5000=Dashboard!$B$1)*(Staff_Salaries!B6:B5000="June")*(Staff_Salaries!E6:E5000))</f>
        <v/>
      </c>
      <c r="I12" s="59">
        <f>SUMPRODUCT((Staff_Salaries!A6:A5000=Dashboard!$B$1)*(Staff_Salaries!B6:B5000="July")*(Staff_Salaries!E6:E5000))</f>
        <v/>
      </c>
      <c r="J12" s="59">
        <f>SUMPRODUCT((Staff_Salaries!A6:A5000=Dashboard!$B$1)*(Staff_Salaries!B6:B5000="August")*(Staff_Salaries!E6:E5000))</f>
        <v/>
      </c>
      <c r="K12" s="59">
        <f>SUMPRODUCT((Staff_Salaries!A6:A5000=Dashboard!$B$1)*(Staff_Salaries!B6:B5000="September")*(Staff_Salaries!E6:E5000))</f>
        <v/>
      </c>
      <c r="L12" s="59">
        <f>SUMPRODUCT((Staff_Salaries!A6:A5000=Dashboard!$B$1)*(Staff_Salaries!B6:B5000="October")*(Staff_Salaries!E6:E5000))</f>
        <v/>
      </c>
      <c r="M12" s="59">
        <f>SUMPRODUCT((Staff_Salaries!A6:A5000=Dashboard!$B$1)*(Staff_Salaries!B6:B5000="November")*(Staff_Salaries!E6:E5000))</f>
        <v/>
      </c>
      <c r="N12" s="59">
        <f>SUMPRODUCT((Staff_Salaries!A6:A5000=Dashboard!$B$1)*(Staff_Salaries!B6:B5000="December")*(Staff_Salaries!E6:E5000))</f>
        <v/>
      </c>
    </row>
    <row r="13" ht="15" customHeight="1">
      <c r="B13" s="17" t="inlineStr">
        <is>
          <t>Budget Rev</t>
        </is>
      </c>
      <c r="C13" s="59">
        <f>Budget!C15</f>
        <v/>
      </c>
      <c r="D13" s="59">
        <f>Budget!F15</f>
        <v/>
      </c>
      <c r="E13" s="59">
        <f>Budget!I15</f>
        <v/>
      </c>
      <c r="F13" s="59">
        <f>Budget!L15</f>
        <v/>
      </c>
      <c r="G13" s="59">
        <f>Budget!O15</f>
        <v/>
      </c>
      <c r="H13" s="59">
        <f>Budget!R15</f>
        <v/>
      </c>
      <c r="I13" s="59">
        <f>Budget!U15</f>
        <v/>
      </c>
      <c r="J13" s="59">
        <f>Budget!X15</f>
        <v/>
      </c>
      <c r="K13" s="59">
        <f>Budget!AA15</f>
        <v/>
      </c>
      <c r="L13" s="59">
        <f>Budget!AD15</f>
        <v/>
      </c>
      <c r="M13" s="59">
        <f>Budget!AG15</f>
        <v/>
      </c>
      <c r="N13" s="59">
        <f>Budget!AJ15</f>
        <v/>
      </c>
    </row>
    <row r="14" ht="15" customHeight="1">
      <c r="B14" s="17" t="inlineStr">
        <is>
          <t>Budget Exp</t>
        </is>
      </c>
      <c r="C14" s="59">
        <f>Budget!C28</f>
        <v/>
      </c>
      <c r="D14" s="59">
        <f>Budget!F28</f>
        <v/>
      </c>
      <c r="E14" s="59">
        <f>Budget!I28</f>
        <v/>
      </c>
      <c r="F14" s="59">
        <f>Budget!L28</f>
        <v/>
      </c>
      <c r="G14" s="59">
        <f>Budget!O28</f>
        <v/>
      </c>
      <c r="H14" s="59">
        <f>Budget!R28</f>
        <v/>
      </c>
      <c r="I14" s="59">
        <f>Budget!U28</f>
        <v/>
      </c>
      <c r="J14" s="59">
        <f>Budget!X28</f>
        <v/>
      </c>
      <c r="K14" s="59">
        <f>Budget!AA28</f>
        <v/>
      </c>
      <c r="L14" s="59">
        <f>Budget!AD28</f>
        <v/>
      </c>
      <c r="M14" s="59">
        <f>Budget!AG28</f>
        <v/>
      </c>
      <c r="N14" s="59">
        <f>Budget!AJ28</f>
        <v/>
      </c>
    </row>
    <row r="15"/>
    <row r="16"/>
    <row r="17" ht="15" customHeight="1">
      <c r="B17" s="32" t="inlineStr">
        <is>
          <t>REVENUE BY LOCATION</t>
        </is>
      </c>
    </row>
    <row r="18" ht="15" customHeight="1">
      <c r="B18">
        <f>IF(Dropdown_Lists!$A$4&lt;&gt;"",Dropdown_Lists!$A$4,"")</f>
        <v/>
      </c>
      <c r="C18" s="59">
        <f>IF(B18="","",SUMIF(Revenue_Log!B6:B5000,B18,Revenue_Log!H6:H5000))</f>
        <v/>
      </c>
    </row>
    <row r="19" ht="15" customHeight="1">
      <c r="B19">
        <f>IF(Dropdown_Lists!$A$5&lt;&gt;"",Dropdown_Lists!$A$5,"")</f>
        <v/>
      </c>
      <c r="C19" s="59">
        <f>IF(B19="","",SUMIF(Revenue_Log!B6:B5000,B19,Revenue_Log!H6:H5000))</f>
        <v/>
      </c>
    </row>
    <row r="20">
      <c r="B20" t="inlineStr">
        <is>
          <t>TOTAL</t>
        </is>
      </c>
      <c r="C20">
        <f>SUMPRODUCT((YEAR(Revenue_Log!A6:A5000)=Dashboard!$B$1)*(Revenue_Log!H6:H5000))</f>
        <v/>
      </c>
    </row>
    <row r="21"/>
    <row r="22" ht="15" customHeight="1">
      <c r="B22" s="32" t="inlineStr">
        <is>
          <t>Expenses by Category</t>
        </is>
      </c>
    </row>
    <row r="23" ht="15" customHeight="1">
      <c r="B23" s="40" t="inlineStr">
        <is>
          <t>Salaries</t>
        </is>
      </c>
      <c r="C23" s="59">
        <f>Staff_Salaries!E4</f>
        <v/>
      </c>
    </row>
    <row r="24" ht="15" customHeight="1">
      <c r="B24" s="40" t="inlineStr">
        <is>
          <t>Construction</t>
        </is>
      </c>
      <c r="C24" s="59">
        <f>IF($C$5="All",SUMIF(Expenses_Log!C6:C5000,"Construction",Expenses_Log!G6:G5000),SUMPRODUCT((Expenses_Log!C6:C5000="Construction")*(Expenses_Log!B6:B5000=$C$5)*(Expenses_Log!G6:G5000)))</f>
        <v/>
      </c>
    </row>
    <row r="25" ht="15" customHeight="1">
      <c r="B25" s="40" t="inlineStr">
        <is>
          <t>Maintenance</t>
        </is>
      </c>
      <c r="C25" s="59">
        <f>IF($C$5="All",SUMIF(Expenses_Log!C6:C5000,"Maintenance",Expenses_Log!G6:G5000),SUMPRODUCT((Expenses_Log!C6:C5000="Maintenance")*(Expenses_Log!B6:B5000=$C$5)*(Expenses_Log!G6:G5000)))</f>
        <v/>
      </c>
    </row>
    <row r="26" ht="15" customHeight="1">
      <c r="B26" s="40" t="inlineStr">
        <is>
          <t>Utilities</t>
        </is>
      </c>
      <c r="C26" s="59">
        <f>IF($C$5="All",SUMIF(Expenses_Log!C6:C5000,"Utilities",Expenses_Log!G6:G5000),SUMPRODUCT((Expenses_Log!C6:C5000="Utilities")*(Expenses_Log!B6:B5000=$C$5)*(Expenses_Log!G6:G5000)))</f>
        <v/>
      </c>
    </row>
    <row r="27" ht="15" customHeight="1">
      <c r="B27" s="40" t="inlineStr">
        <is>
          <t>Inventory</t>
        </is>
      </c>
      <c r="C27" s="59">
        <f>IF($C$5="All",SUMIF(Expenses_Log!C6:C5000,"Inventory",Expenses_Log!G6:G5000),SUMPRODUCT((Expenses_Log!C6:C5000="Inventory")*(Expenses_Log!B6:B5000=$C$5)*(Expenses_Log!G6:G5000)))</f>
        <v/>
      </c>
    </row>
    <row r="28" ht="15" customHeight="1">
      <c r="B28" s="40" t="inlineStr">
        <is>
          <t>Administrative</t>
        </is>
      </c>
      <c r="C28" s="59">
        <f>IF($C$5="All",SUMIF(Expenses_Log!C6:C5000,"Administrative",Expenses_Log!G6:G5000),SUMPRODUCT((Expenses_Log!C6:C5000="Administrative")*(Expenses_Log!B6:B5000=$C$5)*(Expenses_Log!G6:G5000)))</f>
        <v/>
      </c>
    </row>
    <row r="29" ht="15" customHeight="1">
      <c r="B29" s="40" t="inlineStr">
        <is>
          <t>Loans &amp; Advances</t>
        </is>
      </c>
      <c r="C29" s="59">
        <f>IF($C$5="All",SUMIF(Expenses_Log!C6:C5000,"Loans &amp; Advances",Expenses_Log!G6:G5000),SUMPRODUCT((Expenses_Log!C6:C5000="Loans &amp; Advances")*(Expenses_Log!B6:B5000=$C$5)*(Expenses_Log!G6:G5000)))</f>
        <v/>
      </c>
    </row>
    <row r="30" ht="15" customHeight="1">
      <c r="B30" s="40" t="inlineStr">
        <is>
          <t>Transportation</t>
        </is>
      </c>
      <c r="C30" s="59">
        <f>IF($C$5="All",SUMIF(Expenses_Log!C6:C5000,"Transportation",Expenses_Log!G6:G5000),SUMPRODUCT((Expenses_Log!C6:C5000="Transportation")*(Expenses_Log!B6:B5000=$C$5)*(Expenses_Log!G6:G5000)))</f>
        <v/>
      </c>
    </row>
    <row r="31" ht="15" customHeight="1">
      <c r="B31" s="40" t="inlineStr">
        <is>
          <t>IT &amp; Communications</t>
        </is>
      </c>
      <c r="C31" s="59">
        <f>IF($C$5="All",SUMIF(Expenses_Log!C6:C5000,"IT &amp; Communications",Expenses_Log!G6:G5000),SUMPRODUCT((Expenses_Log!C6:C5000="IT &amp; Communications")*(Expenses_Log!B6:B5000=$C$5)*(Expenses_Log!G6:G5000)))</f>
        <v/>
      </c>
    </row>
    <row r="32" ht="15" customHeight="1">
      <c r="B32" s="40" t="inlineStr">
        <is>
          <t>Other</t>
        </is>
      </c>
      <c r="C32" s="59">
        <f>IF($C$5="All",SUMIF(Expenses_Log!C6:C5000,"Other",Expenses_Log!G6:G5000),SUMPRODUCT((Expenses_Log!C6:C5000="Other")*(Expenses_Log!B6:B5000=$C$5)*(Expenses_Log!G6:G5000)))</f>
        <v/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2:J5000"/>
  <sheetViews>
    <sheetView showGridLines="0" tabSelected="1" zoomScaleNormal="100" workbookViewId="0">
      <pane ySplit="5" topLeftCell="A6" activePane="bottomLeft" state="frozen"/>
      <selection pane="bottomLeft" activeCell="A36" sqref="A36:I176"/>
    </sheetView>
  </sheetViews>
  <sheetFormatPr baseColWidth="10" defaultColWidth="8.6640625" defaultRowHeight="15"/>
  <cols>
    <col width="13" customWidth="1" min="1" max="1"/>
    <col width="12" customWidth="1" min="2" max="2"/>
    <col width="10" customWidth="1" min="3" max="4"/>
    <col width="20" customWidth="1" min="5" max="5"/>
    <col width="28" customWidth="1" min="6" max="6"/>
    <col width="14" customWidth="1" min="7" max="9"/>
  </cols>
  <sheetData>
    <row r="2" ht="18" customHeight="1">
      <c r="B2" s="16" t="inlineStr">
        <is>
          <t>General Ledger</t>
        </is>
      </c>
    </row>
    <row r="3" ht="15" customHeight="1">
      <c r="B3" s="12" t="inlineStr">
        <is>
          <t>Double-entry records</t>
        </is>
      </c>
    </row>
    <row r="5" ht="23.25" customHeight="1">
      <c r="A5" s="19" t="inlineStr">
        <is>
          <t>Date</t>
        </is>
      </c>
      <c r="B5" s="19" t="inlineStr">
        <is>
          <t>Location</t>
        </is>
      </c>
      <c r="C5" s="19" t="inlineStr">
        <is>
          <t>Txn Ref</t>
        </is>
      </c>
      <c r="D5" s="19" t="inlineStr">
        <is>
          <t>Acct Code</t>
        </is>
      </c>
      <c r="E5" s="19" t="inlineStr">
        <is>
          <t>Account Name</t>
        </is>
      </c>
      <c r="F5" s="19" t="inlineStr">
        <is>
          <t>Description</t>
        </is>
      </c>
      <c r="G5" s="19" t="inlineStr">
        <is>
          <t>Debit</t>
        </is>
      </c>
      <c r="H5" s="19" t="inlineStr">
        <is>
          <t>Credit</t>
        </is>
      </c>
      <c r="I5" s="19" t="inlineStr">
        <is>
          <t>Balance</t>
        </is>
      </c>
      <c r="J5" t="inlineStr">
        <is>
          <t>Bank Ref / Notes</t>
        </is>
      </c>
    </row>
    <row r="6" ht="15" customHeight="1">
      <c r="A6" s="90" t="n">
        <v>45299</v>
      </c>
      <c r="B6" s="65" t="inlineStr">
        <is>
          <t>Agbowo</t>
        </is>
      </c>
      <c r="C6" s="65" t="inlineStr">
        <is>
          <t>R0001</t>
        </is>
      </c>
      <c r="D6" s="65" t="inlineStr">
        <is>
          <t>1010</t>
        </is>
      </c>
      <c r="E6" s="65" t="inlineStr">
        <is>
          <t>Bank Account</t>
        </is>
      </c>
      <c r="F6" s="65" t="inlineStr">
        <is>
          <t>Received: Booking - Anooore 1</t>
        </is>
      </c>
      <c r="G6" s="66" t="n">
        <v>196558</v>
      </c>
      <c r="H6" s="66" t="n">
        <v>0</v>
      </c>
      <c r="I6" s="66">
        <f>IFERROR(SUMIF(A$6:A6,"&lt;&gt;""",G$6:G6)-SUMIF(A$6:A6,"&lt;&gt;""",H$6:H6),"")</f>
        <v/>
      </c>
      <c r="J6" s="26" t="n"/>
    </row>
    <row r="7" ht="15" customHeight="1">
      <c r="A7" s="90" t="n">
        <v>45299</v>
      </c>
      <c r="B7" s="65" t="inlineStr">
        <is>
          <t>Agbowo</t>
        </is>
      </c>
      <c r="C7" s="65" t="inlineStr">
        <is>
          <t>R0001</t>
        </is>
      </c>
      <c r="D7" s="65" t="inlineStr">
        <is>
          <t>4000</t>
        </is>
      </c>
      <c r="E7" s="65" t="inlineStr">
        <is>
          <t>Room Revenue</t>
        </is>
      </c>
      <c r="F7" s="65" t="inlineStr">
        <is>
          <t>Booking - Anooore 1</t>
        </is>
      </c>
      <c r="G7" s="66" t="n">
        <v>0</v>
      </c>
      <c r="H7" s="66" t="n">
        <v>196558</v>
      </c>
      <c r="I7" s="66">
        <f>IFERROR(SUMIF(A$6:A7,"&lt;&gt;""",G$6:G7)-SUMIF(A$6:A7,"&lt;&gt;""",H$6:H7),"")</f>
        <v/>
      </c>
      <c r="J7" s="26" t="n"/>
    </row>
    <row r="8" ht="15" customHeight="1">
      <c r="A8" s="90" t="n">
        <v>45299</v>
      </c>
      <c r="B8" s="65" t="inlineStr">
        <is>
          <t>Agbowo</t>
        </is>
      </c>
      <c r="C8" s="65" t="inlineStr">
        <is>
          <t>R0002</t>
        </is>
      </c>
      <c r="D8" s="65" t="inlineStr">
        <is>
          <t>1010</t>
        </is>
      </c>
      <c r="E8" s="65" t="inlineStr">
        <is>
          <t>Bank Account</t>
        </is>
      </c>
      <c r="F8" s="65" t="inlineStr">
        <is>
          <t>Received: TV rental</t>
        </is>
      </c>
      <c r="G8" s="66" t="n">
        <v>10000</v>
      </c>
      <c r="H8" s="66" t="n">
        <v>0</v>
      </c>
      <c r="I8" s="66">
        <f>IFERROR(SUMIF(A$6:A8,"&lt;&gt;""",G$6:G8)-SUMIF(A$6:A8,"&lt;&gt;""",H$6:H8),"")</f>
        <v/>
      </c>
      <c r="J8" s="26" t="n"/>
    </row>
    <row r="9" ht="15" customHeight="1">
      <c r="A9" s="90" t="n">
        <v>45299</v>
      </c>
      <c r="B9" s="65" t="inlineStr">
        <is>
          <t>Agbowo</t>
        </is>
      </c>
      <c r="C9" s="65" t="inlineStr">
        <is>
          <t>R0002</t>
        </is>
      </c>
      <c r="D9" s="65" t="inlineStr">
        <is>
          <t>4030</t>
        </is>
      </c>
      <c r="E9" s="65" t="inlineStr">
        <is>
          <t>Extra Charges</t>
        </is>
      </c>
      <c r="F9" s="65" t="inlineStr">
        <is>
          <t>TV rental</t>
        </is>
      </c>
      <c r="G9" s="66" t="n">
        <v>0</v>
      </c>
      <c r="H9" s="66" t="n">
        <v>10000</v>
      </c>
      <c r="I9" s="66">
        <f>IFERROR(SUMIF(A$6:A9,"&lt;&gt;""",G$6:G9)-SUMIF(A$6:A9,"&lt;&gt;""",H$6:H9),"")</f>
        <v/>
      </c>
      <c r="J9" s="26" t="n"/>
    </row>
    <row r="10" ht="15" customHeight="1">
      <c r="A10" s="90" t="n">
        <v>45308</v>
      </c>
      <c r="B10" s="65" t="inlineStr">
        <is>
          <t>Agbowo</t>
        </is>
      </c>
      <c r="C10" s="65" t="inlineStr">
        <is>
          <t>R0003</t>
        </is>
      </c>
      <c r="D10" s="65" t="inlineStr">
        <is>
          <t>1010</t>
        </is>
      </c>
      <c r="E10" s="65" t="inlineStr">
        <is>
          <t>Bank Account</t>
        </is>
      </c>
      <c r="F10" s="65" t="inlineStr">
        <is>
          <t>Received: Booking - Vine 1</t>
        </is>
      </c>
      <c r="G10" s="66" t="n">
        <v>176948</v>
      </c>
      <c r="H10" s="66" t="n">
        <v>0</v>
      </c>
      <c r="I10" s="66">
        <f>IFERROR(SUMIF(A$6:A10,"&lt;&gt;""",G$6:G10)-SUMIF(A$6:A10,"&lt;&gt;""",H$6:H10),"")</f>
        <v/>
      </c>
      <c r="J10" s="26" t="n"/>
    </row>
    <row r="11" ht="15" customHeight="1">
      <c r="A11" s="90" t="n">
        <v>45308</v>
      </c>
      <c r="B11" s="65" t="inlineStr">
        <is>
          <t>Agbowo</t>
        </is>
      </c>
      <c r="C11" s="65" t="inlineStr">
        <is>
          <t>R0003</t>
        </is>
      </c>
      <c r="D11" s="65" t="inlineStr">
        <is>
          <t>4000</t>
        </is>
      </c>
      <c r="E11" s="65" t="inlineStr">
        <is>
          <t>Room Revenue</t>
        </is>
      </c>
      <c r="F11" s="65" t="inlineStr">
        <is>
          <t>Booking - Vine 1</t>
        </is>
      </c>
      <c r="G11" s="66" t="n">
        <v>0</v>
      </c>
      <c r="H11" s="66" t="n">
        <v>176948</v>
      </c>
      <c r="I11" s="66">
        <f>IFERROR(SUMIF(A$6:A11,"&lt;&gt;""",G$6:G11)-SUMIF(A$6:A11,"&lt;&gt;""",H$6:H11),"")</f>
        <v/>
      </c>
      <c r="J11" s="26" t="n"/>
    </row>
    <row r="12" ht="15" customHeight="1">
      <c r="A12" s="90" t="n">
        <v>45310</v>
      </c>
      <c r="B12" s="65" t="inlineStr">
        <is>
          <t>Agbowo</t>
        </is>
      </c>
      <c r="C12" s="65" t="inlineStr">
        <is>
          <t>R0004</t>
        </is>
      </c>
      <c r="D12" s="65" t="inlineStr">
        <is>
          <t>1010</t>
        </is>
      </c>
      <c r="E12" s="65" t="inlineStr">
        <is>
          <t>Bank Account</t>
        </is>
      </c>
      <c r="F12" s="65" t="inlineStr">
        <is>
          <t>Received: Booking - Vine 2</t>
        </is>
      </c>
      <c r="G12" s="66" t="n">
        <v>354033</v>
      </c>
      <c r="H12" s="66" t="n">
        <v>0</v>
      </c>
      <c r="I12" s="66">
        <f>IFERROR(SUMIF(A$6:A12,"&lt;&gt;""",G$6:G12)-SUMIF(A$6:A12,"&lt;&gt;""",H$6:H12),"")</f>
        <v/>
      </c>
      <c r="J12" s="26" t="n"/>
    </row>
    <row r="13" ht="15" customHeight="1">
      <c r="A13" s="90" t="n">
        <v>45310</v>
      </c>
      <c r="B13" s="65" t="inlineStr">
        <is>
          <t>Agbowo</t>
        </is>
      </c>
      <c r="C13" s="65" t="inlineStr">
        <is>
          <t>R0004</t>
        </is>
      </c>
      <c r="D13" s="65" t="inlineStr">
        <is>
          <t>4000</t>
        </is>
      </c>
      <c r="E13" s="65" t="inlineStr">
        <is>
          <t>Room Revenue</t>
        </is>
      </c>
      <c r="F13" s="65" t="inlineStr">
        <is>
          <t>Booking - Vine 2</t>
        </is>
      </c>
      <c r="G13" s="66" t="n">
        <v>0</v>
      </c>
      <c r="H13" s="66" t="n">
        <v>354033</v>
      </c>
      <c r="I13" s="66">
        <f>IFERROR(SUMIF(A$6:A13,"&lt;&gt;""",G$6:G13)-SUMIF(A$6:A13,"&lt;&gt;""",H$6:H13),"")</f>
        <v/>
      </c>
      <c r="J13" s="26" t="n"/>
    </row>
    <row r="14" ht="15" customHeight="1">
      <c r="A14" s="90" t="n">
        <v>45310</v>
      </c>
      <c r="B14" s="65" t="inlineStr">
        <is>
          <t>Agbowo</t>
        </is>
      </c>
      <c r="C14" s="65" t="inlineStr">
        <is>
          <t>R0005</t>
        </is>
      </c>
      <c r="D14" s="65" t="inlineStr">
        <is>
          <t>1010</t>
        </is>
      </c>
      <c r="E14" s="65" t="inlineStr">
        <is>
          <t>Bank Account</t>
        </is>
      </c>
      <c r="F14" s="65" t="inlineStr">
        <is>
          <t>Received: Registration form fee</t>
        </is>
      </c>
      <c r="G14" s="66" t="n">
        <v>5000</v>
      </c>
      <c r="H14" s="66" t="n">
        <v>0</v>
      </c>
      <c r="I14" s="66">
        <f>IFERROR(SUMIF(A$6:A14,"&lt;&gt;""",G$6:G14)-SUMIF(A$6:A14,"&lt;&gt;""",H$6:H14),"")</f>
        <v/>
      </c>
      <c r="J14" s="26" t="n"/>
    </row>
    <row r="15" ht="15" customHeight="1">
      <c r="A15" s="90" t="n">
        <v>45310</v>
      </c>
      <c r="B15" s="65" t="inlineStr">
        <is>
          <t>Agbowo</t>
        </is>
      </c>
      <c r="C15" s="65" t="inlineStr">
        <is>
          <t>R0005</t>
        </is>
      </c>
      <c r="D15" s="65" t="inlineStr">
        <is>
          <t>4040</t>
        </is>
      </c>
      <c r="E15" s="65" t="inlineStr">
        <is>
          <t>Form &amp; Legal Fees</t>
        </is>
      </c>
      <c r="F15" s="65" t="inlineStr">
        <is>
          <t>Registration form fee</t>
        </is>
      </c>
      <c r="G15" s="66" t="n">
        <v>0</v>
      </c>
      <c r="H15" s="66" t="n">
        <v>5000</v>
      </c>
      <c r="I15" s="66">
        <f>IFERROR(SUMIF(A$6:A15,"&lt;&gt;""",G$6:G15)-SUMIF(A$6:A15,"&lt;&gt;""",H$6:H15),"")</f>
        <v/>
      </c>
      <c r="J15" s="26" t="n"/>
    </row>
    <row r="16" ht="15" customHeight="1">
      <c r="A16" s="90" t="n">
        <v>45298</v>
      </c>
      <c r="B16" s="65" t="inlineStr">
        <is>
          <t>Agbowo</t>
        </is>
      </c>
      <c r="C16" s="65" t="inlineStr">
        <is>
          <t>R0006</t>
        </is>
      </c>
      <c r="D16" s="65" t="inlineStr">
        <is>
          <t>1010</t>
        </is>
      </c>
      <c r="E16" s="65" t="inlineStr">
        <is>
          <t>Bank Account</t>
        </is>
      </c>
      <c r="F16" s="65" t="inlineStr">
        <is>
          <t>Received: Booking - Provision Shop</t>
        </is>
      </c>
      <c r="G16" s="66" t="n">
        <v>298616</v>
      </c>
      <c r="H16" s="66" t="n">
        <v>0</v>
      </c>
      <c r="I16" s="66">
        <f>IFERROR(SUMIF(A$6:A16,"&lt;&gt;""",G$6:G16)-SUMIF(A$6:A16,"&lt;&gt;""",H$6:H16),"")</f>
        <v/>
      </c>
      <c r="J16" s="26" t="n"/>
    </row>
    <row r="17" ht="15" customHeight="1">
      <c r="A17" s="90" t="n">
        <v>45298</v>
      </c>
      <c r="B17" s="65" t="inlineStr">
        <is>
          <t>Agbowo</t>
        </is>
      </c>
      <c r="C17" s="65" t="inlineStr">
        <is>
          <t>R0006</t>
        </is>
      </c>
      <c r="D17" s="65" t="inlineStr">
        <is>
          <t>4000</t>
        </is>
      </c>
      <c r="E17" s="65" t="inlineStr">
        <is>
          <t>Room Revenue</t>
        </is>
      </c>
      <c r="F17" s="65" t="inlineStr">
        <is>
          <t>Booking - Provision Shop</t>
        </is>
      </c>
      <c r="G17" s="66" t="n">
        <v>0</v>
      </c>
      <c r="H17" s="66" t="n">
        <v>298616</v>
      </c>
      <c r="I17" s="66">
        <f>IFERROR(SUMIF(A$6:A17,"&lt;&gt;""",G$6:G17)-SUMIF(A$6:A17,"&lt;&gt;""",H$6:H17),"")</f>
        <v/>
      </c>
      <c r="J17" s="26" t="n"/>
    </row>
    <row r="18" ht="15" customHeight="1">
      <c r="A18" s="90" t="n">
        <v>45298</v>
      </c>
      <c r="B18" s="65" t="inlineStr">
        <is>
          <t>Agbowo</t>
        </is>
      </c>
      <c r="C18" s="65" t="inlineStr">
        <is>
          <t>R0007</t>
        </is>
      </c>
      <c r="D18" s="65" t="inlineStr">
        <is>
          <t>1010</t>
        </is>
      </c>
      <c r="E18" s="65" t="inlineStr">
        <is>
          <t>Bank Account</t>
        </is>
      </c>
      <c r="F18" s="65" t="inlineStr">
        <is>
          <t>Received: TV rental</t>
        </is>
      </c>
      <c r="G18" s="66" t="n">
        <v>25000</v>
      </c>
      <c r="H18" s="66" t="n">
        <v>0</v>
      </c>
      <c r="I18" s="66">
        <f>IFERROR(SUMIF(A$6:A18,"&lt;&gt;""",G$6:G18)-SUMIF(A$6:A18,"&lt;&gt;""",H$6:H18),"")</f>
        <v/>
      </c>
      <c r="J18" s="26" t="n"/>
    </row>
    <row r="19" ht="15" customHeight="1">
      <c r="A19" s="90" t="n">
        <v>45298</v>
      </c>
      <c r="B19" s="65" t="inlineStr">
        <is>
          <t>Agbowo</t>
        </is>
      </c>
      <c r="C19" s="65" t="inlineStr">
        <is>
          <t>R0007</t>
        </is>
      </c>
      <c r="D19" s="65" t="inlineStr">
        <is>
          <t>4030</t>
        </is>
      </c>
      <c r="E19" s="65" t="inlineStr">
        <is>
          <t>Extra Charges</t>
        </is>
      </c>
      <c r="F19" s="65" t="inlineStr">
        <is>
          <t>TV rental</t>
        </is>
      </c>
      <c r="G19" s="66" t="n">
        <v>0</v>
      </c>
      <c r="H19" s="66" t="n">
        <v>25000</v>
      </c>
      <c r="I19" s="66">
        <f>IFERROR(SUMIF(A$6:A19,"&lt;&gt;""",G$6:G19)-SUMIF(A$6:A19,"&lt;&gt;""",H$6:H19),"")</f>
        <v/>
      </c>
      <c r="J19" s="26" t="n"/>
    </row>
    <row r="20" ht="15" customHeight="1">
      <c r="A20" s="90" t="n">
        <v>45315</v>
      </c>
      <c r="B20" s="65" t="inlineStr">
        <is>
          <t>Agbowo</t>
        </is>
      </c>
      <c r="C20" s="65" t="inlineStr">
        <is>
          <t>R0008</t>
        </is>
      </c>
      <c r="D20" s="65" t="inlineStr">
        <is>
          <t>1010</t>
        </is>
      </c>
      <c r="E20" s="65" t="inlineStr">
        <is>
          <t>Bank Account</t>
        </is>
      </c>
      <c r="F20" s="65" t="inlineStr">
        <is>
          <t>Received: Booking - Salon</t>
        </is>
      </c>
      <c r="G20" s="66" t="n">
        <v>331695</v>
      </c>
      <c r="H20" s="66" t="n">
        <v>0</v>
      </c>
      <c r="I20" s="66">
        <f>IFERROR(SUMIF(A$6:A20,"&lt;&gt;""",G$6:G20)-SUMIF(A$6:A20,"&lt;&gt;""",H$6:H20),"")</f>
        <v/>
      </c>
      <c r="J20" s="26" t="n"/>
    </row>
    <row r="21" ht="15" customHeight="1">
      <c r="A21" s="90" t="n">
        <v>45315</v>
      </c>
      <c r="B21" s="65" t="inlineStr">
        <is>
          <t>Agbowo</t>
        </is>
      </c>
      <c r="C21" s="65" t="inlineStr">
        <is>
          <t>R0008</t>
        </is>
      </c>
      <c r="D21" s="65" t="inlineStr">
        <is>
          <t>4000</t>
        </is>
      </c>
      <c r="E21" s="65" t="inlineStr">
        <is>
          <t>Room Revenue</t>
        </is>
      </c>
      <c r="F21" s="65" t="inlineStr">
        <is>
          <t>Booking - Salon</t>
        </is>
      </c>
      <c r="G21" s="66" t="n">
        <v>0</v>
      </c>
      <c r="H21" s="66" t="n">
        <v>331695</v>
      </c>
      <c r="I21" s="66">
        <f>IFERROR(SUMIF(A$6:A21,"&lt;&gt;""",G$6:G21)-SUMIF(A$6:A21,"&lt;&gt;""",H$6:H21),"")</f>
        <v/>
      </c>
      <c r="J21" s="26" t="n"/>
    </row>
    <row r="22" ht="15" customHeight="1">
      <c r="A22" s="90" t="n">
        <v>45312</v>
      </c>
      <c r="B22" s="65" t="inlineStr">
        <is>
          <t>UI</t>
        </is>
      </c>
      <c r="C22" s="65" t="inlineStr">
        <is>
          <t>R0009</t>
        </is>
      </c>
      <c r="D22" s="65" t="inlineStr">
        <is>
          <t>1010</t>
        </is>
      </c>
      <c r="E22" s="65" t="inlineStr">
        <is>
          <t>Bank Account</t>
        </is>
      </c>
      <c r="F22" s="65" t="inlineStr">
        <is>
          <t>Received: Booking - Anooore 2</t>
        </is>
      </c>
      <c r="G22" s="66" t="n">
        <v>479317</v>
      </c>
      <c r="H22" s="66" t="n">
        <v>0</v>
      </c>
      <c r="I22" s="66">
        <f>IFERROR(SUMIF(A$6:A22,"&lt;&gt;""",G$6:G22)-SUMIF(A$6:A22,"&lt;&gt;""",H$6:H22),"")</f>
        <v/>
      </c>
      <c r="J22" s="26" t="n"/>
    </row>
    <row r="23" ht="15" customHeight="1">
      <c r="A23" s="90" t="n">
        <v>45312</v>
      </c>
      <c r="B23" s="65" t="inlineStr">
        <is>
          <t>UI</t>
        </is>
      </c>
      <c r="C23" s="65" t="inlineStr">
        <is>
          <t>R0009</t>
        </is>
      </c>
      <c r="D23" s="65" t="inlineStr">
        <is>
          <t>4000</t>
        </is>
      </c>
      <c r="E23" s="65" t="inlineStr">
        <is>
          <t>Room Revenue</t>
        </is>
      </c>
      <c r="F23" s="65" t="inlineStr">
        <is>
          <t>Booking - Anooore 2</t>
        </is>
      </c>
      <c r="G23" s="66" t="n">
        <v>0</v>
      </c>
      <c r="H23" s="66" t="n">
        <v>479317</v>
      </c>
      <c r="I23" s="66">
        <f>IFERROR(SUMIF(A$6:A23,"&lt;&gt;""",G$6:G23)-SUMIF(A$6:A23,"&lt;&gt;""",H$6:H23),"")</f>
        <v/>
      </c>
      <c r="J23" s="26" t="n"/>
    </row>
    <row r="24" ht="15" customHeight="1">
      <c r="A24" s="90" t="n">
        <v>45294</v>
      </c>
      <c r="B24" s="65" t="inlineStr">
        <is>
          <t>UI</t>
        </is>
      </c>
      <c r="C24" s="65" t="inlineStr">
        <is>
          <t>R0010</t>
        </is>
      </c>
      <c r="D24" s="65" t="inlineStr">
        <is>
          <t>1010</t>
        </is>
      </c>
      <c r="E24" s="65" t="inlineStr">
        <is>
          <t>Bank Account</t>
        </is>
      </c>
      <c r="F24" s="65" t="inlineStr">
        <is>
          <t>Received: Booking - Scholar</t>
        </is>
      </c>
      <c r="G24" s="66" t="n">
        <v>263653</v>
      </c>
      <c r="H24" s="66" t="n">
        <v>0</v>
      </c>
      <c r="I24" s="66">
        <f>IFERROR(SUMIF(A$6:A24,"&lt;&gt;""",G$6:G24)-SUMIF(A$6:A24,"&lt;&gt;""",H$6:H24),"")</f>
        <v/>
      </c>
      <c r="J24" s="26" t="n"/>
    </row>
    <row r="25" ht="15" customHeight="1">
      <c r="A25" s="90" t="n">
        <v>45294</v>
      </c>
      <c r="B25" s="65" t="inlineStr">
        <is>
          <t>UI</t>
        </is>
      </c>
      <c r="C25" s="65" t="inlineStr">
        <is>
          <t>R0010</t>
        </is>
      </c>
      <c r="D25" s="65" t="inlineStr">
        <is>
          <t>4000</t>
        </is>
      </c>
      <c r="E25" s="65" t="inlineStr">
        <is>
          <t>Room Revenue</t>
        </is>
      </c>
      <c r="F25" s="65" t="inlineStr">
        <is>
          <t>Booking - Scholar</t>
        </is>
      </c>
      <c r="G25" s="66" t="n">
        <v>0</v>
      </c>
      <c r="H25" s="66" t="n">
        <v>263653</v>
      </c>
      <c r="I25" s="66">
        <f>IFERROR(SUMIF(A$6:A25,"&lt;&gt;""",G$6:G25)-SUMIF(A$6:A25,"&lt;&gt;""",H$6:H25),"")</f>
        <v/>
      </c>
      <c r="J25" s="26" t="n"/>
    </row>
    <row r="26" ht="15" customHeight="1">
      <c r="A26" s="90" t="n">
        <v>45303</v>
      </c>
      <c r="B26" s="65" t="inlineStr">
        <is>
          <t>UI</t>
        </is>
      </c>
      <c r="C26" s="65" t="inlineStr">
        <is>
          <t>R0011</t>
        </is>
      </c>
      <c r="D26" s="65" t="inlineStr">
        <is>
          <t>1010</t>
        </is>
      </c>
      <c r="E26" s="65" t="inlineStr">
        <is>
          <t>Bank Account</t>
        </is>
      </c>
      <c r="F26" s="65" t="inlineStr">
        <is>
          <t>Received: Booking - Scholar 2</t>
        </is>
      </c>
      <c r="G26" s="66" t="n">
        <v>291415</v>
      </c>
      <c r="H26" s="66" t="n">
        <v>0</v>
      </c>
      <c r="I26" s="66">
        <f>IFERROR(SUMIF(A$6:A26,"&lt;&gt;""",G$6:G26)-SUMIF(A$6:A26,"&lt;&gt;""",H$6:H26),"")</f>
        <v/>
      </c>
      <c r="J26" s="26" t="n"/>
    </row>
    <row r="27" ht="15" customHeight="1">
      <c r="A27" s="90" t="n">
        <v>45303</v>
      </c>
      <c r="B27" s="65" t="inlineStr">
        <is>
          <t>UI</t>
        </is>
      </c>
      <c r="C27" s="65" t="inlineStr">
        <is>
          <t>R0011</t>
        </is>
      </c>
      <c r="D27" s="65" t="inlineStr">
        <is>
          <t>4000</t>
        </is>
      </c>
      <c r="E27" s="65" t="inlineStr">
        <is>
          <t>Room Revenue</t>
        </is>
      </c>
      <c r="F27" s="65" t="inlineStr">
        <is>
          <t>Booking - Scholar 2</t>
        </is>
      </c>
      <c r="G27" s="66" t="n">
        <v>0</v>
      </c>
      <c r="H27" s="66" t="n">
        <v>291415</v>
      </c>
      <c r="I27" s="66">
        <f>IFERROR(SUMIF(A$6:A27,"&lt;&gt;""",G$6:G27)-SUMIF(A$6:A27,"&lt;&gt;""",H$6:H27),"")</f>
        <v/>
      </c>
      <c r="J27" s="26" t="n"/>
    </row>
    <row r="28" ht="15" customHeight="1">
      <c r="A28" s="90" t="n">
        <v>45297</v>
      </c>
      <c r="B28" s="65" t="inlineStr">
        <is>
          <t>UI</t>
        </is>
      </c>
      <c r="C28" s="65" t="inlineStr">
        <is>
          <t>R0012</t>
        </is>
      </c>
      <c r="D28" s="65" t="inlineStr">
        <is>
          <t>1010</t>
        </is>
      </c>
      <c r="E28" s="65" t="inlineStr">
        <is>
          <t>Bank Account</t>
        </is>
      </c>
      <c r="F28" s="65" t="inlineStr">
        <is>
          <t>Received: Booking - Kollege</t>
        </is>
      </c>
      <c r="G28" s="66" t="n">
        <v>191592</v>
      </c>
      <c r="H28" s="66" t="n">
        <v>0</v>
      </c>
      <c r="I28" s="66">
        <f>IFERROR(SUMIF(A$6:A28,"&lt;&gt;""",G$6:G28)-SUMIF(A$6:A28,"&lt;&gt;""",H$6:H28),"")</f>
        <v/>
      </c>
      <c r="J28" s="26" t="n"/>
    </row>
    <row r="29" ht="15" customHeight="1">
      <c r="A29" s="90" t="n">
        <v>45297</v>
      </c>
      <c r="B29" s="65" t="inlineStr">
        <is>
          <t>UI</t>
        </is>
      </c>
      <c r="C29" s="65" t="inlineStr">
        <is>
          <t>R0012</t>
        </is>
      </c>
      <c r="D29" s="65" t="inlineStr">
        <is>
          <t>4000</t>
        </is>
      </c>
      <c r="E29" s="65" t="inlineStr">
        <is>
          <t>Room Revenue</t>
        </is>
      </c>
      <c r="F29" s="65" t="inlineStr">
        <is>
          <t>Booking - Kollege</t>
        </is>
      </c>
      <c r="G29" s="66" t="n">
        <v>0</v>
      </c>
      <c r="H29" s="66" t="n">
        <v>191592</v>
      </c>
      <c r="I29" s="66">
        <f>IFERROR(SUMIF(A$6:A29,"&lt;&gt;""",G$6:G29)-SUMIF(A$6:A29,"&lt;&gt;""",H$6:H29),"")</f>
        <v/>
      </c>
      <c r="J29" s="26" t="n"/>
    </row>
    <row r="30" ht="15" customHeight="1">
      <c r="A30" s="90" t="n">
        <v>45297</v>
      </c>
      <c r="B30" s="65" t="inlineStr">
        <is>
          <t>UI</t>
        </is>
      </c>
      <c r="C30" s="65" t="inlineStr">
        <is>
          <t>R0013</t>
        </is>
      </c>
      <c r="D30" s="65" t="inlineStr">
        <is>
          <t>1010</t>
        </is>
      </c>
      <c r="E30" s="65" t="inlineStr">
        <is>
          <t>Bank Account</t>
        </is>
      </c>
      <c r="F30" s="65" t="inlineStr">
        <is>
          <t>Received: Generator surcharge</t>
        </is>
      </c>
      <c r="G30" s="66" t="n">
        <v>25000</v>
      </c>
      <c r="H30" s="66" t="n">
        <v>0</v>
      </c>
      <c r="I30" s="66">
        <f>IFERROR(SUMIF(A$6:A30,"&lt;&gt;""",G$6:G30)-SUMIF(A$6:A30,"&lt;&gt;""",H$6:H30),"")</f>
        <v/>
      </c>
      <c r="J30" s="26" t="n"/>
    </row>
    <row r="31" ht="15" customHeight="1">
      <c r="A31" s="90" t="n">
        <v>45297</v>
      </c>
      <c r="B31" s="65" t="inlineStr">
        <is>
          <t>UI</t>
        </is>
      </c>
      <c r="C31" s="65" t="inlineStr">
        <is>
          <t>R0013</t>
        </is>
      </c>
      <c r="D31" s="65" t="inlineStr">
        <is>
          <t>4030</t>
        </is>
      </c>
      <c r="E31" s="65" t="inlineStr">
        <is>
          <t>Extra Charges</t>
        </is>
      </c>
      <c r="F31" s="65" t="inlineStr">
        <is>
          <t>Generator surcharge</t>
        </is>
      </c>
      <c r="G31" s="66" t="n">
        <v>0</v>
      </c>
      <c r="H31" s="66" t="n">
        <v>25000</v>
      </c>
      <c r="I31" s="66">
        <f>IFERROR(SUMIF(A$6:A31,"&lt;&gt;""",G$6:G31)-SUMIF(A$6:A31,"&lt;&gt;""",H$6:H31),"")</f>
        <v/>
      </c>
      <c r="J31" s="26" t="n"/>
    </row>
    <row r="32" ht="15" customHeight="1">
      <c r="A32" s="90" t="n">
        <v>45302</v>
      </c>
      <c r="B32" s="65" t="inlineStr">
        <is>
          <t>UI</t>
        </is>
      </c>
      <c r="C32" s="65" t="inlineStr">
        <is>
          <t>R0014</t>
        </is>
      </c>
      <c r="D32" s="65" t="inlineStr">
        <is>
          <t>1010</t>
        </is>
      </c>
      <c r="E32" s="65" t="inlineStr">
        <is>
          <t>Bank Account</t>
        </is>
      </c>
      <c r="F32" s="65" t="inlineStr">
        <is>
          <t>Received: Booking - Premier</t>
        </is>
      </c>
      <c r="G32" s="66" t="n">
        <v>471961</v>
      </c>
      <c r="H32" s="66" t="n">
        <v>0</v>
      </c>
      <c r="I32" s="66">
        <f>IFERROR(SUMIF(A$6:A32,"&lt;&gt;""",G$6:G32)-SUMIF(A$6:A32,"&lt;&gt;""",H$6:H32),"")</f>
        <v/>
      </c>
      <c r="J32" s="26" t="n"/>
    </row>
    <row r="33" ht="15" customHeight="1">
      <c r="A33" s="90" t="n">
        <v>45302</v>
      </c>
      <c r="B33" s="65" t="inlineStr">
        <is>
          <t>UI</t>
        </is>
      </c>
      <c r="C33" s="65" t="inlineStr">
        <is>
          <t>R0014</t>
        </is>
      </c>
      <c r="D33" s="65" t="inlineStr">
        <is>
          <t>4000</t>
        </is>
      </c>
      <c r="E33" s="65" t="inlineStr">
        <is>
          <t>Room Revenue</t>
        </is>
      </c>
      <c r="F33" s="65" t="inlineStr">
        <is>
          <t>Booking - Premier</t>
        </is>
      </c>
      <c r="G33" s="66" t="n">
        <v>0</v>
      </c>
      <c r="H33" s="66" t="n">
        <v>471961</v>
      </c>
      <c r="I33" s="66">
        <f>IFERROR(SUMIF(A$6:A33,"&lt;&gt;""",G$6:G33)-SUMIF(A$6:A33,"&lt;&gt;""",H$6:H33),"")</f>
        <v/>
      </c>
      <c r="J33" s="26" t="n"/>
    </row>
    <row r="34" ht="15" customHeight="1">
      <c r="A34" s="90" t="n">
        <v>45302</v>
      </c>
      <c r="B34" s="65" t="inlineStr">
        <is>
          <t>UI</t>
        </is>
      </c>
      <c r="C34" s="65" t="inlineStr">
        <is>
          <t>R0015</t>
        </is>
      </c>
      <c r="D34" s="65" t="inlineStr">
        <is>
          <t>1010</t>
        </is>
      </c>
      <c r="E34" s="65" t="inlineStr">
        <is>
          <t>Bank Account</t>
        </is>
      </c>
      <c r="F34" s="65" t="inlineStr">
        <is>
          <t>Received: Generator surcharge</t>
        </is>
      </c>
      <c r="G34" s="66" t="n">
        <v>10000</v>
      </c>
      <c r="H34" s="66" t="n">
        <v>0</v>
      </c>
      <c r="I34" s="66">
        <f>IFERROR(SUMIF(A$6:A34,"&lt;&gt;""",G$6:G34)-SUMIF(A$6:A34,"&lt;&gt;""",H$6:H34),"")</f>
        <v/>
      </c>
      <c r="J34" s="26" t="n"/>
    </row>
    <row r="35" ht="15" customHeight="1">
      <c r="A35" s="90" t="n">
        <v>45302</v>
      </c>
      <c r="B35" s="65" t="inlineStr">
        <is>
          <t>UI</t>
        </is>
      </c>
      <c r="C35" s="65" t="inlineStr">
        <is>
          <t>R0015</t>
        </is>
      </c>
      <c r="D35" s="65" t="inlineStr">
        <is>
          <t>4030</t>
        </is>
      </c>
      <c r="E35" s="65" t="inlineStr">
        <is>
          <t>Extra Charges</t>
        </is>
      </c>
      <c r="F35" s="65" t="inlineStr">
        <is>
          <t>Generator surcharge</t>
        </is>
      </c>
      <c r="G35" s="66" t="n">
        <v>0</v>
      </c>
      <c r="H35" s="66" t="n">
        <v>10000</v>
      </c>
      <c r="I35" s="66">
        <f>IFERROR(SUMIF(A$6:A35,"&lt;&gt;""",G$6:G35)-SUMIF(A$6:A35,"&lt;&gt;""",H$6:H35),"")</f>
        <v/>
      </c>
      <c r="J35" s="26" t="n"/>
    </row>
    <row r="36" ht="15" customHeight="1">
      <c r="A36" s="90" t="n"/>
      <c r="B36" s="65" t="n"/>
      <c r="C36" s="65" t="n"/>
      <c r="D36" s="65" t="n"/>
      <c r="E36" s="65" t="n"/>
      <c r="F36" s="65" t="n"/>
      <c r="G36" s="66" t="n"/>
      <c r="H36" s="66" t="n"/>
      <c r="I36" s="66">
        <f>IFERROR(SUMIF(A$6:A36,"&lt;&gt;""",G$6:G36)-SUMIF(A$6:A36,"&lt;&gt;""",H$6:H36),"")</f>
        <v/>
      </c>
      <c r="J36" s="26" t="n"/>
    </row>
    <row r="37" ht="15" customHeight="1">
      <c r="A37" s="90" t="n"/>
      <c r="B37" s="65" t="n"/>
      <c r="C37" s="65" t="n"/>
      <c r="D37" s="65" t="n"/>
      <c r="E37" s="65" t="n"/>
      <c r="F37" s="65" t="n"/>
      <c r="G37" s="66" t="n"/>
      <c r="H37" s="66" t="n"/>
      <c r="I37" s="66">
        <f>IFERROR(SUMIF(A$6:A37,"&lt;&gt;""",G$6:G37)-SUMIF(A$6:A37,"&lt;&gt;""",H$6:H37),"")</f>
        <v/>
      </c>
      <c r="J37" s="26" t="n"/>
    </row>
    <row r="38" ht="15" customHeight="1">
      <c r="A38" s="90" t="n"/>
      <c r="B38" s="65" t="n"/>
      <c r="C38" s="65" t="n"/>
      <c r="D38" s="65" t="n"/>
      <c r="E38" s="65" t="n"/>
      <c r="F38" s="65" t="n"/>
      <c r="G38" s="66" t="n"/>
      <c r="H38" s="66" t="n"/>
      <c r="I38" s="66">
        <f>IFERROR(SUMIF(A$6:A38,"&lt;&gt;""",G$6:G38)-SUMIF(A$6:A38,"&lt;&gt;""",H$6:H38),"")</f>
        <v/>
      </c>
      <c r="J38" s="26" t="n"/>
    </row>
    <row r="39" ht="15" customHeight="1">
      <c r="A39" s="90" t="n"/>
      <c r="B39" s="65" t="n"/>
      <c r="C39" s="65" t="n"/>
      <c r="D39" s="65" t="n"/>
      <c r="E39" s="65" t="n"/>
      <c r="F39" s="65" t="n"/>
      <c r="G39" s="66" t="n"/>
      <c r="H39" s="66" t="n"/>
      <c r="I39" s="66">
        <f>IFERROR(SUMIF(A$6:A39,"&lt;&gt;""",G$6:G39)-SUMIF(A$6:A39,"&lt;&gt;""",H$6:H39),"")</f>
        <v/>
      </c>
      <c r="J39" s="26" t="n"/>
    </row>
    <row r="40" ht="15" customHeight="1">
      <c r="A40" s="90" t="n"/>
      <c r="B40" s="65" t="n"/>
      <c r="C40" s="65" t="n"/>
      <c r="D40" s="65" t="n"/>
      <c r="E40" s="65" t="n"/>
      <c r="F40" s="65" t="n"/>
      <c r="G40" s="66" t="n"/>
      <c r="H40" s="66" t="n"/>
      <c r="I40" s="66">
        <f>IFERROR(SUMIF(A$6:A40,"&lt;&gt;""",G$6:G40)-SUMIF(A$6:A40,"&lt;&gt;""",H$6:H40),"")</f>
        <v/>
      </c>
      <c r="J40" s="26" t="n"/>
    </row>
    <row r="41" ht="15" customHeight="1">
      <c r="A41" s="90" t="n"/>
      <c r="B41" s="65" t="n"/>
      <c r="C41" s="65" t="n"/>
      <c r="D41" s="65" t="n"/>
      <c r="E41" s="65" t="n"/>
      <c r="F41" s="65" t="n"/>
      <c r="G41" s="66" t="n"/>
      <c r="H41" s="66" t="n"/>
      <c r="I41" s="66">
        <f>IFERROR(SUMIF(A$6:A41,"&lt;&gt;""",G$6:G41)-SUMIF(A$6:A41,"&lt;&gt;""",H$6:H41),"")</f>
        <v/>
      </c>
      <c r="J41" s="26" t="n"/>
    </row>
    <row r="42" ht="15" customHeight="1">
      <c r="A42" s="90" t="n"/>
      <c r="B42" s="65" t="n"/>
      <c r="C42" s="65" t="n"/>
      <c r="D42" s="65" t="n"/>
      <c r="E42" s="65" t="n"/>
      <c r="F42" s="65" t="n"/>
      <c r="G42" s="66" t="n"/>
      <c r="H42" s="66" t="n"/>
      <c r="I42" s="66">
        <f>IFERROR(SUMIF(A$6:A42,"&lt;&gt;""",G$6:G42)-SUMIF(A$6:A42,"&lt;&gt;""",H$6:H42),"")</f>
        <v/>
      </c>
      <c r="J42" s="26" t="n"/>
    </row>
    <row r="43" ht="15" customHeight="1">
      <c r="A43" s="90" t="n"/>
      <c r="B43" s="65" t="n"/>
      <c r="C43" s="65" t="n"/>
      <c r="D43" s="65" t="n"/>
      <c r="E43" s="65" t="n"/>
      <c r="F43" s="65" t="n"/>
      <c r="G43" s="66" t="n"/>
      <c r="H43" s="66" t="n"/>
      <c r="I43" s="66">
        <f>IFERROR(SUMIF(A$6:A43,"&lt;&gt;""",G$6:G43)-SUMIF(A$6:A43,"&lt;&gt;""",H$6:H43),"")</f>
        <v/>
      </c>
      <c r="J43" s="26" t="n"/>
    </row>
    <row r="44" ht="15" customHeight="1">
      <c r="A44" s="90" t="n"/>
      <c r="B44" s="65" t="n"/>
      <c r="C44" s="65" t="n"/>
      <c r="D44" s="65" t="n"/>
      <c r="E44" s="65" t="n"/>
      <c r="F44" s="65" t="n"/>
      <c r="G44" s="66" t="n"/>
      <c r="H44" s="66" t="n"/>
      <c r="I44" s="66">
        <f>IFERROR(SUMIF(A$6:A44,"&lt;&gt;""",G$6:G44)-SUMIF(A$6:A44,"&lt;&gt;""",H$6:H44),"")</f>
        <v/>
      </c>
      <c r="J44" s="26" t="n"/>
    </row>
    <row r="45" ht="15" customHeight="1">
      <c r="A45" s="90" t="n"/>
      <c r="B45" s="65" t="n"/>
      <c r="C45" s="65" t="n"/>
      <c r="D45" s="65" t="n"/>
      <c r="E45" s="65" t="n"/>
      <c r="F45" s="65" t="n"/>
      <c r="G45" s="66" t="n"/>
      <c r="H45" s="66" t="n"/>
      <c r="I45" s="66">
        <f>IFERROR(SUMIF(A$6:A45,"&lt;&gt;""",G$6:G45)-SUMIF(A$6:A45,"&lt;&gt;""",H$6:H45),"")</f>
        <v/>
      </c>
      <c r="J45" s="26" t="n"/>
    </row>
    <row r="46" ht="15" customHeight="1">
      <c r="A46" s="90" t="n"/>
      <c r="B46" s="65" t="n"/>
      <c r="C46" s="65" t="n"/>
      <c r="D46" s="65" t="n"/>
      <c r="E46" s="65" t="n"/>
      <c r="F46" s="65" t="n"/>
      <c r="G46" s="66" t="n"/>
      <c r="H46" s="66" t="n"/>
      <c r="I46" s="66">
        <f>IFERROR(SUMIF(A$6:A46,"&lt;&gt;""",G$6:G46)-SUMIF(A$6:A46,"&lt;&gt;""",H$6:H46),"")</f>
        <v/>
      </c>
      <c r="J46" s="26" t="n"/>
    </row>
    <row r="47" ht="15" customHeight="1">
      <c r="A47" s="90" t="n"/>
      <c r="B47" s="65" t="n"/>
      <c r="C47" s="65" t="n"/>
      <c r="D47" s="65" t="n"/>
      <c r="E47" s="65" t="n"/>
      <c r="F47" s="65" t="n"/>
      <c r="G47" s="66" t="n"/>
      <c r="H47" s="66" t="n"/>
      <c r="I47" s="66">
        <f>IFERROR(SUMIF(A$6:A47,"&lt;&gt;""",G$6:G47)-SUMIF(A$6:A47,"&lt;&gt;""",H$6:H47),"")</f>
        <v/>
      </c>
      <c r="J47" s="26" t="n"/>
    </row>
    <row r="48" ht="15" customHeight="1">
      <c r="A48" s="90" t="n"/>
      <c r="B48" s="65" t="n"/>
      <c r="C48" s="65" t="n"/>
      <c r="D48" s="65" t="n"/>
      <c r="E48" s="65" t="n"/>
      <c r="F48" s="65" t="n"/>
      <c r="G48" s="66" t="n"/>
      <c r="H48" s="66" t="n"/>
      <c r="I48" s="66">
        <f>IFERROR(SUMIF(A$6:A48,"&lt;&gt;""",G$6:G48)-SUMIF(A$6:A48,"&lt;&gt;""",H$6:H48),"")</f>
        <v/>
      </c>
      <c r="J48" s="26" t="n"/>
    </row>
    <row r="49" ht="15" customHeight="1">
      <c r="A49" s="90" t="n"/>
      <c r="B49" s="65" t="n"/>
      <c r="C49" s="65" t="n"/>
      <c r="D49" s="65" t="n"/>
      <c r="E49" s="65" t="n"/>
      <c r="F49" s="65" t="n"/>
      <c r="G49" s="66" t="n"/>
      <c r="H49" s="66" t="n"/>
      <c r="I49" s="66">
        <f>IFERROR(SUMIF(A$6:A49,"&lt;&gt;""",G$6:G49)-SUMIF(A$6:A49,"&lt;&gt;""",H$6:H49),"")</f>
        <v/>
      </c>
      <c r="J49" s="26" t="n"/>
    </row>
    <row r="50" ht="15" customHeight="1">
      <c r="A50" s="90" t="n"/>
      <c r="B50" s="65" t="n"/>
      <c r="C50" s="65" t="n"/>
      <c r="D50" s="65" t="n"/>
      <c r="E50" s="65" t="n"/>
      <c r="F50" s="65" t="n"/>
      <c r="G50" s="66" t="n"/>
      <c r="H50" s="66" t="n"/>
      <c r="I50" s="66">
        <f>IFERROR(SUMIF(A$6:A50,"&lt;&gt;""",G$6:G50)-SUMIF(A$6:A50,"&lt;&gt;""",H$6:H50),"")</f>
        <v/>
      </c>
      <c r="J50" s="26" t="n"/>
    </row>
    <row r="51" ht="15" customHeight="1">
      <c r="A51" s="90" t="n"/>
      <c r="B51" s="65" t="n"/>
      <c r="C51" s="65" t="n"/>
      <c r="D51" s="65" t="n"/>
      <c r="E51" s="65" t="n"/>
      <c r="F51" s="65" t="n"/>
      <c r="G51" s="66" t="n"/>
      <c r="H51" s="66" t="n"/>
      <c r="I51" s="66">
        <f>IFERROR(SUMIF(A$6:A51,"&lt;&gt;""",G$6:G51)-SUMIF(A$6:A51,"&lt;&gt;""",H$6:H51),"")</f>
        <v/>
      </c>
      <c r="J51" s="26" t="n"/>
    </row>
    <row r="52" ht="15" customHeight="1">
      <c r="A52" s="90" t="n"/>
      <c r="B52" s="65" t="n"/>
      <c r="C52" s="65" t="n"/>
      <c r="D52" s="65" t="n"/>
      <c r="E52" s="65" t="n"/>
      <c r="F52" s="65" t="n"/>
      <c r="G52" s="66" t="n"/>
      <c r="H52" s="66" t="n"/>
      <c r="I52" s="66">
        <f>IFERROR(SUMIF(A$6:A52,"&lt;&gt;""",G$6:G52)-SUMIF(A$6:A52,"&lt;&gt;""",H$6:H52),"")</f>
        <v/>
      </c>
      <c r="J52" s="26" t="n"/>
    </row>
    <row r="53" ht="15" customHeight="1">
      <c r="A53" s="90" t="n"/>
      <c r="B53" s="65" t="n"/>
      <c r="C53" s="65" t="n"/>
      <c r="D53" s="65" t="n"/>
      <c r="E53" s="65" t="n"/>
      <c r="F53" s="65" t="n"/>
      <c r="G53" s="66" t="n"/>
      <c r="H53" s="66" t="n"/>
      <c r="I53" s="66">
        <f>IFERROR(SUMIF(A$6:A53,"&lt;&gt;""",G$6:G53)-SUMIF(A$6:A53,"&lt;&gt;""",H$6:H53),"")</f>
        <v/>
      </c>
      <c r="J53" s="26" t="n"/>
    </row>
    <row r="54" ht="15" customHeight="1">
      <c r="A54" s="90" t="n"/>
      <c r="B54" s="65" t="n"/>
      <c r="C54" s="65" t="n"/>
      <c r="D54" s="65" t="n"/>
      <c r="E54" s="65" t="n"/>
      <c r="F54" s="65" t="n"/>
      <c r="G54" s="66" t="n"/>
      <c r="H54" s="66" t="n"/>
      <c r="I54" s="66">
        <f>IFERROR(SUMIF(A$6:A54,"&lt;&gt;""",G$6:G54)-SUMIF(A$6:A54,"&lt;&gt;""",H$6:H54),"")</f>
        <v/>
      </c>
      <c r="J54" s="26" t="n"/>
    </row>
    <row r="55" ht="15" customHeight="1">
      <c r="A55" s="90" t="n"/>
      <c r="B55" s="65" t="n"/>
      <c r="C55" s="65" t="n"/>
      <c r="D55" s="65" t="n"/>
      <c r="E55" s="65" t="n"/>
      <c r="F55" s="65" t="n"/>
      <c r="G55" s="66" t="n"/>
      <c r="H55" s="66" t="n"/>
      <c r="I55" s="66">
        <f>IFERROR(SUMIF(A$6:A55,"&lt;&gt;""",G$6:G55)-SUMIF(A$6:A55,"&lt;&gt;""",H$6:H55),"")</f>
        <v/>
      </c>
      <c r="J55" s="26" t="n"/>
    </row>
    <row r="56" ht="15" customHeight="1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>
        <f>IFERROR(SUMIF(A$6:A56,"&lt;&gt;""",G$6:G56)-SUMIF(A$6:A56,"&lt;&gt;""",H$6:H56),"")</f>
        <v/>
      </c>
      <c r="J56" s="26" t="n"/>
    </row>
    <row r="57" ht="15" customHeight="1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>
        <f>IFERROR(SUMIF(A$6:A57,"&lt;&gt;""",G$6:G57)-SUMIF(A$6:A57,"&lt;&gt;""",H$6:H57),"")</f>
        <v/>
      </c>
      <c r="J57" s="26" t="n"/>
    </row>
    <row r="58" ht="15" customHeight="1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>
        <f>IFERROR(SUMIF(A$6:A58,"&lt;&gt;""",G$6:G58)-SUMIF(A$6:A58,"&lt;&gt;""",H$6:H58),"")</f>
        <v/>
      </c>
      <c r="J58" s="26" t="n"/>
    </row>
    <row r="59" ht="15" customHeight="1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>
        <f>IFERROR(SUMIF(A$6:A59,"&lt;&gt;""",G$6:G59)-SUMIF(A$6:A59,"&lt;&gt;""",H$6:H59),"")</f>
        <v/>
      </c>
      <c r="J59" s="26" t="n"/>
    </row>
    <row r="60" ht="15" customHeight="1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>
        <f>IFERROR(SUMIF(A$6:A60,"&lt;&gt;""",G$6:G60)-SUMIF(A$6:A60,"&lt;&gt;""",H$6:H60),"")</f>
        <v/>
      </c>
      <c r="J60" s="26" t="n"/>
    </row>
    <row r="61" ht="15" customHeight="1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>
        <f>IFERROR(SUMIF(A$6:A61,"&lt;&gt;""",G$6:G61)-SUMIF(A$6:A61,"&lt;&gt;""",H$6:H61),"")</f>
        <v/>
      </c>
      <c r="J61" s="26" t="n"/>
    </row>
    <row r="62" ht="15" customHeight="1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>
        <f>IFERROR(SUMIF(A$6:A62,"&lt;&gt;""",G$6:G62)-SUMIF(A$6:A62,"&lt;&gt;""",H$6:H62),"")</f>
        <v/>
      </c>
      <c r="J62" s="26" t="n"/>
    </row>
    <row r="63" ht="15" customHeight="1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>
        <f>IFERROR(SUMIF(A$6:A63,"&lt;&gt;""",G$6:G63)-SUMIF(A$6:A63,"&lt;&gt;""",H$6:H63),"")</f>
        <v/>
      </c>
      <c r="J63" s="26" t="n"/>
    </row>
    <row r="64" ht="15" customHeight="1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>
        <f>IFERROR(SUMIF(A$6:A64,"&lt;&gt;""",G$6:G64)-SUMIF(A$6:A64,"&lt;&gt;""",H$6:H64),"")</f>
        <v/>
      </c>
      <c r="J64" s="26" t="n"/>
    </row>
    <row r="65" ht="15" customHeight="1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>
        <f>IFERROR(SUMIF(A$6:A65,"&lt;&gt;""",G$6:G65)-SUMIF(A$6:A65,"&lt;&gt;""",H$6:H65),"")</f>
        <v/>
      </c>
      <c r="J65" s="26" t="n"/>
    </row>
    <row r="66" ht="15" customHeight="1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>
        <f>IFERROR(SUMIF(A$6:A66,"&lt;&gt;""",G$6:G66)-SUMIF(A$6:A66,"&lt;&gt;""",H$6:H66),"")</f>
        <v/>
      </c>
      <c r="J66" s="26" t="n"/>
    </row>
    <row r="67" ht="15" customHeight="1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>
        <f>IFERROR(SUMIF(A$6:A67,"&lt;&gt;""",G$6:G67)-SUMIF(A$6:A67,"&lt;&gt;""",H$6:H67),"")</f>
        <v/>
      </c>
      <c r="J67" s="26" t="n"/>
    </row>
    <row r="68" ht="15" customHeight="1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>
        <f>IFERROR(SUMIF(A$6:A68,"&lt;&gt;""",G$6:G68)-SUMIF(A$6:A68,"&lt;&gt;""",H$6:H68),"")</f>
        <v/>
      </c>
      <c r="J68" s="26" t="n"/>
    </row>
    <row r="69" ht="15" customHeight="1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>
        <f>IFERROR(SUMIF(A$6:A69,"&lt;&gt;""",G$6:G69)-SUMIF(A$6:A69,"&lt;&gt;""",H$6:H69),"")</f>
        <v/>
      </c>
      <c r="J69" s="26" t="n"/>
    </row>
    <row r="70" ht="15" customHeight="1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>
        <f>IFERROR(SUMIF(A$6:A70,"&lt;&gt;""",G$6:G70)-SUMIF(A$6:A70,"&lt;&gt;""",H$6:H70),"")</f>
        <v/>
      </c>
      <c r="J70" s="26" t="n"/>
    </row>
    <row r="71" ht="15" customHeight="1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>
        <f>IFERROR(SUMIF(A$6:A71,"&lt;&gt;""",G$6:G71)-SUMIF(A$6:A71,"&lt;&gt;""",H$6:H71),"")</f>
        <v/>
      </c>
      <c r="J71" s="26" t="n"/>
    </row>
    <row r="72" ht="15" customHeight="1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>
        <f>IFERROR(SUMIF(A$6:A72,"&lt;&gt;""",G$6:G72)-SUMIF(A$6:A72,"&lt;&gt;""",H$6:H72),"")</f>
        <v/>
      </c>
      <c r="J72" s="26" t="n"/>
    </row>
    <row r="73" ht="15" customHeight="1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>
        <f>IFERROR(SUMIF(A$6:A73,"&lt;&gt;""",G$6:G73)-SUMIF(A$6:A73,"&lt;&gt;""",H$6:H73),"")</f>
        <v/>
      </c>
      <c r="J73" s="26" t="n"/>
    </row>
    <row r="74" ht="15" customHeight="1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>
        <f>IFERROR(SUMIF(A$6:A74,"&lt;&gt;""",G$6:G74)-SUMIF(A$6:A74,"&lt;&gt;""",H$6:H74),"")</f>
        <v/>
      </c>
      <c r="J74" s="26" t="n"/>
    </row>
    <row r="75" ht="15" customHeight="1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>
        <f>IFERROR(SUMIF(A$6:A75,"&lt;&gt;""",G$6:G75)-SUMIF(A$6:A75,"&lt;&gt;""",H$6:H75),"")</f>
        <v/>
      </c>
      <c r="J75" s="26" t="n"/>
    </row>
    <row r="76" ht="15" customHeight="1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>
        <f>IFERROR(SUMIF(A$6:A76,"&lt;&gt;""",G$6:G76)-SUMIF(A$6:A76,"&lt;&gt;""",H$6:H76),"")</f>
        <v/>
      </c>
      <c r="J76" s="26" t="n"/>
    </row>
    <row r="77" ht="15" customHeight="1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>
        <f>IFERROR(SUMIF(A$6:A77,"&lt;&gt;""",G$6:G77)-SUMIF(A$6:A77,"&lt;&gt;""",H$6:H77),"")</f>
        <v/>
      </c>
      <c r="J77" s="26" t="n"/>
    </row>
    <row r="78" ht="15" customHeight="1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>
        <f>IFERROR(SUMIF(A$6:A78,"&lt;&gt;""",G$6:G78)-SUMIF(A$6:A78,"&lt;&gt;""",H$6:H78),"")</f>
        <v/>
      </c>
      <c r="J78" s="26" t="n"/>
    </row>
    <row r="79" ht="15" customHeight="1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>
        <f>IFERROR(SUMIF(A$6:A79,"&lt;&gt;""",G$6:G79)-SUMIF(A$6:A79,"&lt;&gt;""",H$6:H79),"")</f>
        <v/>
      </c>
      <c r="J79" s="26" t="n"/>
    </row>
    <row r="80" ht="15" customHeight="1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>
        <f>IFERROR(SUMIF(A$6:A80,"&lt;&gt;""",G$6:G80)-SUMIF(A$6:A80,"&lt;&gt;""",H$6:H80),"")</f>
        <v/>
      </c>
      <c r="J80" s="26" t="n"/>
    </row>
    <row r="81" ht="15" customHeight="1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>
        <f>IFERROR(SUMIF(A$6:A81,"&lt;&gt;""",G$6:G81)-SUMIF(A$6:A81,"&lt;&gt;""",H$6:H81),"")</f>
        <v/>
      </c>
      <c r="J81" s="26" t="n"/>
    </row>
    <row r="82" ht="15" customHeight="1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>
        <f>IFERROR(SUMIF(A$6:A82,"&lt;&gt;""",G$6:G82)-SUMIF(A$6:A82,"&lt;&gt;""",H$6:H82),"")</f>
        <v/>
      </c>
      <c r="J82" s="26" t="n"/>
    </row>
    <row r="83" ht="15" customHeight="1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>
        <f>IFERROR(SUMIF(A$6:A83,"&lt;&gt;""",G$6:G83)-SUMIF(A$6:A83,"&lt;&gt;""",H$6:H83),"")</f>
        <v/>
      </c>
      <c r="J83" s="26" t="n"/>
    </row>
    <row r="84" ht="15" customHeight="1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>
        <f>IFERROR(SUMIF(A$6:A84,"&lt;&gt;""",G$6:G84)-SUMIF(A$6:A84,"&lt;&gt;""",H$6:H84),"")</f>
        <v/>
      </c>
      <c r="J84" s="26" t="n"/>
    </row>
    <row r="85" ht="15" customHeight="1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>
        <f>IFERROR(SUMIF(A$6:A85,"&lt;&gt;""",G$6:G85)-SUMIF(A$6:A85,"&lt;&gt;""",H$6:H85),"")</f>
        <v/>
      </c>
      <c r="J85" s="26" t="n"/>
    </row>
    <row r="86" ht="15" customHeight="1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>
        <f>IFERROR(SUMIF(A$6:A86,"&lt;&gt;""",G$6:G86)-SUMIF(A$6:A86,"&lt;&gt;""",H$6:H86),"")</f>
        <v/>
      </c>
      <c r="J86" s="26" t="n"/>
    </row>
    <row r="87" ht="15" customHeight="1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>
        <f>IFERROR(SUMIF(A$6:A87,"&lt;&gt;""",G$6:G87)-SUMIF(A$6:A87,"&lt;&gt;""",H$6:H87),"")</f>
        <v/>
      </c>
      <c r="J87" s="26" t="n"/>
    </row>
    <row r="88" ht="15" customHeight="1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>
        <f>IFERROR(SUMIF(A$6:A88,"&lt;&gt;""",G$6:G88)-SUMIF(A$6:A88,"&lt;&gt;""",H$6:H88),"")</f>
        <v/>
      </c>
      <c r="J88" s="26" t="n"/>
    </row>
    <row r="89" ht="15" customHeight="1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>
        <f>IFERROR(SUMIF(A$6:A89,"&lt;&gt;""",G$6:G89)-SUMIF(A$6:A89,"&lt;&gt;""",H$6:H89),"")</f>
        <v/>
      </c>
      <c r="J89" s="26" t="n"/>
    </row>
    <row r="90" ht="15" customHeight="1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>
        <f>IFERROR(SUMIF(A$6:A90,"&lt;&gt;""",G$6:G90)-SUMIF(A$6:A90,"&lt;&gt;""",H$6:H90),"")</f>
        <v/>
      </c>
      <c r="J90" s="26" t="n"/>
    </row>
    <row r="91" ht="15" customHeight="1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>
        <f>IFERROR(SUMIF(A$6:A91,"&lt;&gt;""",G$6:G91)-SUMIF(A$6:A91,"&lt;&gt;""",H$6:H91),"")</f>
        <v/>
      </c>
      <c r="J91" s="26" t="n"/>
    </row>
    <row r="92" ht="15" customHeight="1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>
        <f>IFERROR(SUMIF(A$6:A92,"&lt;&gt;""",G$6:G92)-SUMIF(A$6:A92,"&lt;&gt;""",H$6:H92),"")</f>
        <v/>
      </c>
      <c r="J92" s="26" t="n"/>
    </row>
    <row r="93" ht="15" customHeight="1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>
        <f>IFERROR(SUMIF(A$6:A93,"&lt;&gt;""",G$6:G93)-SUMIF(A$6:A93,"&lt;&gt;""",H$6:H93),"")</f>
        <v/>
      </c>
      <c r="J93" s="26" t="n"/>
    </row>
    <row r="94" ht="15" customHeight="1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>
        <f>IFERROR(SUMIF(A$6:A94,"&lt;&gt;""",G$6:G94)-SUMIF(A$6:A94,"&lt;&gt;""",H$6:H94),"")</f>
        <v/>
      </c>
      <c r="J94" s="26" t="n"/>
    </row>
    <row r="95" ht="15" customHeight="1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>
        <f>IFERROR(SUMIF(A$6:A95,"&lt;&gt;""",G$6:G95)-SUMIF(A$6:A95,"&lt;&gt;""",H$6:H95),"")</f>
        <v/>
      </c>
      <c r="J95" s="26" t="n"/>
    </row>
    <row r="96" ht="15" customHeight="1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>
        <f>IFERROR(SUMIF(A$6:A96,"&lt;&gt;""",G$6:G96)-SUMIF(A$6:A96,"&lt;&gt;""",H$6:H96),"")</f>
        <v/>
      </c>
      <c r="J96" s="26" t="n"/>
    </row>
    <row r="97" ht="15" customHeight="1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>
        <f>IFERROR(SUMIF(A$6:A97,"&lt;&gt;""",G$6:G97)-SUMIF(A$6:A97,"&lt;&gt;""",H$6:H97),"")</f>
        <v/>
      </c>
      <c r="J97" s="26" t="n"/>
    </row>
    <row r="98" ht="15" customHeight="1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>
        <f>IFERROR(SUMIF(A$6:A98,"&lt;&gt;""",G$6:G98)-SUMIF(A$6:A98,"&lt;&gt;""",H$6:H98),"")</f>
        <v/>
      </c>
      <c r="J98" s="26" t="n"/>
    </row>
    <row r="99" ht="15" customHeight="1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>
        <f>IFERROR(SUMIF(A$6:A99,"&lt;&gt;""",G$6:G99)-SUMIF(A$6:A99,"&lt;&gt;""",H$6:H99),"")</f>
        <v/>
      </c>
      <c r="J99" s="26" t="n"/>
    </row>
    <row r="100" ht="15" customHeight="1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>
        <f>IFERROR(SUMIF(A$6:A100,"&lt;&gt;""",G$6:G100)-SUMIF(A$6:A100,"&lt;&gt;""",H$6:H100),"")</f>
        <v/>
      </c>
      <c r="J100" s="26" t="n"/>
    </row>
    <row r="101" ht="15" customHeight="1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>
        <f>IFERROR(SUMIF(A$6:A101,"&lt;&gt;""",G$6:G101)-SUMIF(A$6:A101,"&lt;&gt;""",H$6:H101),"")</f>
        <v/>
      </c>
      <c r="J101" s="26" t="n"/>
    </row>
    <row r="102" ht="15" customHeight="1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>
        <f>IFERROR(SUMIF(A$6:A102,"&lt;&gt;""",G$6:G102)-SUMIF(A$6:A102,"&lt;&gt;""",H$6:H102),"")</f>
        <v/>
      </c>
      <c r="J102" s="26" t="n"/>
    </row>
    <row r="103" ht="15" customHeight="1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>
        <f>IFERROR(SUMIF(A$6:A103,"&lt;&gt;""",G$6:G103)-SUMIF(A$6:A103,"&lt;&gt;""",H$6:H103),"")</f>
        <v/>
      </c>
      <c r="J103" s="26" t="n"/>
    </row>
    <row r="104" ht="15" customHeight="1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>
        <f>IFERROR(SUMIF(A$6:A104,"&lt;&gt;""",G$6:G104)-SUMIF(A$6:A104,"&lt;&gt;""",H$6:H104),"")</f>
        <v/>
      </c>
      <c r="J104" s="26" t="n"/>
    </row>
    <row r="105" ht="15" customHeight="1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>
        <f>IFERROR(SUMIF(A$6:A105,"&lt;&gt;""",G$6:G105)-SUMIF(A$6:A105,"&lt;&gt;""",H$6:H105),"")</f>
        <v/>
      </c>
      <c r="J105" s="26" t="n"/>
    </row>
    <row r="106" ht="15" customHeight="1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>
        <f>IFERROR(SUMIF(A$6:A106,"&lt;&gt;""",G$6:G106)-SUMIF(A$6:A106,"&lt;&gt;""",H$6:H106),"")</f>
        <v/>
      </c>
      <c r="J106" s="26" t="n"/>
    </row>
    <row r="107" ht="15" customHeight="1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>
        <f>IFERROR(SUMIF(A$6:A107,"&lt;&gt;""",G$6:G107)-SUMIF(A$6:A107,"&lt;&gt;""",H$6:H107),"")</f>
        <v/>
      </c>
      <c r="J107" s="26" t="n"/>
    </row>
    <row r="108" ht="15" customHeight="1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>
        <f>IFERROR(SUMIF(A$6:A108,"&lt;&gt;""",G$6:G108)-SUMIF(A$6:A108,"&lt;&gt;""",H$6:H108),"")</f>
        <v/>
      </c>
      <c r="J108" s="26" t="n"/>
    </row>
    <row r="109" ht="15" customHeight="1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>
        <f>IFERROR(SUMIF(A$6:A109,"&lt;&gt;""",G$6:G109)-SUMIF(A$6:A109,"&lt;&gt;""",H$6:H109),"")</f>
        <v/>
      </c>
      <c r="J109" s="26" t="n"/>
    </row>
    <row r="110" ht="15" customHeight="1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>
        <f>IFERROR(SUMIF(A$6:A110,"&lt;&gt;""",G$6:G110)-SUMIF(A$6:A110,"&lt;&gt;""",H$6:H110),"")</f>
        <v/>
      </c>
      <c r="J110" s="26" t="n"/>
    </row>
    <row r="111" ht="15" customHeight="1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>
        <f>IFERROR(SUMIF(A$6:A111,"&lt;&gt;""",G$6:G111)-SUMIF(A$6:A111,"&lt;&gt;""",H$6:H111),"")</f>
        <v/>
      </c>
      <c r="J111" s="26" t="n"/>
    </row>
    <row r="112" ht="15" customHeight="1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>
        <f>IFERROR(SUMIF(A$6:A112,"&lt;&gt;""",G$6:G112)-SUMIF(A$6:A112,"&lt;&gt;""",H$6:H112),"")</f>
        <v/>
      </c>
      <c r="J112" s="26" t="n"/>
    </row>
    <row r="113" ht="15" customHeight="1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>
        <f>IFERROR(SUMIF(A$6:A113,"&lt;&gt;""",G$6:G113)-SUMIF(A$6:A113,"&lt;&gt;""",H$6:H113),"")</f>
        <v/>
      </c>
      <c r="J113" s="26" t="n"/>
    </row>
    <row r="114" ht="15" customHeight="1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>
        <f>IFERROR(SUMIF(A$6:A114,"&lt;&gt;""",G$6:G114)-SUMIF(A$6:A114,"&lt;&gt;""",H$6:H114),"")</f>
        <v/>
      </c>
      <c r="J114" s="26" t="n"/>
    </row>
    <row r="115" ht="15" customHeight="1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>
        <f>IFERROR(SUMIF(A$6:A115,"&lt;&gt;""",G$6:G115)-SUMIF(A$6:A115,"&lt;&gt;""",H$6:H115),"")</f>
        <v/>
      </c>
      <c r="J115" s="26" t="n"/>
    </row>
    <row r="116" ht="15" customHeight="1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>
        <f>IFERROR(SUMIF(A$6:A116,"&lt;&gt;""",G$6:G116)-SUMIF(A$6:A116,"&lt;&gt;""",H$6:H116),"")</f>
        <v/>
      </c>
      <c r="J116" s="26" t="n"/>
    </row>
    <row r="117" ht="15" customHeight="1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>
        <f>IFERROR(SUMIF(A$6:A117,"&lt;&gt;""",G$6:G117)-SUMIF(A$6:A117,"&lt;&gt;""",H$6:H117),"")</f>
        <v/>
      </c>
      <c r="J117" s="26" t="n"/>
    </row>
    <row r="118" ht="15" customHeight="1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>
        <f>IFERROR(SUMIF(A$6:A118,"&lt;&gt;""",G$6:G118)-SUMIF(A$6:A118,"&lt;&gt;""",H$6:H118),"")</f>
        <v/>
      </c>
      <c r="J118" s="26" t="n"/>
    </row>
    <row r="119" ht="15" customHeight="1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>
        <f>IFERROR(SUMIF(A$6:A119,"&lt;&gt;""",G$6:G119)-SUMIF(A$6:A119,"&lt;&gt;""",H$6:H119),"")</f>
        <v/>
      </c>
      <c r="J119" s="26" t="n"/>
    </row>
    <row r="120" ht="15" customHeight="1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>
        <f>IFERROR(SUMIF(A$6:A120,"&lt;&gt;""",G$6:G120)-SUMIF(A$6:A120,"&lt;&gt;""",H$6:H120),"")</f>
        <v/>
      </c>
      <c r="J120" s="26" t="n"/>
    </row>
    <row r="121" ht="15" customHeight="1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>
        <f>IFERROR(SUMIF(A$6:A121,"&lt;&gt;""",G$6:G121)-SUMIF(A$6:A121,"&lt;&gt;""",H$6:H121),"")</f>
        <v/>
      </c>
      <c r="J121" s="26" t="n"/>
    </row>
    <row r="122" ht="15" customHeight="1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>
        <f>IFERROR(SUMIF(A$6:A122,"&lt;&gt;""",G$6:G122)-SUMIF(A$6:A122,"&lt;&gt;""",H$6:H122),"")</f>
        <v/>
      </c>
      <c r="J122" s="26" t="n"/>
    </row>
    <row r="123" ht="15" customHeight="1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>
        <f>IFERROR(SUMIF(A$6:A123,"&lt;&gt;""",G$6:G123)-SUMIF(A$6:A123,"&lt;&gt;""",H$6:H123),"")</f>
        <v/>
      </c>
      <c r="J123" s="26" t="n"/>
    </row>
    <row r="124" ht="15" customHeight="1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>
        <f>IFERROR(SUMIF(A$6:A124,"&lt;&gt;""",G$6:G124)-SUMIF(A$6:A124,"&lt;&gt;""",H$6:H124),"")</f>
        <v/>
      </c>
      <c r="J124" s="26" t="n"/>
    </row>
    <row r="125" ht="15" customHeight="1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>
        <f>IFERROR(SUMIF(A$6:A125,"&lt;&gt;""",G$6:G125)-SUMIF(A$6:A125,"&lt;&gt;""",H$6:H125),"")</f>
        <v/>
      </c>
      <c r="J125" s="26" t="n"/>
    </row>
    <row r="126" ht="15" customHeight="1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>
        <f>IFERROR(SUMIF(A$6:A126,"&lt;&gt;""",G$6:G126)-SUMIF(A$6:A126,"&lt;&gt;""",H$6:H126),"")</f>
        <v/>
      </c>
      <c r="J126" s="26" t="n"/>
    </row>
    <row r="127" ht="15" customHeight="1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>
        <f>IFERROR(SUMIF(A$6:A127,"&lt;&gt;""",G$6:G127)-SUMIF(A$6:A127,"&lt;&gt;""",H$6:H127),"")</f>
        <v/>
      </c>
      <c r="J127" s="26" t="n"/>
    </row>
    <row r="128" ht="15" customHeight="1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>
        <f>IFERROR(SUMIF(A$6:A128,"&lt;&gt;""",G$6:G128)-SUMIF(A$6:A128,"&lt;&gt;""",H$6:H128),"")</f>
        <v/>
      </c>
      <c r="J128" s="26" t="n"/>
    </row>
    <row r="129" ht="15" customHeight="1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>
        <f>IFERROR(SUMIF(A$6:A129,"&lt;&gt;""",G$6:G129)-SUMIF(A$6:A129,"&lt;&gt;""",H$6:H129),"")</f>
        <v/>
      </c>
      <c r="J129" s="26" t="n"/>
    </row>
    <row r="130" ht="15" customHeight="1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>
        <f>IFERROR(SUMIF(A$6:A130,"&lt;&gt;""",G$6:G130)-SUMIF(A$6:A130,"&lt;&gt;""",H$6:H130),"")</f>
        <v/>
      </c>
      <c r="J130" s="26" t="n"/>
    </row>
    <row r="131" ht="15" customHeight="1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>
        <f>IFERROR(SUMIF(A$6:A131,"&lt;&gt;""",G$6:G131)-SUMIF(A$6:A131,"&lt;&gt;""",H$6:H131),"")</f>
        <v/>
      </c>
      <c r="J131" s="26" t="n"/>
    </row>
    <row r="132" ht="15" customHeight="1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>
        <f>IFERROR(SUMIF(A$6:A132,"&lt;&gt;""",G$6:G132)-SUMIF(A$6:A132,"&lt;&gt;""",H$6:H132),"")</f>
        <v/>
      </c>
      <c r="J132" s="26" t="n"/>
    </row>
    <row r="133" ht="15" customHeight="1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>
        <f>IFERROR(SUMIF(A$6:A133,"&lt;&gt;""",G$6:G133)-SUMIF(A$6:A133,"&lt;&gt;""",H$6:H133),"")</f>
        <v/>
      </c>
      <c r="J133" s="26" t="n"/>
    </row>
    <row r="134" ht="15" customHeight="1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>
        <f>IFERROR(SUMIF(A$6:A134,"&lt;&gt;""",G$6:G134)-SUMIF(A$6:A134,"&lt;&gt;""",H$6:H134),"")</f>
        <v/>
      </c>
      <c r="J134" s="26" t="n"/>
    </row>
    <row r="135" ht="15" customHeight="1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>
        <f>IFERROR(SUMIF(A$6:A135,"&lt;&gt;""",G$6:G135)-SUMIF(A$6:A135,"&lt;&gt;""",H$6:H135),"")</f>
        <v/>
      </c>
      <c r="J135" s="26" t="n"/>
    </row>
    <row r="136" ht="15" customHeight="1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>
        <f>IFERROR(SUMIF(A$6:A136,"&lt;&gt;""",G$6:G136)-SUMIF(A$6:A136,"&lt;&gt;""",H$6:H136),"")</f>
        <v/>
      </c>
      <c r="J136" s="26" t="n"/>
    </row>
    <row r="137" ht="15" customHeight="1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>
        <f>IFERROR(SUMIF(A$6:A137,"&lt;&gt;""",G$6:G137)-SUMIF(A$6:A137,"&lt;&gt;""",H$6:H137),"")</f>
        <v/>
      </c>
      <c r="J137" s="26" t="n"/>
    </row>
    <row r="138" ht="15" customHeight="1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>
        <f>IFERROR(SUMIF(A$6:A138,"&lt;&gt;""",G$6:G138)-SUMIF(A$6:A138,"&lt;&gt;""",H$6:H138),"")</f>
        <v/>
      </c>
      <c r="J138" s="26" t="n"/>
    </row>
    <row r="139" ht="15" customHeight="1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>
        <f>IFERROR(SUMIF(A$6:A139,"&lt;&gt;""",G$6:G139)-SUMIF(A$6:A139,"&lt;&gt;""",H$6:H139),"")</f>
        <v/>
      </c>
      <c r="J139" s="26" t="n"/>
    </row>
    <row r="140" ht="15" customHeight="1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>
        <f>IFERROR(SUMIF(A$6:A140,"&lt;&gt;""",G$6:G140)-SUMIF(A$6:A140,"&lt;&gt;""",H$6:H140),"")</f>
        <v/>
      </c>
      <c r="J140" s="26" t="n"/>
    </row>
    <row r="141" ht="15" customHeight="1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>
        <f>IFERROR(SUMIF(A$6:A141,"&lt;&gt;""",G$6:G141)-SUMIF(A$6:A141,"&lt;&gt;""",H$6:H141),"")</f>
        <v/>
      </c>
      <c r="J141" s="26" t="n"/>
    </row>
    <row r="142" ht="15" customHeight="1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>
        <f>IFERROR(SUMIF(A$6:A142,"&lt;&gt;""",G$6:G142)-SUMIF(A$6:A142,"&lt;&gt;""",H$6:H142),"")</f>
        <v/>
      </c>
      <c r="J142" s="26" t="n"/>
    </row>
    <row r="143" ht="15" customHeight="1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>
        <f>IFERROR(SUMIF(A$6:A143,"&lt;&gt;""",G$6:G143)-SUMIF(A$6:A143,"&lt;&gt;""",H$6:H143),"")</f>
        <v/>
      </c>
      <c r="J143" s="26" t="n"/>
    </row>
    <row r="144" ht="15" customHeight="1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>
        <f>IFERROR(SUMIF(A$6:A144,"&lt;&gt;""",G$6:G144)-SUMIF(A$6:A144,"&lt;&gt;""",H$6:H144),"")</f>
        <v/>
      </c>
      <c r="J144" s="26" t="n"/>
    </row>
    <row r="145" ht="15" customHeight="1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>
        <f>IFERROR(SUMIF(A$6:A145,"&lt;&gt;""",G$6:G145)-SUMIF(A$6:A145,"&lt;&gt;""",H$6:H145),"")</f>
        <v/>
      </c>
      <c r="J145" s="26" t="n"/>
    </row>
    <row r="146" ht="15" customHeight="1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>
        <f>IFERROR(SUMIF(A$6:A146,"&lt;&gt;""",G$6:G146)-SUMIF(A$6:A146,"&lt;&gt;""",H$6:H146),"")</f>
        <v/>
      </c>
      <c r="J146" s="26" t="n"/>
    </row>
    <row r="147" ht="15" customHeight="1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>
        <f>IFERROR(SUMIF(A$6:A147,"&lt;&gt;""",G$6:G147)-SUMIF(A$6:A147,"&lt;&gt;""",H$6:H147),"")</f>
        <v/>
      </c>
      <c r="J147" s="26" t="n"/>
    </row>
    <row r="148" ht="15" customHeight="1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>
        <f>IFERROR(SUMIF(A$6:A148,"&lt;&gt;""",G$6:G148)-SUMIF(A$6:A148,"&lt;&gt;""",H$6:H148),"")</f>
        <v/>
      </c>
      <c r="J148" s="26" t="n"/>
    </row>
    <row r="149" ht="15" customHeight="1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>
        <f>IFERROR(SUMIF(A$6:A149,"&lt;&gt;""",G$6:G149)-SUMIF(A$6:A149,"&lt;&gt;""",H$6:H149),"")</f>
        <v/>
      </c>
      <c r="J149" s="26" t="n"/>
    </row>
    <row r="150" ht="15" customHeight="1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>
        <f>IFERROR(SUMIF(A$6:A150,"&lt;&gt;""",G$6:G150)-SUMIF(A$6:A150,"&lt;&gt;""",H$6:H150),"")</f>
        <v/>
      </c>
      <c r="J150" s="26" t="n"/>
    </row>
    <row r="151" ht="15" customHeight="1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>
        <f>IFERROR(SUMIF(A$6:A151,"&lt;&gt;""",G$6:G151)-SUMIF(A$6:A151,"&lt;&gt;""",H$6:H151),"")</f>
        <v/>
      </c>
      <c r="J151" s="26" t="n"/>
    </row>
    <row r="152" ht="15" customHeight="1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>
        <f>IFERROR(SUMIF(A$6:A152,"&lt;&gt;""",G$6:G152)-SUMIF(A$6:A152,"&lt;&gt;""",H$6:H152),"")</f>
        <v/>
      </c>
      <c r="J152" s="26" t="n"/>
    </row>
    <row r="153" ht="15" customHeight="1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>
        <f>IFERROR(SUMIF(A$6:A153,"&lt;&gt;""",G$6:G153)-SUMIF(A$6:A153,"&lt;&gt;""",H$6:H153),"")</f>
        <v/>
      </c>
      <c r="J153" s="26" t="n"/>
    </row>
    <row r="154" ht="15" customHeight="1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>
        <f>IFERROR(SUMIF(A$6:A154,"&lt;&gt;""",G$6:G154)-SUMIF(A$6:A154,"&lt;&gt;""",H$6:H154),"")</f>
        <v/>
      </c>
      <c r="J154" s="26" t="n"/>
    </row>
    <row r="155" ht="15" customHeight="1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>
        <f>IFERROR(SUMIF(A$6:A155,"&lt;&gt;""",G$6:G155)-SUMIF(A$6:A155,"&lt;&gt;""",H$6:H155),"")</f>
        <v/>
      </c>
      <c r="J155" s="26" t="n"/>
    </row>
    <row r="156" ht="15" customHeight="1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>
        <f>IFERROR(SUMIF(A$6:A156,"&lt;&gt;""",G$6:G156)-SUMIF(A$6:A156,"&lt;&gt;""",H$6:H156),"")</f>
        <v/>
      </c>
      <c r="J156" s="26" t="n"/>
    </row>
    <row r="157" ht="15" customHeight="1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>
        <f>IFERROR(SUMIF(A$6:A157,"&lt;&gt;""",G$6:G157)-SUMIF(A$6:A157,"&lt;&gt;""",H$6:H157),"")</f>
        <v/>
      </c>
      <c r="J157" s="26" t="n"/>
    </row>
    <row r="158" ht="15" customHeight="1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>
        <f>IFERROR(SUMIF(A$6:A158,"&lt;&gt;""",G$6:G158)-SUMIF(A$6:A158,"&lt;&gt;""",H$6:H158),"")</f>
        <v/>
      </c>
      <c r="J158" s="26" t="n"/>
    </row>
    <row r="159" ht="15" customHeight="1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>
        <f>IFERROR(SUMIF(A$6:A159,"&lt;&gt;""",G$6:G159)-SUMIF(A$6:A159,"&lt;&gt;""",H$6:H159),"")</f>
        <v/>
      </c>
      <c r="J159" s="26" t="n"/>
    </row>
    <row r="160" ht="15" customHeight="1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>
        <f>IFERROR(SUMIF(A$6:A160,"&lt;&gt;""",G$6:G160)-SUMIF(A$6:A160,"&lt;&gt;""",H$6:H160),"")</f>
        <v/>
      </c>
      <c r="J160" s="26" t="n"/>
    </row>
    <row r="161" ht="15" customHeight="1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>
        <f>IFERROR(SUMIF(A$6:A161,"&lt;&gt;""",G$6:G161)-SUMIF(A$6:A161,"&lt;&gt;""",H$6:H161),"")</f>
        <v/>
      </c>
      <c r="J161" s="26" t="n"/>
    </row>
    <row r="162" ht="15" customHeight="1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>
        <f>IFERROR(SUMIF(A$6:A162,"&lt;&gt;""",G$6:G162)-SUMIF(A$6:A162,"&lt;&gt;""",H$6:H162),"")</f>
        <v/>
      </c>
      <c r="J162" s="26" t="n"/>
    </row>
    <row r="163" ht="15" customHeight="1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>
        <f>IFERROR(SUMIF(A$6:A163,"&lt;&gt;""",G$6:G163)-SUMIF(A$6:A163,"&lt;&gt;""",H$6:H163),"")</f>
        <v/>
      </c>
      <c r="J163" s="26" t="n"/>
    </row>
    <row r="164" ht="15" customHeight="1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>
        <f>IFERROR(SUMIF(A$6:A164,"&lt;&gt;""",G$6:G164)-SUMIF(A$6:A164,"&lt;&gt;""",H$6:H164),"")</f>
        <v/>
      </c>
      <c r="J164" s="26" t="n"/>
    </row>
    <row r="165" ht="15" customHeight="1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>
        <f>IFERROR(SUMIF(A$6:A165,"&lt;&gt;""",G$6:G165)-SUMIF(A$6:A165,"&lt;&gt;""",H$6:H165),"")</f>
        <v/>
      </c>
      <c r="J165" s="26" t="n"/>
    </row>
    <row r="166" ht="15" customHeight="1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>
        <f>IFERROR(SUMIF(A$6:A166,"&lt;&gt;""",G$6:G166)-SUMIF(A$6:A166,"&lt;&gt;""",H$6:H166),"")</f>
        <v/>
      </c>
      <c r="J166" s="26" t="n"/>
    </row>
    <row r="167" ht="15" customHeight="1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>
        <f>IFERROR(SUMIF(A$6:A167,"&lt;&gt;""",G$6:G167)-SUMIF(A$6:A167,"&lt;&gt;""",H$6:H167),"")</f>
        <v/>
      </c>
      <c r="J167" s="26" t="n"/>
    </row>
    <row r="168" ht="15" customHeight="1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>
        <f>IFERROR(SUMIF(A$6:A168,"&lt;&gt;""",G$6:G168)-SUMIF(A$6:A168,"&lt;&gt;""",H$6:H168),"")</f>
        <v/>
      </c>
      <c r="J168" s="26" t="n"/>
    </row>
    <row r="169" ht="15" customHeight="1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>
        <f>IFERROR(SUMIF(A$6:A169,"&lt;&gt;""",G$6:G169)-SUMIF(A$6:A169,"&lt;&gt;""",H$6:H169),"")</f>
        <v/>
      </c>
      <c r="J169" s="26" t="n"/>
    </row>
    <row r="170" ht="15" customHeight="1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>
        <f>IFERROR(SUMIF(A$6:A170,"&lt;&gt;""",G$6:G170)-SUMIF(A$6:A170,"&lt;&gt;""",H$6:H170),"")</f>
        <v/>
      </c>
      <c r="J170" s="26" t="n"/>
    </row>
    <row r="171" ht="15" customHeight="1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>
        <f>IFERROR(SUMIF(A$6:A171,"&lt;&gt;""",G$6:G171)-SUMIF(A$6:A171,"&lt;&gt;""",H$6:H171),"")</f>
        <v/>
      </c>
      <c r="J171" s="26" t="n"/>
    </row>
    <row r="172" ht="15" customHeight="1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>
        <f>IFERROR(SUMIF(A$6:A172,"&lt;&gt;""",G$6:G172)-SUMIF(A$6:A172,"&lt;&gt;""",H$6:H172),"")</f>
        <v/>
      </c>
      <c r="J172" s="26" t="n"/>
    </row>
    <row r="173" ht="15" customHeight="1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>
        <f>IFERROR(SUMIF(A$6:A173,"&lt;&gt;""",G$6:G173)-SUMIF(A$6:A173,"&lt;&gt;""",H$6:H173),"")</f>
        <v/>
      </c>
      <c r="J173" s="26" t="n"/>
    </row>
    <row r="174" ht="15" customHeight="1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>
        <f>IFERROR(SUMIF(A$6:A174,"&lt;&gt;""",G$6:G174)-SUMIF(A$6:A174,"&lt;&gt;""",H$6:H174),"")</f>
        <v/>
      </c>
      <c r="J174" s="26" t="n"/>
    </row>
    <row r="175" ht="15" customHeight="1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>
        <f>IFERROR(SUMIF(A$6:A175,"&lt;&gt;""",G$6:G175)-SUMIF(A$6:A175,"&lt;&gt;""",H$6:H175),"")</f>
        <v/>
      </c>
      <c r="J175" s="26" t="n"/>
    </row>
    <row r="176" ht="15" customHeight="1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>
        <f>IFERROR(SUMIF(A$6:A176,"&lt;&gt;""",G$6:G176)-SUMIF(A$6:A176,"&lt;&gt;""",H$6:H176),"")</f>
        <v/>
      </c>
      <c r="J176" s="26" t="n"/>
    </row>
    <row r="177" ht="15" customHeight="1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>
        <f>IFERROR(SUMIF(A$6:A177,"&lt;&gt;""",G$6:G177)-SUMIF(A$6:A177,"&lt;&gt;""",H$6:H177),"")</f>
        <v/>
      </c>
      <c r="J177" s="26" t="n"/>
    </row>
    <row r="178" ht="15" customHeight="1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>
        <f>IFERROR(SUMIF(A$6:A178,"&lt;&gt;""",G$6:G178)-SUMIF(A$6:A178,"&lt;&gt;""",H$6:H178),"")</f>
        <v/>
      </c>
      <c r="J178" s="26" t="n"/>
    </row>
    <row r="179" ht="15" customHeight="1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>
        <f>IFERROR(SUMIF(A$6:A179,"&lt;&gt;""",G$6:G179)-SUMIF(A$6:A179,"&lt;&gt;""",H$6:H179),"")</f>
        <v/>
      </c>
      <c r="J179" s="26" t="n"/>
    </row>
    <row r="180" ht="15" customHeight="1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>
        <f>IFERROR(SUMIF(A$6:A180,"&lt;&gt;""",G$6:G180)-SUMIF(A$6:A180,"&lt;&gt;""",H$6:H180),"")</f>
        <v/>
      </c>
      <c r="J180" s="26" t="n"/>
    </row>
    <row r="181" ht="15" customHeight="1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>
        <f>IFERROR(SUMIF(A$6:A181,"&lt;&gt;""",G$6:G181)-SUMIF(A$6:A181,"&lt;&gt;""",H$6:H181),"")</f>
        <v/>
      </c>
      <c r="J181" s="26" t="n"/>
    </row>
    <row r="182" ht="15" customHeight="1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>
        <f>IFERROR(SUMIF(A$6:A182,"&lt;&gt;""",G$6:G182)-SUMIF(A$6:A182,"&lt;&gt;""",H$6:H182),"")</f>
        <v/>
      </c>
      <c r="J182" s="26" t="n"/>
    </row>
    <row r="183" ht="15" customHeight="1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>
        <f>IFERROR(SUMIF(A$6:A183,"&lt;&gt;""",G$6:G183)-SUMIF(A$6:A183,"&lt;&gt;""",H$6:H183),"")</f>
        <v/>
      </c>
      <c r="J183" s="26" t="n"/>
    </row>
    <row r="184" ht="15" customHeight="1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>
        <f>IFERROR(SUMIF(A$6:A184,"&lt;&gt;""",G$6:G184)-SUMIF(A$6:A184,"&lt;&gt;""",H$6:H184),"")</f>
        <v/>
      </c>
      <c r="J184" s="26" t="n"/>
    </row>
    <row r="185" ht="15" customHeight="1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>
        <f>IFERROR(SUMIF(A$6:A185,"&lt;&gt;""",G$6:G185)-SUMIF(A$6:A185,"&lt;&gt;""",H$6:H185),"")</f>
        <v/>
      </c>
      <c r="J185" s="26" t="n"/>
    </row>
    <row r="186" ht="15" customHeight="1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>
        <f>IFERROR(SUMIF(A$6:A186,"&lt;&gt;""",G$6:G186)-SUMIF(A$6:A186,"&lt;&gt;""",H$6:H186),"")</f>
        <v/>
      </c>
      <c r="J186" s="26" t="n"/>
    </row>
    <row r="187" ht="15" customHeight="1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>
        <f>IFERROR(SUMIF(A$6:A187,"&lt;&gt;""",G$6:G187)-SUMIF(A$6:A187,"&lt;&gt;""",H$6:H187),"")</f>
        <v/>
      </c>
      <c r="J187" s="26" t="n"/>
    </row>
    <row r="188" ht="15" customHeight="1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>
        <f>IFERROR(SUMIF(A$6:A188,"&lt;&gt;""",G$6:G188)-SUMIF(A$6:A188,"&lt;&gt;""",H$6:H188),"")</f>
        <v/>
      </c>
      <c r="J188" s="26" t="n"/>
    </row>
    <row r="189" ht="15" customHeight="1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>
        <f>IFERROR(SUMIF(A$6:A189,"&lt;&gt;""",G$6:G189)-SUMIF(A$6:A189,"&lt;&gt;""",H$6:H189),"")</f>
        <v/>
      </c>
      <c r="J189" s="26" t="n"/>
    </row>
    <row r="190" ht="15" customHeight="1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>
        <f>IFERROR(SUMIF(A$6:A190,"&lt;&gt;""",G$6:G190)-SUMIF(A$6:A190,"&lt;&gt;""",H$6:H190),"")</f>
        <v/>
      </c>
      <c r="J190" s="26" t="n"/>
    </row>
    <row r="191" ht="15" customHeight="1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>
        <f>IFERROR(SUMIF(A$6:A191,"&lt;&gt;""",G$6:G191)-SUMIF(A$6:A191,"&lt;&gt;""",H$6:H191),"")</f>
        <v/>
      </c>
      <c r="J191" s="26" t="n"/>
    </row>
    <row r="192" ht="15" customHeight="1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>
        <f>IFERROR(SUMIF(A$6:A192,"&lt;&gt;""",G$6:G192)-SUMIF(A$6:A192,"&lt;&gt;""",H$6:H192),"")</f>
        <v/>
      </c>
      <c r="J192" s="26" t="n"/>
    </row>
    <row r="193" ht="15" customHeight="1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>
        <f>IFERROR(SUMIF(A$6:A193,"&lt;&gt;""",G$6:G193)-SUMIF(A$6:A193,"&lt;&gt;""",H$6:H193),"")</f>
        <v/>
      </c>
      <c r="J193" s="26" t="n"/>
    </row>
    <row r="194" ht="15" customHeight="1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>
        <f>IFERROR(SUMIF(A$6:A194,"&lt;&gt;""",G$6:G194)-SUMIF(A$6:A194,"&lt;&gt;""",H$6:H194),"")</f>
        <v/>
      </c>
      <c r="J194" s="26" t="n"/>
    </row>
    <row r="195" ht="15" customHeight="1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>
        <f>IFERROR(SUMIF(A$6:A195,"&lt;&gt;""",G$6:G195)-SUMIF(A$6:A195,"&lt;&gt;""",H$6:H195),"")</f>
        <v/>
      </c>
      <c r="J195" s="26" t="n"/>
    </row>
    <row r="196" ht="15" customHeight="1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>
        <f>IFERROR(SUMIF(A$6:A196,"&lt;&gt;""",G$6:G196)-SUMIF(A$6:A196,"&lt;&gt;""",H$6:H196),"")</f>
        <v/>
      </c>
      <c r="J196" s="26" t="n"/>
    </row>
    <row r="197" ht="15" customHeight="1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>
        <f>IFERROR(SUMIF(A$6:A197,"&lt;&gt;""",G$6:G197)-SUMIF(A$6:A197,"&lt;&gt;""",H$6:H197),"")</f>
        <v/>
      </c>
      <c r="J197" s="26" t="n"/>
    </row>
    <row r="198" ht="15" customHeight="1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>
        <f>IFERROR(SUMIF(A$6:A198,"&lt;&gt;""",G$6:G198)-SUMIF(A$6:A198,"&lt;&gt;""",H$6:H198),"")</f>
        <v/>
      </c>
      <c r="J198" s="26" t="n"/>
    </row>
    <row r="199" ht="15" customHeight="1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>
        <f>IFERROR(SUMIF(A$6:A199,"&lt;&gt;""",G$6:G199)-SUMIF(A$6:A199,"&lt;&gt;""",H$6:H199),"")</f>
        <v/>
      </c>
      <c r="J199" s="26" t="n"/>
    </row>
    <row r="200" ht="15" customHeight="1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>
        <f>IFERROR(SUMIF(A$6:A200,"&lt;&gt;""",G$6:G200)-SUMIF(A$6:A200,"&lt;&gt;""",H$6:H200),"")</f>
        <v/>
      </c>
      <c r="J200" s="26" t="n"/>
    </row>
    <row r="201" ht="15" customHeight="1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>
        <f>IFERROR(SUMIF(A$6:A201,"&lt;&gt;""",G$6:G201)-SUMIF(A$6:A201,"&lt;&gt;""",H$6:H201),"")</f>
        <v/>
      </c>
      <c r="J201" s="26" t="n"/>
    </row>
    <row r="202" ht="15" customHeight="1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>
        <f>IFERROR(SUMIF(A$6:A202,"&lt;&gt;""",G$6:G202)-SUMIF(A$6:A202,"&lt;&gt;""",H$6:H202),"")</f>
        <v/>
      </c>
      <c r="J202" s="26" t="n"/>
    </row>
    <row r="203" ht="15" customHeight="1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>
        <f>IFERROR(SUMIF(A$6:A203,"&lt;&gt;""",G$6:G203)-SUMIF(A$6:A203,"&lt;&gt;""",H$6:H203),"")</f>
        <v/>
      </c>
      <c r="J203" s="26" t="n"/>
    </row>
    <row r="204" ht="15" customHeight="1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>
        <f>IFERROR(SUMIF(A$6:A204,"&lt;&gt;""",G$6:G204)-SUMIF(A$6:A204,"&lt;&gt;""",H$6:H204),"")</f>
        <v/>
      </c>
      <c r="J204" s="26" t="n"/>
    </row>
    <row r="205" ht="15" customHeight="1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>
        <f>IFERROR(SUMIF(A$6:A205,"&lt;&gt;""",G$6:G205)-SUMIF(A$6:A205,"&lt;&gt;""",H$6:H205),"")</f>
        <v/>
      </c>
      <c r="J205" s="26" t="n"/>
    </row>
    <row r="206" ht="15" customHeight="1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>
        <f>IFERROR(SUMIF(A$6:A206,"&lt;&gt;""",G$6:G206)-SUMIF(A$6:A206,"&lt;&gt;""",H$6:H206),"")</f>
        <v/>
      </c>
      <c r="J206" s="26" t="n"/>
    </row>
    <row r="207" ht="15" customHeight="1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>
        <f>IFERROR(SUMIF(A$6:A207,"&lt;&gt;""",G$6:G207)-SUMIF(A$6:A207,"&lt;&gt;""",H$6:H207),"")</f>
        <v/>
      </c>
      <c r="J207" s="26" t="n"/>
    </row>
    <row r="208" ht="15" customHeight="1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>
        <f>IFERROR(SUMIF(A$6:A208,"&lt;&gt;""",G$6:G208)-SUMIF(A$6:A208,"&lt;&gt;""",H$6:H208),"")</f>
        <v/>
      </c>
      <c r="J208" s="26" t="n"/>
    </row>
    <row r="209" ht="15" customHeight="1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>
        <f>IFERROR(SUMIF(A$6:A209,"&lt;&gt;""",G$6:G209)-SUMIF(A$6:A209,"&lt;&gt;""",H$6:H209),"")</f>
        <v/>
      </c>
      <c r="J209" s="26" t="n"/>
    </row>
    <row r="210" ht="15" customHeight="1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>
        <f>IFERROR(SUMIF(A$6:A210,"&lt;&gt;""",G$6:G210)-SUMIF(A$6:A210,"&lt;&gt;""",H$6:H210),"")</f>
        <v/>
      </c>
      <c r="J210" s="26" t="n"/>
    </row>
    <row r="211" ht="15" customHeight="1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>
        <f>IFERROR(SUMIF(A$6:A211,"&lt;&gt;""",G$6:G211)-SUMIF(A$6:A211,"&lt;&gt;""",H$6:H211),"")</f>
        <v/>
      </c>
      <c r="J211" s="26" t="n"/>
    </row>
    <row r="212" ht="15" customHeight="1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>
        <f>IFERROR(SUMIF(A$6:A212,"&lt;&gt;""",G$6:G212)-SUMIF(A$6:A212,"&lt;&gt;""",H$6:H212),"")</f>
        <v/>
      </c>
      <c r="J212" s="26" t="n"/>
    </row>
    <row r="213" ht="15" customHeight="1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>
        <f>IFERROR(SUMIF(A$6:A213,"&lt;&gt;""",G$6:G213)-SUMIF(A$6:A213,"&lt;&gt;""",H$6:H213),"")</f>
        <v/>
      </c>
      <c r="J213" s="26" t="n"/>
    </row>
    <row r="214" ht="15" customHeight="1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>
        <f>IFERROR(SUMIF(A$6:A214,"&lt;&gt;""",G$6:G214)-SUMIF(A$6:A214,"&lt;&gt;""",H$6:H214),"")</f>
        <v/>
      </c>
      <c r="J214" s="26" t="n"/>
    </row>
    <row r="215" ht="15" customHeight="1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>
        <f>IFERROR(SUMIF(A$6:A215,"&lt;&gt;""",G$6:G215)-SUMIF(A$6:A215,"&lt;&gt;""",H$6:H215),"")</f>
        <v/>
      </c>
      <c r="J215" s="26" t="n"/>
    </row>
    <row r="216" ht="15" customHeight="1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>
        <f>IFERROR(SUMIF(A$6:A216,"&lt;&gt;""",G$6:G216)-SUMIF(A$6:A216,"&lt;&gt;""",H$6:H216),"")</f>
        <v/>
      </c>
      <c r="J216" s="26" t="n"/>
    </row>
    <row r="217" ht="15" customHeight="1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>
        <f>IFERROR(SUMIF(A$6:A217,"&lt;&gt;""",G$6:G217)-SUMIF(A$6:A217,"&lt;&gt;""",H$6:H217),"")</f>
        <v/>
      </c>
      <c r="J217" s="26" t="n"/>
    </row>
    <row r="218" ht="15" customHeight="1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>
        <f>IFERROR(SUMIF(A$6:A218,"&lt;&gt;""",G$6:G218)-SUMIF(A$6:A218,"&lt;&gt;""",H$6:H218),"")</f>
        <v/>
      </c>
      <c r="J218" s="26" t="n"/>
    </row>
    <row r="219" ht="15" customHeight="1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>
        <f>IFERROR(SUMIF(A$6:A219,"&lt;&gt;""",G$6:G219)-SUMIF(A$6:A219,"&lt;&gt;""",H$6:H219),"")</f>
        <v/>
      </c>
      <c r="J219" s="26" t="n"/>
    </row>
    <row r="220" ht="15" customHeight="1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>
        <f>IFERROR(SUMIF(A$6:A220,"&lt;&gt;""",G$6:G220)-SUMIF(A$6:A220,"&lt;&gt;""",H$6:H220),"")</f>
        <v/>
      </c>
      <c r="J220" s="26" t="n"/>
    </row>
    <row r="221" ht="15" customHeight="1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>
        <f>IFERROR(SUMIF(A$6:A221,"&lt;&gt;""",G$6:G221)-SUMIF(A$6:A221,"&lt;&gt;""",H$6:H221),"")</f>
        <v/>
      </c>
      <c r="J221" s="26" t="n"/>
    </row>
    <row r="222" ht="15" customHeight="1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>
        <f>IFERROR(SUMIF(A$6:A222,"&lt;&gt;""",G$6:G222)-SUMIF(A$6:A222,"&lt;&gt;""",H$6:H222),"")</f>
        <v/>
      </c>
      <c r="J222" s="26" t="n"/>
    </row>
    <row r="223" ht="15" customHeight="1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>
        <f>IFERROR(SUMIF(A$6:A223,"&lt;&gt;""",G$6:G223)-SUMIF(A$6:A223,"&lt;&gt;""",H$6:H223),"")</f>
        <v/>
      </c>
      <c r="J223" s="26" t="n"/>
    </row>
    <row r="224" ht="15" customHeight="1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>
        <f>IFERROR(SUMIF(A$6:A224,"&lt;&gt;""",G$6:G224)-SUMIF(A$6:A224,"&lt;&gt;""",H$6:H224),"")</f>
        <v/>
      </c>
      <c r="J224" s="26" t="n"/>
    </row>
    <row r="225" ht="15" customHeight="1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>
        <f>IFERROR(SUMIF(A$6:A225,"&lt;&gt;""",G$6:G225)-SUMIF(A$6:A225,"&lt;&gt;""",H$6:H225),"")</f>
        <v/>
      </c>
      <c r="J225" s="26" t="n"/>
    </row>
    <row r="226" ht="15" customHeight="1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>
        <f>IFERROR(SUMIF(A$6:A226,"&lt;&gt;""",G$6:G226)-SUMIF(A$6:A226,"&lt;&gt;""",H$6:H226),"")</f>
        <v/>
      </c>
      <c r="J226" s="26" t="n"/>
    </row>
    <row r="227" ht="15" customHeight="1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>
        <f>IFERROR(SUMIF(A$6:A227,"&lt;&gt;""",G$6:G227)-SUMIF(A$6:A227,"&lt;&gt;""",H$6:H227),"")</f>
        <v/>
      </c>
      <c r="J227" s="26" t="n"/>
    </row>
    <row r="228" ht="15" customHeight="1">
      <c r="A228" s="26" t="n"/>
      <c r="B228" s="26" t="n"/>
      <c r="C228" s="26" t="n"/>
      <c r="D228" s="26" t="n"/>
      <c r="E228" s="26" t="n"/>
      <c r="F228" s="26" t="n"/>
      <c r="G228" s="26" t="n"/>
      <c r="H228" s="26" t="n"/>
      <c r="I228" s="26">
        <f>IFERROR(SUMIF(A$6:A228,"&lt;&gt;""",G$6:G228)-SUMIF(A$6:A228,"&lt;&gt;""",H$6:H228),"")</f>
        <v/>
      </c>
      <c r="J228" s="26" t="n"/>
    </row>
    <row r="229" ht="15" customHeight="1">
      <c r="A229" s="26" t="n"/>
      <c r="B229" s="26" t="n"/>
      <c r="C229" s="26" t="n"/>
      <c r="D229" s="26" t="n"/>
      <c r="E229" s="26" t="n"/>
      <c r="F229" s="26" t="n"/>
      <c r="G229" s="26" t="n"/>
      <c r="H229" s="26" t="n"/>
      <c r="I229" s="26">
        <f>IFERROR(SUMIF(A$6:A229,"&lt;&gt;""",G$6:G229)-SUMIF(A$6:A229,"&lt;&gt;""",H$6:H229),"")</f>
        <v/>
      </c>
      <c r="J229" s="26" t="n"/>
    </row>
    <row r="230" ht="15" customHeight="1">
      <c r="A230" s="26" t="n"/>
      <c r="B230" s="26" t="n"/>
      <c r="C230" s="26" t="n"/>
      <c r="D230" s="26" t="n"/>
      <c r="E230" s="26" t="n"/>
      <c r="F230" s="26" t="n"/>
      <c r="G230" s="26" t="n"/>
      <c r="H230" s="26" t="n"/>
      <c r="I230" s="26">
        <f>IFERROR(SUMIF(A$6:A230,"&lt;&gt;""",G$6:G230)-SUMIF(A$6:A230,"&lt;&gt;""",H$6:H230),"")</f>
        <v/>
      </c>
      <c r="J230" s="26" t="n"/>
    </row>
    <row r="231" ht="15" customHeight="1">
      <c r="A231" s="26" t="n"/>
      <c r="B231" s="26" t="n"/>
      <c r="C231" s="26" t="n"/>
      <c r="D231" s="26" t="n"/>
      <c r="E231" s="26" t="n"/>
      <c r="F231" s="26" t="n"/>
      <c r="G231" s="26" t="n"/>
      <c r="H231" s="26" t="n"/>
      <c r="I231" s="26">
        <f>IFERROR(SUMIF(A$6:A231,"&lt;&gt;""",G$6:G231)-SUMIF(A$6:A231,"&lt;&gt;""",H$6:H231),"")</f>
        <v/>
      </c>
      <c r="J231" s="26" t="n"/>
    </row>
    <row r="232" ht="15" customHeight="1">
      <c r="A232" s="26" t="n"/>
      <c r="B232" s="26" t="n"/>
      <c r="C232" s="26" t="n"/>
      <c r="D232" s="26" t="n"/>
      <c r="E232" s="26" t="n"/>
      <c r="F232" s="26" t="n"/>
      <c r="G232" s="26" t="n"/>
      <c r="H232" s="26" t="n"/>
      <c r="I232" s="26">
        <f>IFERROR(SUMIF(A$6:A232,"&lt;&gt;""",G$6:G232)-SUMIF(A$6:A232,"&lt;&gt;""",H$6:H232),"")</f>
        <v/>
      </c>
      <c r="J232" s="26" t="n"/>
    </row>
    <row r="233" ht="15" customHeight="1">
      <c r="A233" s="26" t="n"/>
      <c r="B233" s="26" t="n"/>
      <c r="C233" s="26" t="n"/>
      <c r="D233" s="26" t="n"/>
      <c r="E233" s="26" t="n"/>
      <c r="F233" s="26" t="n"/>
      <c r="G233" s="26" t="n"/>
      <c r="H233" s="26" t="n"/>
      <c r="I233" s="26">
        <f>IFERROR(SUMIF(A$6:A233,"&lt;&gt;""",G$6:G233)-SUMIF(A$6:A233,"&lt;&gt;""",H$6:H233),"")</f>
        <v/>
      </c>
      <c r="J233" s="26" t="n"/>
    </row>
    <row r="234" ht="15" customHeight="1">
      <c r="A234" s="26" t="n"/>
      <c r="B234" s="26" t="n"/>
      <c r="C234" s="26" t="n"/>
      <c r="D234" s="26" t="n"/>
      <c r="E234" s="26" t="n"/>
      <c r="F234" s="26" t="n"/>
      <c r="G234" s="26" t="n"/>
      <c r="H234" s="26" t="n"/>
      <c r="I234" s="26">
        <f>IFERROR(SUMIF(A$6:A234,"&lt;&gt;""",G$6:G234)-SUMIF(A$6:A234,"&lt;&gt;""",H$6:H234),"")</f>
        <v/>
      </c>
      <c r="J234" s="26" t="n"/>
    </row>
    <row r="235" ht="15" customHeight="1">
      <c r="A235" s="26" t="n"/>
      <c r="B235" s="26" t="n"/>
      <c r="C235" s="26" t="n"/>
      <c r="D235" s="26" t="n"/>
      <c r="E235" s="26" t="n"/>
      <c r="F235" s="26" t="n"/>
      <c r="G235" s="26" t="n"/>
      <c r="H235" s="26" t="n"/>
      <c r="I235" s="26">
        <f>IFERROR(SUMIF(A$6:A235,"&lt;&gt;""",G$6:G235)-SUMIF(A$6:A235,"&lt;&gt;""",H$6:H235),"")</f>
        <v/>
      </c>
      <c r="J235" s="26" t="n"/>
    </row>
    <row r="236" ht="15" customHeight="1">
      <c r="A236" s="26" t="n"/>
      <c r="B236" s="26" t="n"/>
      <c r="C236" s="26" t="n"/>
      <c r="D236" s="26" t="n"/>
      <c r="E236" s="26" t="n"/>
      <c r="F236" s="26" t="n"/>
      <c r="G236" s="26" t="n"/>
      <c r="H236" s="26" t="n"/>
      <c r="I236" s="26">
        <f>IFERROR(SUMIF(A$6:A236,"&lt;&gt;""",G$6:G236)-SUMIF(A$6:A236,"&lt;&gt;""",H$6:H236),"")</f>
        <v/>
      </c>
      <c r="J236" s="26" t="n"/>
    </row>
    <row r="237" ht="15" customHeight="1">
      <c r="A237" s="26" t="n"/>
      <c r="B237" s="26" t="n"/>
      <c r="C237" s="26" t="n"/>
      <c r="D237" s="26" t="n"/>
      <c r="E237" s="26" t="n"/>
      <c r="F237" s="26" t="n"/>
      <c r="G237" s="26" t="n"/>
      <c r="H237" s="26" t="n"/>
      <c r="I237" s="26">
        <f>IFERROR(SUMIF(A$6:A237,"&lt;&gt;""",G$6:G237)-SUMIF(A$6:A237,"&lt;&gt;""",H$6:H237),"")</f>
        <v/>
      </c>
      <c r="J237" s="26" t="n"/>
    </row>
    <row r="238" ht="15" customHeight="1">
      <c r="A238" s="26" t="n"/>
      <c r="B238" s="26" t="n"/>
      <c r="C238" s="26" t="n"/>
      <c r="D238" s="26" t="n"/>
      <c r="E238" s="26" t="n"/>
      <c r="F238" s="26" t="n"/>
      <c r="G238" s="26" t="n"/>
      <c r="H238" s="26" t="n"/>
      <c r="I238" s="26">
        <f>IFERROR(SUMIF(A$6:A238,"&lt;&gt;""",G$6:G238)-SUMIF(A$6:A238,"&lt;&gt;""",H$6:H238),"")</f>
        <v/>
      </c>
      <c r="J238" s="26" t="n"/>
    </row>
    <row r="239" ht="15" customHeight="1">
      <c r="A239" s="26" t="n"/>
      <c r="B239" s="26" t="n"/>
      <c r="C239" s="26" t="n"/>
      <c r="D239" s="26" t="n"/>
      <c r="E239" s="26" t="n"/>
      <c r="F239" s="26" t="n"/>
      <c r="G239" s="26" t="n"/>
      <c r="H239" s="26" t="n"/>
      <c r="I239" s="26">
        <f>IFERROR(SUMIF(A$6:A239,"&lt;&gt;""",G$6:G239)-SUMIF(A$6:A239,"&lt;&gt;""",H$6:H239),"")</f>
        <v/>
      </c>
      <c r="J239" s="26" t="n"/>
    </row>
    <row r="240" ht="15" customHeight="1">
      <c r="A240" s="26" t="n"/>
      <c r="B240" s="26" t="n"/>
      <c r="C240" s="26" t="n"/>
      <c r="D240" s="26" t="n"/>
      <c r="E240" s="26" t="n"/>
      <c r="F240" s="26" t="n"/>
      <c r="G240" s="26" t="n"/>
      <c r="H240" s="26" t="n"/>
      <c r="I240" s="26">
        <f>IFERROR(SUMIF(A$6:A240,"&lt;&gt;""",G$6:G240)-SUMIF(A$6:A240,"&lt;&gt;""",H$6:H240),"")</f>
        <v/>
      </c>
      <c r="J240" s="26" t="n"/>
    </row>
    <row r="241" ht="15" customHeight="1">
      <c r="A241" s="26" t="n"/>
      <c r="B241" s="26" t="n"/>
      <c r="C241" s="26" t="n"/>
      <c r="D241" s="26" t="n"/>
      <c r="E241" s="26" t="n"/>
      <c r="F241" s="26" t="n"/>
      <c r="G241" s="26" t="n"/>
      <c r="H241" s="26" t="n"/>
      <c r="I241" s="26">
        <f>IFERROR(SUMIF(A$6:A241,"&lt;&gt;""",G$6:G241)-SUMIF(A$6:A241,"&lt;&gt;""",H$6:H241),"")</f>
        <v/>
      </c>
      <c r="J241" s="26" t="n"/>
    </row>
    <row r="242" ht="15" customHeight="1">
      <c r="A242" s="26" t="n"/>
      <c r="B242" s="26" t="n"/>
      <c r="C242" s="26" t="n"/>
      <c r="D242" s="26" t="n"/>
      <c r="E242" s="26" t="n"/>
      <c r="F242" s="26" t="n"/>
      <c r="G242" s="26" t="n"/>
      <c r="H242" s="26" t="n"/>
      <c r="I242" s="26">
        <f>IFERROR(SUMIF(A$6:A242,"&lt;&gt;""",G$6:G242)-SUMIF(A$6:A242,"&lt;&gt;""",H$6:H242),"")</f>
        <v/>
      </c>
      <c r="J242" s="26" t="n"/>
    </row>
    <row r="243" ht="15" customHeight="1">
      <c r="A243" s="26" t="n"/>
      <c r="B243" s="26" t="n"/>
      <c r="C243" s="26" t="n"/>
      <c r="D243" s="26" t="n"/>
      <c r="E243" s="26" t="n"/>
      <c r="F243" s="26" t="n"/>
      <c r="G243" s="26" t="n"/>
      <c r="H243" s="26" t="n"/>
      <c r="I243" s="26">
        <f>IFERROR(SUMIF(A$6:A243,"&lt;&gt;""",G$6:G243)-SUMIF(A$6:A243,"&lt;&gt;""",H$6:H243),"")</f>
        <v/>
      </c>
      <c r="J243" s="26" t="n"/>
    </row>
    <row r="244" ht="15" customHeight="1">
      <c r="A244" s="26" t="n"/>
      <c r="B244" s="26" t="n"/>
      <c r="C244" s="26" t="n"/>
      <c r="D244" s="26" t="n"/>
      <c r="E244" s="26" t="n"/>
      <c r="F244" s="26" t="n"/>
      <c r="G244" s="26" t="n"/>
      <c r="H244" s="26" t="n"/>
      <c r="I244" s="26">
        <f>IFERROR(SUMIF(A$6:A244,"&lt;&gt;""",G$6:G244)-SUMIF(A$6:A244,"&lt;&gt;""",H$6:H244),"")</f>
        <v/>
      </c>
      <c r="J244" s="26" t="n"/>
    </row>
    <row r="245" ht="15" customHeight="1">
      <c r="A245" s="26" t="n"/>
      <c r="B245" s="26" t="n"/>
      <c r="C245" s="26" t="n"/>
      <c r="D245" s="26" t="n"/>
      <c r="E245" s="26" t="n"/>
      <c r="F245" s="26" t="n"/>
      <c r="G245" s="26" t="n"/>
      <c r="H245" s="26" t="n"/>
      <c r="I245" s="26">
        <f>IFERROR(SUMIF(A$6:A245,"&lt;&gt;""",G$6:G245)-SUMIF(A$6:A245,"&lt;&gt;""",H$6:H245),"")</f>
        <v/>
      </c>
      <c r="J245" s="26" t="n"/>
    </row>
    <row r="246" ht="15" customHeight="1">
      <c r="A246" s="26" t="n"/>
      <c r="B246" s="26" t="n"/>
      <c r="C246" s="26" t="n"/>
      <c r="D246" s="26" t="n"/>
      <c r="E246" s="26" t="n"/>
      <c r="F246" s="26" t="n"/>
      <c r="G246" s="26" t="n"/>
      <c r="H246" s="26" t="n"/>
      <c r="I246" s="26">
        <f>IFERROR(SUMIF(A$6:A246,"&lt;&gt;""",G$6:G246)-SUMIF(A$6:A246,"&lt;&gt;""",H$6:H246),"")</f>
        <v/>
      </c>
      <c r="J246" s="26" t="n"/>
    </row>
    <row r="247" ht="15" customHeight="1">
      <c r="A247" s="26" t="n"/>
      <c r="B247" s="26" t="n"/>
      <c r="C247" s="26" t="n"/>
      <c r="D247" s="26" t="n"/>
      <c r="E247" s="26" t="n"/>
      <c r="F247" s="26" t="n"/>
      <c r="G247" s="26" t="n"/>
      <c r="H247" s="26" t="n"/>
      <c r="I247" s="26">
        <f>IFERROR(SUMIF(A$6:A247,"&lt;&gt;""",G$6:G247)-SUMIF(A$6:A247,"&lt;&gt;""",H$6:H247),"")</f>
        <v/>
      </c>
      <c r="J247" s="26" t="n"/>
    </row>
    <row r="248" ht="15" customHeight="1">
      <c r="A248" s="26" t="n"/>
      <c r="B248" s="26" t="n"/>
      <c r="C248" s="26" t="n"/>
      <c r="D248" s="26" t="n"/>
      <c r="E248" s="26" t="n"/>
      <c r="F248" s="26" t="n"/>
      <c r="G248" s="26" t="n"/>
      <c r="H248" s="26" t="n"/>
      <c r="I248" s="26">
        <f>IFERROR(SUMIF(A$6:A248,"&lt;&gt;""",G$6:G248)-SUMIF(A$6:A248,"&lt;&gt;""",H$6:H248),"")</f>
        <v/>
      </c>
      <c r="J248" s="26" t="n"/>
    </row>
    <row r="249" ht="15" customHeight="1">
      <c r="A249" s="26" t="n"/>
      <c r="B249" s="26" t="n"/>
      <c r="C249" s="26" t="n"/>
      <c r="D249" s="26" t="n"/>
      <c r="E249" s="26" t="n"/>
      <c r="F249" s="26" t="n"/>
      <c r="G249" s="26" t="n"/>
      <c r="H249" s="26" t="n"/>
      <c r="I249" s="26">
        <f>IFERROR(SUMIF(A$6:A249,"&lt;&gt;""",G$6:G249)-SUMIF(A$6:A249,"&lt;&gt;""",H$6:H249),"")</f>
        <v/>
      </c>
      <c r="J249" s="26" t="n"/>
    </row>
    <row r="250" ht="15" customHeight="1">
      <c r="A250" s="26" t="n"/>
      <c r="B250" s="26" t="n"/>
      <c r="C250" s="26" t="n"/>
      <c r="D250" s="26" t="n"/>
      <c r="E250" s="26" t="n"/>
      <c r="F250" s="26" t="n"/>
      <c r="G250" s="26" t="n"/>
      <c r="H250" s="26" t="n"/>
      <c r="I250" s="26">
        <f>IFERROR(SUMIF(A$6:A250,"&lt;&gt;""",G$6:G250)-SUMIF(A$6:A250,"&lt;&gt;""",H$6:H250),"")</f>
        <v/>
      </c>
      <c r="J250" s="26" t="n"/>
    </row>
    <row r="251" ht="15" customHeight="1">
      <c r="A251" s="26" t="n"/>
      <c r="B251" s="26" t="n"/>
      <c r="C251" s="26" t="n"/>
      <c r="D251" s="26" t="n"/>
      <c r="E251" s="26" t="n"/>
      <c r="F251" s="26" t="n"/>
      <c r="G251" s="26" t="n"/>
      <c r="H251" s="26" t="n"/>
      <c r="I251" s="26">
        <f>IFERROR(SUMIF(A$6:A251,"&lt;&gt;""",G$6:G251)-SUMIF(A$6:A251,"&lt;&gt;""",H$6:H251),"")</f>
        <v/>
      </c>
      <c r="J251" s="26" t="n"/>
    </row>
    <row r="252" ht="15" customHeight="1">
      <c r="A252" s="26" t="n"/>
      <c r="B252" s="26" t="n"/>
      <c r="C252" s="26" t="n"/>
      <c r="D252" s="26" t="n"/>
      <c r="E252" s="26" t="n"/>
      <c r="F252" s="26" t="n"/>
      <c r="G252" s="26" t="n"/>
      <c r="H252" s="26" t="n"/>
      <c r="I252" s="26">
        <f>IFERROR(SUMIF(A$6:A252,"&lt;&gt;""",G$6:G252)-SUMIF(A$6:A252,"&lt;&gt;""",H$6:H252),"")</f>
        <v/>
      </c>
      <c r="J252" s="26" t="n"/>
    </row>
    <row r="253" ht="15" customHeight="1">
      <c r="A253" s="26" t="n"/>
      <c r="B253" s="26" t="n"/>
      <c r="C253" s="26" t="n"/>
      <c r="D253" s="26" t="n"/>
      <c r="E253" s="26" t="n"/>
      <c r="F253" s="26" t="n"/>
      <c r="G253" s="26" t="n"/>
      <c r="H253" s="26" t="n"/>
      <c r="I253" s="26">
        <f>IFERROR(SUMIF(A$6:A253,"&lt;&gt;""",G$6:G253)-SUMIF(A$6:A253,"&lt;&gt;""",H$6:H253),"")</f>
        <v/>
      </c>
      <c r="J253" s="26" t="n"/>
    </row>
    <row r="254" ht="15" customHeight="1">
      <c r="A254" s="26" t="n"/>
      <c r="B254" s="26" t="n"/>
      <c r="C254" s="26" t="n"/>
      <c r="D254" s="26" t="n"/>
      <c r="E254" s="26" t="n"/>
      <c r="F254" s="26" t="n"/>
      <c r="G254" s="26" t="n"/>
      <c r="H254" s="26" t="n"/>
      <c r="I254" s="26">
        <f>IFERROR(SUMIF(A$6:A254,"&lt;&gt;""",G$6:G254)-SUMIF(A$6:A254,"&lt;&gt;""",H$6:H254),"")</f>
        <v/>
      </c>
      <c r="J254" s="26" t="n"/>
    </row>
    <row r="255" ht="15" customHeight="1">
      <c r="A255" s="26" t="n"/>
      <c r="B255" s="26" t="n"/>
      <c r="C255" s="26" t="n"/>
      <c r="D255" s="26" t="n"/>
      <c r="E255" s="26" t="n"/>
      <c r="F255" s="26" t="n"/>
      <c r="G255" s="26" t="n"/>
      <c r="H255" s="26" t="n"/>
      <c r="I255" s="26">
        <f>IFERROR(SUMIF(A$6:A255,"&lt;&gt;""",G$6:G255)-SUMIF(A$6:A255,"&lt;&gt;""",H$6:H255),"")</f>
        <v/>
      </c>
      <c r="J255" s="26" t="n"/>
    </row>
    <row r="256" ht="15" customHeight="1">
      <c r="A256" s="26" t="n"/>
      <c r="B256" s="26" t="n"/>
      <c r="C256" s="26" t="n"/>
      <c r="D256" s="26" t="n"/>
      <c r="E256" s="26" t="n"/>
      <c r="F256" s="26" t="n"/>
      <c r="G256" s="26" t="n"/>
      <c r="H256" s="26" t="n"/>
      <c r="I256" s="26">
        <f>IFERROR(SUMIF(A$6:A256,"&lt;&gt;""",G$6:G256)-SUMIF(A$6:A256,"&lt;&gt;""",H$6:H256),"")</f>
        <v/>
      </c>
      <c r="J256" s="26" t="n"/>
    </row>
    <row r="257" ht="15" customHeight="1">
      <c r="A257" s="26" t="n"/>
      <c r="B257" s="26" t="n"/>
      <c r="C257" s="26" t="n"/>
      <c r="D257" s="26" t="n"/>
      <c r="E257" s="26" t="n"/>
      <c r="F257" s="26" t="n"/>
      <c r="G257" s="26" t="n"/>
      <c r="H257" s="26" t="n"/>
      <c r="I257" s="26">
        <f>IFERROR(SUMIF(A$6:A257,"&lt;&gt;""",G$6:G257)-SUMIF(A$6:A257,"&lt;&gt;""",H$6:H257),"")</f>
        <v/>
      </c>
      <c r="J257" s="26" t="n"/>
    </row>
    <row r="258" ht="15" customHeight="1">
      <c r="A258" s="26" t="n"/>
      <c r="B258" s="26" t="n"/>
      <c r="C258" s="26" t="n"/>
      <c r="D258" s="26" t="n"/>
      <c r="E258" s="26" t="n"/>
      <c r="F258" s="26" t="n"/>
      <c r="G258" s="26" t="n"/>
      <c r="H258" s="26" t="n"/>
      <c r="I258" s="26">
        <f>IFERROR(SUMIF(A$6:A258,"&lt;&gt;""",G$6:G258)-SUMIF(A$6:A258,"&lt;&gt;""",H$6:H258),"")</f>
        <v/>
      </c>
      <c r="J258" s="26" t="n"/>
    </row>
    <row r="259" ht="15" customHeight="1">
      <c r="A259" s="26" t="n"/>
      <c r="B259" s="26" t="n"/>
      <c r="C259" s="26" t="n"/>
      <c r="D259" s="26" t="n"/>
      <c r="E259" s="26" t="n"/>
      <c r="F259" s="26" t="n"/>
      <c r="G259" s="26" t="n"/>
      <c r="H259" s="26" t="n"/>
      <c r="I259" s="26">
        <f>IFERROR(SUMIF(A$6:A259,"&lt;&gt;""",G$6:G259)-SUMIF(A$6:A259,"&lt;&gt;""",H$6:H259),"")</f>
        <v/>
      </c>
      <c r="J259" s="26" t="n"/>
    </row>
    <row r="260" ht="15" customHeight="1">
      <c r="A260" s="26" t="n"/>
      <c r="B260" s="26" t="n"/>
      <c r="C260" s="26" t="n"/>
      <c r="D260" s="26" t="n"/>
      <c r="E260" s="26" t="n"/>
      <c r="F260" s="26" t="n"/>
      <c r="G260" s="26" t="n"/>
      <c r="H260" s="26" t="n"/>
      <c r="I260" s="26">
        <f>IFERROR(SUMIF(A$6:A260,"&lt;&gt;""",G$6:G260)-SUMIF(A$6:A260,"&lt;&gt;""",H$6:H260),"")</f>
        <v/>
      </c>
      <c r="J260" s="26" t="n"/>
    </row>
    <row r="261" ht="15" customHeight="1">
      <c r="A261" s="26" t="n"/>
      <c r="B261" s="26" t="n"/>
      <c r="C261" s="26" t="n"/>
      <c r="D261" s="26" t="n"/>
      <c r="E261" s="26" t="n"/>
      <c r="F261" s="26" t="n"/>
      <c r="G261" s="26" t="n"/>
      <c r="H261" s="26" t="n"/>
      <c r="I261" s="26">
        <f>IFERROR(SUMIF(A$6:A261,"&lt;&gt;""",G$6:G261)-SUMIF(A$6:A261,"&lt;&gt;""",H$6:H261),"")</f>
        <v/>
      </c>
      <c r="J261" s="26" t="n"/>
    </row>
    <row r="262" ht="15" customHeight="1">
      <c r="A262" s="26" t="n"/>
      <c r="B262" s="26" t="n"/>
      <c r="C262" s="26" t="n"/>
      <c r="D262" s="26" t="n"/>
      <c r="E262" s="26" t="n"/>
      <c r="F262" s="26" t="n"/>
      <c r="G262" s="26" t="n"/>
      <c r="H262" s="26" t="n"/>
      <c r="I262" s="26">
        <f>IFERROR(SUMIF(A$6:A262,"&lt;&gt;""",G$6:G262)-SUMIF(A$6:A262,"&lt;&gt;""",H$6:H262),"")</f>
        <v/>
      </c>
      <c r="J262" s="26" t="n"/>
    </row>
    <row r="263" ht="15" customHeight="1">
      <c r="A263" s="26" t="n"/>
      <c r="B263" s="26" t="n"/>
      <c r="C263" s="26" t="n"/>
      <c r="D263" s="26" t="n"/>
      <c r="E263" s="26" t="n"/>
      <c r="F263" s="26" t="n"/>
      <c r="G263" s="26" t="n"/>
      <c r="H263" s="26" t="n"/>
      <c r="I263" s="26">
        <f>IFERROR(SUMIF(A$6:A263,"&lt;&gt;""",G$6:G263)-SUMIF(A$6:A263,"&lt;&gt;""",H$6:H263),"")</f>
        <v/>
      </c>
      <c r="J263" s="26" t="n"/>
    </row>
    <row r="264" ht="15" customHeight="1">
      <c r="A264" s="26" t="n"/>
      <c r="B264" s="26" t="n"/>
      <c r="C264" s="26" t="n"/>
      <c r="D264" s="26" t="n"/>
      <c r="E264" s="26" t="n"/>
      <c r="F264" s="26" t="n"/>
      <c r="G264" s="26" t="n"/>
      <c r="H264" s="26" t="n"/>
      <c r="I264" s="26">
        <f>IFERROR(SUMIF(A$6:A264,"&lt;&gt;""",G$6:G264)-SUMIF(A$6:A264,"&lt;&gt;""",H$6:H264),"")</f>
        <v/>
      </c>
      <c r="J264" s="26" t="n"/>
    </row>
    <row r="265" ht="15" customHeight="1">
      <c r="A265" s="26" t="n"/>
      <c r="B265" s="26" t="n"/>
      <c r="C265" s="26" t="n"/>
      <c r="D265" s="26" t="n"/>
      <c r="E265" s="26" t="n"/>
      <c r="F265" s="26" t="n"/>
      <c r="G265" s="26" t="n"/>
      <c r="H265" s="26" t="n"/>
      <c r="I265" s="26">
        <f>IFERROR(SUMIF(A$6:A265,"&lt;&gt;""",G$6:G265)-SUMIF(A$6:A265,"&lt;&gt;""",H$6:H265),"")</f>
        <v/>
      </c>
      <c r="J265" s="26" t="n"/>
    </row>
    <row r="266" ht="15" customHeight="1">
      <c r="A266" s="26" t="n"/>
      <c r="B266" s="26" t="n"/>
      <c r="C266" s="26" t="n"/>
      <c r="D266" s="26" t="n"/>
      <c r="E266" s="26" t="n"/>
      <c r="F266" s="26" t="n"/>
      <c r="G266" s="26" t="n"/>
      <c r="H266" s="26" t="n"/>
      <c r="I266" s="26">
        <f>IFERROR(SUMIF(A$6:A266,"&lt;&gt;""",G$6:G266)-SUMIF(A$6:A266,"&lt;&gt;""",H$6:H266),"")</f>
        <v/>
      </c>
      <c r="J266" s="26" t="n"/>
    </row>
    <row r="267" ht="15" customHeight="1">
      <c r="A267" s="26" t="n"/>
      <c r="B267" s="26" t="n"/>
      <c r="C267" s="26" t="n"/>
      <c r="D267" s="26" t="n"/>
      <c r="E267" s="26" t="n"/>
      <c r="F267" s="26" t="n"/>
      <c r="G267" s="26" t="n"/>
      <c r="H267" s="26" t="n"/>
      <c r="I267" s="26">
        <f>IFERROR(SUMIF(A$6:A267,"&lt;&gt;""",G$6:G267)-SUMIF(A$6:A267,"&lt;&gt;""",H$6:H267),"")</f>
        <v/>
      </c>
      <c r="J267" s="26" t="n"/>
    </row>
    <row r="268" ht="15" customHeight="1">
      <c r="A268" s="26" t="n"/>
      <c r="B268" s="26" t="n"/>
      <c r="C268" s="26" t="n"/>
      <c r="D268" s="26" t="n"/>
      <c r="E268" s="26" t="n"/>
      <c r="F268" s="26" t="n"/>
      <c r="G268" s="26" t="n"/>
      <c r="H268" s="26" t="n"/>
      <c r="I268" s="26">
        <f>IFERROR(SUMIF(A$6:A268,"&lt;&gt;""",G$6:G268)-SUMIF(A$6:A268,"&lt;&gt;""",H$6:H268),"")</f>
        <v/>
      </c>
      <c r="J268" s="26" t="n"/>
    </row>
    <row r="269" ht="15" customHeight="1">
      <c r="A269" s="26" t="n"/>
      <c r="B269" s="26" t="n"/>
      <c r="C269" s="26" t="n"/>
      <c r="D269" s="26" t="n"/>
      <c r="E269" s="26" t="n"/>
      <c r="F269" s="26" t="n"/>
      <c r="G269" s="26" t="n"/>
      <c r="H269" s="26" t="n"/>
      <c r="I269" s="26">
        <f>IFERROR(SUMIF(A$6:A269,"&lt;&gt;""",G$6:G269)-SUMIF(A$6:A269,"&lt;&gt;""",H$6:H269),"")</f>
        <v/>
      </c>
      <c r="J269" s="26" t="n"/>
    </row>
    <row r="270" ht="15" customHeight="1">
      <c r="A270" s="26" t="n"/>
      <c r="B270" s="26" t="n"/>
      <c r="C270" s="26" t="n"/>
      <c r="D270" s="26" t="n"/>
      <c r="E270" s="26" t="n"/>
      <c r="F270" s="26" t="n"/>
      <c r="G270" s="26" t="n"/>
      <c r="H270" s="26" t="n"/>
      <c r="I270" s="26">
        <f>IFERROR(SUMIF(A$6:A270,"&lt;&gt;""",G$6:G270)-SUMIF(A$6:A270,"&lt;&gt;""",H$6:H270),"")</f>
        <v/>
      </c>
      <c r="J270" s="26" t="n"/>
    </row>
    <row r="271" ht="15" customHeight="1">
      <c r="A271" s="26" t="n"/>
      <c r="B271" s="26" t="n"/>
      <c r="C271" s="26" t="n"/>
      <c r="D271" s="26" t="n"/>
      <c r="E271" s="26" t="n"/>
      <c r="F271" s="26" t="n"/>
      <c r="G271" s="26" t="n"/>
      <c r="H271" s="26" t="n"/>
      <c r="I271" s="26">
        <f>IFERROR(SUMIF(A$6:A271,"&lt;&gt;""",G$6:G271)-SUMIF(A$6:A271,"&lt;&gt;""",H$6:H271),"")</f>
        <v/>
      </c>
      <c r="J271" s="26" t="n"/>
    </row>
    <row r="272" ht="15" customHeight="1">
      <c r="A272" s="26" t="n"/>
      <c r="B272" s="26" t="n"/>
      <c r="C272" s="26" t="n"/>
      <c r="D272" s="26" t="n"/>
      <c r="E272" s="26" t="n"/>
      <c r="F272" s="26" t="n"/>
      <c r="G272" s="26" t="n"/>
      <c r="H272" s="26" t="n"/>
      <c r="I272" s="26">
        <f>IFERROR(SUMIF(A$6:A272,"&lt;&gt;""",G$6:G272)-SUMIF(A$6:A272,"&lt;&gt;""",H$6:H272),"")</f>
        <v/>
      </c>
      <c r="J272" s="26" t="n"/>
    </row>
    <row r="273" ht="15" customHeight="1">
      <c r="A273" s="26" t="n"/>
      <c r="B273" s="26" t="n"/>
      <c r="C273" s="26" t="n"/>
      <c r="D273" s="26" t="n"/>
      <c r="E273" s="26" t="n"/>
      <c r="F273" s="26" t="n"/>
      <c r="G273" s="26" t="n"/>
      <c r="H273" s="26" t="n"/>
      <c r="I273" s="26">
        <f>IFERROR(SUMIF(A$6:A273,"&lt;&gt;""",G$6:G273)-SUMIF(A$6:A273,"&lt;&gt;""",H$6:H273),"")</f>
        <v/>
      </c>
      <c r="J273" s="26" t="n"/>
    </row>
    <row r="274" ht="15" customHeight="1">
      <c r="A274" s="26" t="n"/>
      <c r="B274" s="26" t="n"/>
      <c r="C274" s="26" t="n"/>
      <c r="D274" s="26" t="n"/>
      <c r="E274" s="26" t="n"/>
      <c r="F274" s="26" t="n"/>
      <c r="G274" s="26" t="n"/>
      <c r="H274" s="26" t="n"/>
      <c r="I274" s="26">
        <f>IFERROR(SUMIF(A$6:A274,"&lt;&gt;""",G$6:G274)-SUMIF(A$6:A274,"&lt;&gt;""",H$6:H274),"")</f>
        <v/>
      </c>
      <c r="J274" s="26" t="n"/>
    </row>
    <row r="275" ht="15" customHeight="1">
      <c r="A275" s="26" t="n"/>
      <c r="B275" s="26" t="n"/>
      <c r="C275" s="26" t="n"/>
      <c r="D275" s="26" t="n"/>
      <c r="E275" s="26" t="n"/>
      <c r="F275" s="26" t="n"/>
      <c r="G275" s="26" t="n"/>
      <c r="H275" s="26" t="n"/>
      <c r="I275" s="26">
        <f>IFERROR(SUMIF(A$6:A275,"&lt;&gt;""",G$6:G275)-SUMIF(A$6:A275,"&lt;&gt;""",H$6:H275),"")</f>
        <v/>
      </c>
      <c r="J275" s="26" t="n"/>
    </row>
    <row r="276" ht="15" customHeight="1">
      <c r="A276" s="26" t="n"/>
      <c r="B276" s="26" t="n"/>
      <c r="C276" s="26" t="n"/>
      <c r="D276" s="26" t="n"/>
      <c r="E276" s="26" t="n"/>
      <c r="F276" s="26" t="n"/>
      <c r="G276" s="26" t="n"/>
      <c r="H276" s="26" t="n"/>
      <c r="I276" s="26">
        <f>IFERROR(SUMIF(A$6:A276,"&lt;&gt;""",G$6:G276)-SUMIF(A$6:A276,"&lt;&gt;""",H$6:H276),"")</f>
        <v/>
      </c>
      <c r="J276" s="26" t="n"/>
    </row>
    <row r="277" ht="15" customHeight="1">
      <c r="A277" s="26" t="n"/>
      <c r="B277" s="26" t="n"/>
      <c r="C277" s="26" t="n"/>
      <c r="D277" s="26" t="n"/>
      <c r="E277" s="26" t="n"/>
      <c r="F277" s="26" t="n"/>
      <c r="G277" s="26" t="n"/>
      <c r="H277" s="26" t="n"/>
      <c r="I277" s="26">
        <f>IFERROR(SUMIF(A$6:A277,"&lt;&gt;""",G$6:G277)-SUMIF(A$6:A277,"&lt;&gt;""",H$6:H277),"")</f>
        <v/>
      </c>
      <c r="J277" s="26" t="n"/>
    </row>
    <row r="278" ht="15" customHeight="1">
      <c r="A278" s="26" t="n"/>
      <c r="B278" s="26" t="n"/>
      <c r="C278" s="26" t="n"/>
      <c r="D278" s="26" t="n"/>
      <c r="E278" s="26" t="n"/>
      <c r="F278" s="26" t="n"/>
      <c r="G278" s="26" t="n"/>
      <c r="H278" s="26" t="n"/>
      <c r="I278" s="26">
        <f>IFERROR(SUMIF(A$6:A278,"&lt;&gt;""",G$6:G278)-SUMIF(A$6:A278,"&lt;&gt;""",H$6:H278),"")</f>
        <v/>
      </c>
      <c r="J278" s="26" t="n"/>
    </row>
    <row r="279" ht="15" customHeight="1">
      <c r="A279" s="26" t="n"/>
      <c r="B279" s="26" t="n"/>
      <c r="C279" s="26" t="n"/>
      <c r="D279" s="26" t="n"/>
      <c r="E279" s="26" t="n"/>
      <c r="F279" s="26" t="n"/>
      <c r="G279" s="26" t="n"/>
      <c r="H279" s="26" t="n"/>
      <c r="I279" s="26">
        <f>IFERROR(SUMIF(A$6:A279,"&lt;&gt;""",G$6:G279)-SUMIF(A$6:A279,"&lt;&gt;""",H$6:H279),"")</f>
        <v/>
      </c>
      <c r="J279" s="26" t="n"/>
    </row>
    <row r="280" ht="15" customHeight="1">
      <c r="A280" s="26" t="n"/>
      <c r="B280" s="26" t="n"/>
      <c r="C280" s="26" t="n"/>
      <c r="D280" s="26" t="n"/>
      <c r="E280" s="26" t="n"/>
      <c r="F280" s="26" t="n"/>
      <c r="G280" s="26" t="n"/>
      <c r="H280" s="26" t="n"/>
      <c r="I280" s="26">
        <f>IFERROR(SUMIF(A$6:A280,"&lt;&gt;""",G$6:G280)-SUMIF(A$6:A280,"&lt;&gt;""",H$6:H280),"")</f>
        <v/>
      </c>
      <c r="J280" s="26" t="n"/>
    </row>
    <row r="281" ht="15" customHeight="1">
      <c r="A281" s="26" t="n"/>
      <c r="B281" s="26" t="n"/>
      <c r="C281" s="26" t="n"/>
      <c r="D281" s="26" t="n"/>
      <c r="E281" s="26" t="n"/>
      <c r="F281" s="26" t="n"/>
      <c r="G281" s="26" t="n"/>
      <c r="H281" s="26" t="n"/>
      <c r="I281" s="26">
        <f>IFERROR(SUMIF(A$6:A281,"&lt;&gt;""",G$6:G281)-SUMIF(A$6:A281,"&lt;&gt;""",H$6:H281),"")</f>
        <v/>
      </c>
      <c r="J281" s="26" t="n"/>
    </row>
    <row r="282" ht="15" customHeight="1">
      <c r="A282" s="26" t="n"/>
      <c r="B282" s="26" t="n"/>
      <c r="C282" s="26" t="n"/>
      <c r="D282" s="26" t="n"/>
      <c r="E282" s="26" t="n"/>
      <c r="F282" s="26" t="n"/>
      <c r="G282" s="26" t="n"/>
      <c r="H282" s="26" t="n"/>
      <c r="I282" s="26">
        <f>IFERROR(SUMIF(A$6:A282,"&lt;&gt;""",G$6:G282)-SUMIF(A$6:A282,"&lt;&gt;""",H$6:H282),"")</f>
        <v/>
      </c>
      <c r="J282" s="26" t="n"/>
    </row>
    <row r="283" ht="15" customHeight="1">
      <c r="A283" s="26" t="n"/>
      <c r="B283" s="26" t="n"/>
      <c r="C283" s="26" t="n"/>
      <c r="D283" s="26" t="n"/>
      <c r="E283" s="26" t="n"/>
      <c r="F283" s="26" t="n"/>
      <c r="G283" s="26" t="n"/>
      <c r="H283" s="26" t="n"/>
      <c r="I283" s="26">
        <f>IFERROR(SUMIF(A$6:A283,"&lt;&gt;""",G$6:G283)-SUMIF(A$6:A283,"&lt;&gt;""",H$6:H283),"")</f>
        <v/>
      </c>
      <c r="J283" s="26" t="n"/>
    </row>
    <row r="284" ht="15" customHeight="1">
      <c r="A284" s="26" t="n"/>
      <c r="B284" s="26" t="n"/>
      <c r="C284" s="26" t="n"/>
      <c r="D284" s="26" t="n"/>
      <c r="E284" s="26" t="n"/>
      <c r="F284" s="26" t="n"/>
      <c r="G284" s="26" t="n"/>
      <c r="H284" s="26" t="n"/>
      <c r="I284" s="26">
        <f>IFERROR(SUMIF(A$6:A284,"&lt;&gt;""",G$6:G284)-SUMIF(A$6:A284,"&lt;&gt;""",H$6:H284),"")</f>
        <v/>
      </c>
      <c r="J284" s="26" t="n"/>
    </row>
    <row r="285" ht="15" customHeight="1">
      <c r="A285" s="26" t="n"/>
      <c r="B285" s="26" t="n"/>
      <c r="C285" s="26" t="n"/>
      <c r="D285" s="26" t="n"/>
      <c r="E285" s="26" t="n"/>
      <c r="F285" s="26" t="n"/>
      <c r="G285" s="26" t="n"/>
      <c r="H285" s="26" t="n"/>
      <c r="I285" s="26">
        <f>IFERROR(SUMIF(A$6:A285,"&lt;&gt;""",G$6:G285)-SUMIF(A$6:A285,"&lt;&gt;""",H$6:H285),"")</f>
        <v/>
      </c>
      <c r="J285" s="26" t="n"/>
    </row>
    <row r="286" ht="15" customHeight="1">
      <c r="A286" s="26" t="n"/>
      <c r="B286" s="26" t="n"/>
      <c r="C286" s="26" t="n"/>
      <c r="D286" s="26" t="n"/>
      <c r="E286" s="26" t="n"/>
      <c r="F286" s="26" t="n"/>
      <c r="G286" s="26" t="n"/>
      <c r="H286" s="26" t="n"/>
      <c r="I286" s="26">
        <f>IFERROR(SUMIF(A$6:A286,"&lt;&gt;""",G$6:G286)-SUMIF(A$6:A286,"&lt;&gt;""",H$6:H286),"")</f>
        <v/>
      </c>
      <c r="J286" s="26" t="n"/>
    </row>
    <row r="287" ht="15" customHeight="1">
      <c r="A287" s="26" t="n"/>
      <c r="B287" s="26" t="n"/>
      <c r="C287" s="26" t="n"/>
      <c r="D287" s="26" t="n"/>
      <c r="E287" s="26" t="n"/>
      <c r="F287" s="26" t="n"/>
      <c r="G287" s="26" t="n"/>
      <c r="H287" s="26" t="n"/>
      <c r="I287" s="26">
        <f>IFERROR(SUMIF(A$6:A287,"&lt;&gt;""",G$6:G287)-SUMIF(A$6:A287,"&lt;&gt;""",H$6:H287),"")</f>
        <v/>
      </c>
      <c r="J287" s="26" t="n"/>
    </row>
    <row r="288" ht="15" customHeight="1">
      <c r="A288" s="26" t="n"/>
      <c r="B288" s="26" t="n"/>
      <c r="C288" s="26" t="n"/>
      <c r="D288" s="26" t="n"/>
      <c r="E288" s="26" t="n"/>
      <c r="F288" s="26" t="n"/>
      <c r="G288" s="26" t="n"/>
      <c r="H288" s="26" t="n"/>
      <c r="I288" s="26">
        <f>IFERROR(SUMIF(A$6:A288,"&lt;&gt;""",G$6:G288)-SUMIF(A$6:A288,"&lt;&gt;""",H$6:H288),"")</f>
        <v/>
      </c>
      <c r="J288" s="26" t="n"/>
    </row>
    <row r="289" ht="15" customHeight="1">
      <c r="A289" s="26" t="n"/>
      <c r="B289" s="26" t="n"/>
      <c r="C289" s="26" t="n"/>
      <c r="D289" s="26" t="n"/>
      <c r="E289" s="26" t="n"/>
      <c r="F289" s="26" t="n"/>
      <c r="G289" s="26" t="n"/>
      <c r="H289" s="26" t="n"/>
      <c r="I289" s="26">
        <f>IFERROR(SUMIF(A$6:A289,"&lt;&gt;""",G$6:G289)-SUMIF(A$6:A289,"&lt;&gt;""",H$6:H289),"")</f>
        <v/>
      </c>
      <c r="J289" s="26" t="n"/>
    </row>
    <row r="290" ht="15" customHeight="1">
      <c r="A290" s="26" t="n"/>
      <c r="B290" s="26" t="n"/>
      <c r="C290" s="26" t="n"/>
      <c r="D290" s="26" t="n"/>
      <c r="E290" s="26" t="n"/>
      <c r="F290" s="26" t="n"/>
      <c r="G290" s="26" t="n"/>
      <c r="H290" s="26" t="n"/>
      <c r="I290" s="26">
        <f>IFERROR(SUMIF(A$6:A290,"&lt;&gt;""",G$6:G290)-SUMIF(A$6:A290,"&lt;&gt;""",H$6:H290),"")</f>
        <v/>
      </c>
      <c r="J290" s="26" t="n"/>
    </row>
    <row r="291" ht="15" customHeight="1">
      <c r="A291" s="26" t="n"/>
      <c r="B291" s="26" t="n"/>
      <c r="C291" s="26" t="n"/>
      <c r="D291" s="26" t="n"/>
      <c r="E291" s="26" t="n"/>
      <c r="F291" s="26" t="n"/>
      <c r="G291" s="26" t="n"/>
      <c r="H291" s="26" t="n"/>
      <c r="I291" s="26">
        <f>IFERROR(SUMIF(A$6:A291,"&lt;&gt;""",G$6:G291)-SUMIF(A$6:A291,"&lt;&gt;""",H$6:H291),"")</f>
        <v/>
      </c>
      <c r="J291" s="26" t="n"/>
    </row>
    <row r="292" ht="15" customHeight="1">
      <c r="A292" s="26" t="n"/>
      <c r="B292" s="26" t="n"/>
      <c r="C292" s="26" t="n"/>
      <c r="D292" s="26" t="n"/>
      <c r="E292" s="26" t="n"/>
      <c r="F292" s="26" t="n"/>
      <c r="G292" s="26" t="n"/>
      <c r="H292" s="26" t="n"/>
      <c r="I292" s="26">
        <f>IFERROR(SUMIF(A$6:A292,"&lt;&gt;""",G$6:G292)-SUMIF(A$6:A292,"&lt;&gt;""",H$6:H292),"")</f>
        <v/>
      </c>
      <c r="J292" s="26" t="n"/>
    </row>
    <row r="293" ht="15" customHeight="1">
      <c r="A293" s="26" t="n"/>
      <c r="B293" s="26" t="n"/>
      <c r="C293" s="26" t="n"/>
      <c r="D293" s="26" t="n"/>
      <c r="E293" s="26" t="n"/>
      <c r="F293" s="26" t="n"/>
      <c r="G293" s="26" t="n"/>
      <c r="H293" s="26" t="n"/>
      <c r="I293" s="26">
        <f>IFERROR(SUMIF(A$6:A293,"&lt;&gt;""",G$6:G293)-SUMIF(A$6:A293,"&lt;&gt;""",H$6:H293),"")</f>
        <v/>
      </c>
      <c r="J293" s="26" t="n"/>
    </row>
    <row r="294" ht="15" customHeight="1">
      <c r="A294" s="26" t="n"/>
      <c r="B294" s="26" t="n"/>
      <c r="C294" s="26" t="n"/>
      <c r="D294" s="26" t="n"/>
      <c r="E294" s="26" t="n"/>
      <c r="F294" s="26" t="n"/>
      <c r="G294" s="26" t="n"/>
      <c r="H294" s="26" t="n"/>
      <c r="I294" s="26">
        <f>IFERROR(SUMIF(A$6:A294,"&lt;&gt;""",G$6:G294)-SUMIF(A$6:A294,"&lt;&gt;""",H$6:H294),"")</f>
        <v/>
      </c>
      <c r="J294" s="26" t="n"/>
    </row>
    <row r="295" ht="15" customHeight="1">
      <c r="A295" s="26" t="n"/>
      <c r="B295" s="26" t="n"/>
      <c r="C295" s="26" t="n"/>
      <c r="D295" s="26" t="n"/>
      <c r="E295" s="26" t="n"/>
      <c r="F295" s="26" t="n"/>
      <c r="G295" s="26" t="n"/>
      <c r="H295" s="26" t="n"/>
      <c r="I295" s="26">
        <f>IFERROR(SUMIF(A$6:A295,"&lt;&gt;""",G$6:G295)-SUMIF(A$6:A295,"&lt;&gt;""",H$6:H295),"")</f>
        <v/>
      </c>
      <c r="J295" s="26" t="n"/>
    </row>
    <row r="296" ht="15" customHeight="1">
      <c r="A296" s="26" t="n"/>
      <c r="B296" s="26" t="n"/>
      <c r="C296" s="26" t="n"/>
      <c r="D296" s="26" t="n"/>
      <c r="E296" s="26" t="n"/>
      <c r="F296" s="26" t="n"/>
      <c r="G296" s="26" t="n"/>
      <c r="H296" s="26" t="n"/>
      <c r="I296" s="26">
        <f>IFERROR(SUMIF(A$6:A296,"&lt;&gt;""",G$6:G296)-SUMIF(A$6:A296,"&lt;&gt;""",H$6:H296),"")</f>
        <v/>
      </c>
      <c r="J296" s="26" t="n"/>
    </row>
    <row r="297" ht="15" customHeight="1">
      <c r="A297" s="26" t="n"/>
      <c r="B297" s="26" t="n"/>
      <c r="C297" s="26" t="n"/>
      <c r="D297" s="26" t="n"/>
      <c r="E297" s="26" t="n"/>
      <c r="F297" s="26" t="n"/>
      <c r="G297" s="26" t="n"/>
      <c r="H297" s="26" t="n"/>
      <c r="I297" s="26">
        <f>IFERROR(SUMIF(A$6:A297,"&lt;&gt;""",G$6:G297)-SUMIF(A$6:A297,"&lt;&gt;""",H$6:H297),"")</f>
        <v/>
      </c>
      <c r="J297" s="26" t="n"/>
    </row>
    <row r="298" ht="15" customHeight="1">
      <c r="A298" s="26" t="n"/>
      <c r="B298" s="26" t="n"/>
      <c r="C298" s="26" t="n"/>
      <c r="D298" s="26" t="n"/>
      <c r="E298" s="26" t="n"/>
      <c r="F298" s="26" t="n"/>
      <c r="G298" s="26" t="n"/>
      <c r="H298" s="26" t="n"/>
      <c r="I298" s="26">
        <f>IFERROR(SUMIF(A$6:A298,"&lt;&gt;""",G$6:G298)-SUMIF(A$6:A298,"&lt;&gt;""",H$6:H298),"")</f>
        <v/>
      </c>
      <c r="J298" s="26" t="n"/>
    </row>
    <row r="299" ht="15" customHeight="1">
      <c r="A299" s="26" t="n"/>
      <c r="B299" s="26" t="n"/>
      <c r="C299" s="26" t="n"/>
      <c r="D299" s="26" t="n"/>
      <c r="E299" s="26" t="n"/>
      <c r="F299" s="26" t="n"/>
      <c r="G299" s="26" t="n"/>
      <c r="H299" s="26" t="n"/>
      <c r="I299" s="26">
        <f>IFERROR(SUMIF(A$6:A299,"&lt;&gt;""",G$6:G299)-SUMIF(A$6:A299,"&lt;&gt;""",H$6:H299),"")</f>
        <v/>
      </c>
      <c r="J299" s="26" t="n"/>
    </row>
    <row r="300" ht="15" customHeight="1">
      <c r="A300" s="26" t="n"/>
      <c r="B300" s="26" t="n"/>
      <c r="C300" s="26" t="n"/>
      <c r="D300" s="26" t="n"/>
      <c r="E300" s="26" t="n"/>
      <c r="F300" s="26" t="n"/>
      <c r="G300" s="26" t="n"/>
      <c r="H300" s="26" t="n"/>
      <c r="I300" s="26">
        <f>IFERROR(SUMIF(A$6:A300,"&lt;&gt;""",G$6:G300)-SUMIF(A$6:A300,"&lt;&gt;""",H$6:H300),"")</f>
        <v/>
      </c>
      <c r="J300" s="26" t="n"/>
    </row>
    <row r="301" ht="15" customHeight="1">
      <c r="A301" s="26" t="n"/>
      <c r="B301" s="26" t="n"/>
      <c r="C301" s="26" t="n"/>
      <c r="D301" s="26" t="n"/>
      <c r="E301" s="26" t="n"/>
      <c r="F301" s="26" t="n"/>
      <c r="G301" s="26" t="n"/>
      <c r="H301" s="26" t="n"/>
      <c r="I301" s="26">
        <f>IFERROR(SUMIF(A$6:A301,"&lt;&gt;""",G$6:G301)-SUMIF(A$6:A301,"&lt;&gt;""",H$6:H301),"")</f>
        <v/>
      </c>
      <c r="J301" s="26" t="n"/>
    </row>
    <row r="302" ht="15" customHeight="1">
      <c r="A302" s="26" t="n"/>
      <c r="B302" s="26" t="n"/>
      <c r="C302" s="26" t="n"/>
      <c r="D302" s="26" t="n"/>
      <c r="E302" s="26" t="n"/>
      <c r="F302" s="26" t="n"/>
      <c r="G302" s="26" t="n"/>
      <c r="H302" s="26" t="n"/>
      <c r="I302" s="26">
        <f>IFERROR(SUMIF(A$6:A302,"&lt;&gt;""",G$6:G302)-SUMIF(A$6:A302,"&lt;&gt;""",H$6:H302),"")</f>
        <v/>
      </c>
      <c r="J302" s="26" t="n"/>
    </row>
    <row r="303" ht="15" customHeight="1">
      <c r="A303" s="26" t="n"/>
      <c r="B303" s="26" t="n"/>
      <c r="C303" s="26" t="n"/>
      <c r="D303" s="26" t="n"/>
      <c r="E303" s="26" t="n"/>
      <c r="F303" s="26" t="n"/>
      <c r="G303" s="26" t="n"/>
      <c r="H303" s="26" t="n"/>
      <c r="I303" s="26">
        <f>IFERROR(SUMIF(A$6:A303,"&lt;&gt;""",G$6:G303)-SUMIF(A$6:A303,"&lt;&gt;""",H$6:H303),"")</f>
        <v/>
      </c>
      <c r="J303" s="26" t="n"/>
    </row>
    <row r="304" ht="15" customHeight="1">
      <c r="A304" s="26" t="n"/>
      <c r="B304" s="26" t="n"/>
      <c r="C304" s="26" t="n"/>
      <c r="D304" s="26" t="n"/>
      <c r="E304" s="26" t="n"/>
      <c r="F304" s="26" t="n"/>
      <c r="G304" s="26" t="n"/>
      <c r="H304" s="26" t="n"/>
      <c r="I304" s="26">
        <f>IFERROR(SUMIF(A$6:A304,"&lt;&gt;""",G$6:G304)-SUMIF(A$6:A304,"&lt;&gt;""",H$6:H304),"")</f>
        <v/>
      </c>
      <c r="J304" s="26" t="n"/>
    </row>
    <row r="305" ht="15" customHeight="1">
      <c r="A305" s="26" t="n"/>
      <c r="B305" s="26" t="n"/>
      <c r="C305" s="26" t="n"/>
      <c r="D305" s="26" t="n"/>
      <c r="E305" s="26" t="n"/>
      <c r="F305" s="26" t="n"/>
      <c r="G305" s="26" t="n"/>
      <c r="H305" s="26" t="n"/>
      <c r="I305" s="26">
        <f>IFERROR(SUMIF(A$6:A305,"&lt;&gt;""",G$6:G305)-SUMIF(A$6:A305,"&lt;&gt;""",H$6:H305),"")</f>
        <v/>
      </c>
      <c r="J305" s="26" t="n"/>
    </row>
    <row r="306" ht="15" customHeight="1">
      <c r="A306" s="26" t="n"/>
      <c r="B306" s="26" t="n"/>
      <c r="C306" s="26" t="n"/>
      <c r="D306" s="26" t="n"/>
      <c r="E306" s="26" t="n"/>
      <c r="F306" s="26" t="n"/>
      <c r="G306" s="26" t="n"/>
      <c r="H306" s="26" t="n"/>
      <c r="I306" s="26">
        <f>IFERROR(SUMIF(A$6:A306,"&lt;&gt;""",G$6:G306)-SUMIF(A$6:A306,"&lt;&gt;""",H$6:H306),"")</f>
        <v/>
      </c>
      <c r="J306" s="26" t="n"/>
    </row>
    <row r="307" ht="15" customHeight="1">
      <c r="A307" s="26" t="n"/>
      <c r="B307" s="26" t="n"/>
      <c r="C307" s="26" t="n"/>
      <c r="D307" s="26" t="n"/>
      <c r="E307" s="26" t="n"/>
      <c r="F307" s="26" t="n"/>
      <c r="G307" s="26" t="n"/>
      <c r="H307" s="26" t="n"/>
      <c r="I307" s="26">
        <f>IFERROR(SUMIF(A$6:A307,"&lt;&gt;""",G$6:G307)-SUMIF(A$6:A307,"&lt;&gt;""",H$6:H307),"")</f>
        <v/>
      </c>
      <c r="J307" s="26" t="n"/>
    </row>
    <row r="308" ht="15" customHeight="1">
      <c r="A308" s="26" t="n"/>
      <c r="B308" s="26" t="n"/>
      <c r="C308" s="26" t="n"/>
      <c r="D308" s="26" t="n"/>
      <c r="E308" s="26" t="n"/>
      <c r="F308" s="26" t="n"/>
      <c r="G308" s="26" t="n"/>
      <c r="H308" s="26" t="n"/>
      <c r="I308" s="26">
        <f>IFERROR(SUMIF(A$6:A308,"&lt;&gt;""",G$6:G308)-SUMIF(A$6:A308,"&lt;&gt;""",H$6:H308),"")</f>
        <v/>
      </c>
      <c r="J308" s="26" t="n"/>
    </row>
    <row r="309" ht="15" customHeight="1">
      <c r="A309" s="26" t="n"/>
      <c r="B309" s="26" t="n"/>
      <c r="C309" s="26" t="n"/>
      <c r="D309" s="26" t="n"/>
      <c r="E309" s="26" t="n"/>
      <c r="F309" s="26" t="n"/>
      <c r="G309" s="26" t="n"/>
      <c r="H309" s="26" t="n"/>
      <c r="I309" s="26">
        <f>IFERROR(SUMIF(A$6:A309,"&lt;&gt;""",G$6:G309)-SUMIF(A$6:A309,"&lt;&gt;""",H$6:H309),"")</f>
        <v/>
      </c>
      <c r="J309" s="26" t="n"/>
    </row>
    <row r="310" ht="15" customHeight="1">
      <c r="A310" s="26" t="n"/>
      <c r="B310" s="26" t="n"/>
      <c r="C310" s="26" t="n"/>
      <c r="D310" s="26" t="n"/>
      <c r="E310" s="26" t="n"/>
      <c r="F310" s="26" t="n"/>
      <c r="G310" s="26" t="n"/>
      <c r="H310" s="26" t="n"/>
      <c r="I310" s="26">
        <f>IFERROR(SUMIF(A$6:A310,"&lt;&gt;""",G$6:G310)-SUMIF(A$6:A310,"&lt;&gt;""",H$6:H310),"")</f>
        <v/>
      </c>
      <c r="J310" s="26" t="n"/>
    </row>
    <row r="311" ht="15" customHeight="1">
      <c r="A311" s="26" t="n"/>
      <c r="B311" s="26" t="n"/>
      <c r="C311" s="26" t="n"/>
      <c r="D311" s="26" t="n"/>
      <c r="E311" s="26" t="n"/>
      <c r="F311" s="26" t="n"/>
      <c r="G311" s="26" t="n"/>
      <c r="H311" s="26" t="n"/>
      <c r="I311" s="26">
        <f>IFERROR(SUMIF(A$6:A311,"&lt;&gt;""",G$6:G311)-SUMIF(A$6:A311,"&lt;&gt;""",H$6:H311),"")</f>
        <v/>
      </c>
      <c r="J311" s="26" t="n"/>
    </row>
    <row r="312" ht="15" customHeight="1">
      <c r="A312" s="26" t="n"/>
      <c r="B312" s="26" t="n"/>
      <c r="C312" s="26" t="n"/>
      <c r="D312" s="26" t="n"/>
      <c r="E312" s="26" t="n"/>
      <c r="F312" s="26" t="n"/>
      <c r="G312" s="26" t="n"/>
      <c r="H312" s="26" t="n"/>
      <c r="I312" s="26">
        <f>IFERROR(SUMIF(A$6:A312,"&lt;&gt;""",G$6:G312)-SUMIF(A$6:A312,"&lt;&gt;""",H$6:H312),"")</f>
        <v/>
      </c>
      <c r="J312" s="26" t="n"/>
    </row>
    <row r="313" ht="15" customHeight="1">
      <c r="A313" s="26" t="n"/>
      <c r="B313" s="26" t="n"/>
      <c r="C313" s="26" t="n"/>
      <c r="D313" s="26" t="n"/>
      <c r="E313" s="26" t="n"/>
      <c r="F313" s="26" t="n"/>
      <c r="G313" s="26" t="n"/>
      <c r="H313" s="26" t="n"/>
      <c r="I313" s="26">
        <f>IFERROR(SUMIF(A$6:A313,"&lt;&gt;""",G$6:G313)-SUMIF(A$6:A313,"&lt;&gt;""",H$6:H313),"")</f>
        <v/>
      </c>
      <c r="J313" s="26" t="n"/>
    </row>
    <row r="314" ht="15" customHeight="1">
      <c r="A314" s="26" t="n"/>
      <c r="B314" s="26" t="n"/>
      <c r="C314" s="26" t="n"/>
      <c r="D314" s="26" t="n"/>
      <c r="E314" s="26" t="n"/>
      <c r="F314" s="26" t="n"/>
      <c r="G314" s="26" t="n"/>
      <c r="H314" s="26" t="n"/>
      <c r="I314" s="26">
        <f>IFERROR(SUMIF(A$6:A314,"&lt;&gt;""",G$6:G314)-SUMIF(A$6:A314,"&lt;&gt;""",H$6:H314),"")</f>
        <v/>
      </c>
      <c r="J314" s="26" t="n"/>
    </row>
    <row r="315" ht="15" customHeight="1">
      <c r="A315" s="26" t="n"/>
      <c r="B315" s="26" t="n"/>
      <c r="C315" s="26" t="n"/>
      <c r="D315" s="26" t="n"/>
      <c r="E315" s="26" t="n"/>
      <c r="F315" s="26" t="n"/>
      <c r="G315" s="26" t="n"/>
      <c r="H315" s="26" t="n"/>
      <c r="I315" s="26">
        <f>IFERROR(SUMIF(A$6:A315,"&lt;&gt;""",G$6:G315)-SUMIF(A$6:A315,"&lt;&gt;""",H$6:H315),"")</f>
        <v/>
      </c>
      <c r="J315" s="26" t="n"/>
    </row>
    <row r="316" ht="15" customHeight="1">
      <c r="A316" s="26" t="n"/>
      <c r="B316" s="26" t="n"/>
      <c r="C316" s="26" t="n"/>
      <c r="D316" s="26" t="n"/>
      <c r="E316" s="26" t="n"/>
      <c r="F316" s="26" t="n"/>
      <c r="G316" s="26" t="n"/>
      <c r="H316" s="26" t="n"/>
      <c r="I316" s="26">
        <f>IFERROR(SUMIF(A$6:A316,"&lt;&gt;""",G$6:G316)-SUMIF(A$6:A316,"&lt;&gt;""",H$6:H316),"")</f>
        <v/>
      </c>
      <c r="J316" s="26" t="n"/>
    </row>
    <row r="317" ht="15" customHeight="1">
      <c r="A317" s="26" t="n"/>
      <c r="B317" s="26" t="n"/>
      <c r="C317" s="26" t="n"/>
      <c r="D317" s="26" t="n"/>
      <c r="E317" s="26" t="n"/>
      <c r="F317" s="26" t="n"/>
      <c r="G317" s="26" t="n"/>
      <c r="H317" s="26" t="n"/>
      <c r="I317" s="26">
        <f>IFERROR(SUMIF(A$6:A317,"&lt;&gt;""",G$6:G317)-SUMIF(A$6:A317,"&lt;&gt;""",H$6:H317),"")</f>
        <v/>
      </c>
      <c r="J317" s="26" t="n"/>
    </row>
    <row r="318" ht="15" customHeight="1">
      <c r="A318" s="26" t="n"/>
      <c r="B318" s="26" t="n"/>
      <c r="C318" s="26" t="n"/>
      <c r="D318" s="26" t="n"/>
      <c r="E318" s="26" t="n"/>
      <c r="F318" s="26" t="n"/>
      <c r="G318" s="26" t="n"/>
      <c r="H318" s="26" t="n"/>
      <c r="I318" s="26">
        <f>IFERROR(SUMIF(A$6:A318,"&lt;&gt;""",G$6:G318)-SUMIF(A$6:A318,"&lt;&gt;""",H$6:H318),"")</f>
        <v/>
      </c>
      <c r="J318" s="26" t="n"/>
    </row>
    <row r="319" ht="15" customHeight="1">
      <c r="A319" s="26" t="n"/>
      <c r="B319" s="26" t="n"/>
      <c r="C319" s="26" t="n"/>
      <c r="D319" s="26" t="n"/>
      <c r="E319" s="26" t="n"/>
      <c r="F319" s="26" t="n"/>
      <c r="G319" s="26" t="n"/>
      <c r="H319" s="26" t="n"/>
      <c r="I319" s="26">
        <f>IFERROR(SUMIF(A$6:A319,"&lt;&gt;""",G$6:G319)-SUMIF(A$6:A319,"&lt;&gt;""",H$6:H319),"")</f>
        <v/>
      </c>
      <c r="J319" s="26" t="n"/>
    </row>
    <row r="320" ht="15" customHeight="1">
      <c r="A320" s="26" t="n"/>
      <c r="B320" s="26" t="n"/>
      <c r="C320" s="26" t="n"/>
      <c r="D320" s="26" t="n"/>
      <c r="E320" s="26" t="n"/>
      <c r="F320" s="26" t="n"/>
      <c r="G320" s="26" t="n"/>
      <c r="H320" s="26" t="n"/>
      <c r="I320" s="26">
        <f>IFERROR(SUMIF(A$6:A320,"&lt;&gt;""",G$6:G320)-SUMIF(A$6:A320,"&lt;&gt;""",H$6:H320),"")</f>
        <v/>
      </c>
      <c r="J320" s="26" t="n"/>
    </row>
    <row r="321" ht="15" customHeight="1">
      <c r="A321" s="26" t="n"/>
      <c r="B321" s="26" t="n"/>
      <c r="C321" s="26" t="n"/>
      <c r="D321" s="26" t="n"/>
      <c r="E321" s="26" t="n"/>
      <c r="F321" s="26" t="n"/>
      <c r="G321" s="26" t="n"/>
      <c r="H321" s="26" t="n"/>
      <c r="I321" s="26">
        <f>IFERROR(SUMIF(A$6:A321,"&lt;&gt;""",G$6:G321)-SUMIF(A$6:A321,"&lt;&gt;""",H$6:H321),"")</f>
        <v/>
      </c>
      <c r="J321" s="26" t="n"/>
    </row>
    <row r="322" ht="15" customHeight="1">
      <c r="A322" s="26" t="n"/>
      <c r="B322" s="26" t="n"/>
      <c r="C322" s="26" t="n"/>
      <c r="D322" s="26" t="n"/>
      <c r="E322" s="26" t="n"/>
      <c r="F322" s="26" t="n"/>
      <c r="G322" s="26" t="n"/>
      <c r="H322" s="26" t="n"/>
      <c r="I322" s="26">
        <f>IFERROR(SUMIF(A$6:A322,"&lt;&gt;""",G$6:G322)-SUMIF(A$6:A322,"&lt;&gt;""",H$6:H322),"")</f>
        <v/>
      </c>
      <c r="J322" s="26" t="n"/>
    </row>
    <row r="323" ht="15" customHeight="1">
      <c r="A323" s="26" t="n"/>
      <c r="B323" s="26" t="n"/>
      <c r="C323" s="26" t="n"/>
      <c r="D323" s="26" t="n"/>
      <c r="E323" s="26" t="n"/>
      <c r="F323" s="26" t="n"/>
      <c r="G323" s="26" t="n"/>
      <c r="H323" s="26" t="n"/>
      <c r="I323" s="26">
        <f>IFERROR(SUMIF(A$6:A323,"&lt;&gt;""",G$6:G323)-SUMIF(A$6:A323,"&lt;&gt;""",H$6:H323),"")</f>
        <v/>
      </c>
      <c r="J323" s="26" t="n"/>
    </row>
    <row r="324" ht="15" customHeight="1">
      <c r="A324" s="26" t="n"/>
      <c r="B324" s="26" t="n"/>
      <c r="C324" s="26" t="n"/>
      <c r="D324" s="26" t="n"/>
      <c r="E324" s="26" t="n"/>
      <c r="F324" s="26" t="n"/>
      <c r="G324" s="26" t="n"/>
      <c r="H324" s="26" t="n"/>
      <c r="I324" s="26">
        <f>IFERROR(SUMIF(A$6:A324,"&lt;&gt;""",G$6:G324)-SUMIF(A$6:A324,"&lt;&gt;""",H$6:H324),"")</f>
        <v/>
      </c>
      <c r="J324" s="26" t="n"/>
    </row>
    <row r="325" ht="15" customHeight="1">
      <c r="A325" s="26" t="n"/>
      <c r="B325" s="26" t="n"/>
      <c r="C325" s="26" t="n"/>
      <c r="D325" s="26" t="n"/>
      <c r="E325" s="26" t="n"/>
      <c r="F325" s="26" t="n"/>
      <c r="G325" s="26" t="n"/>
      <c r="H325" s="26" t="n"/>
      <c r="I325" s="26">
        <f>IFERROR(SUMIF(A$6:A325,"&lt;&gt;""",G$6:G325)-SUMIF(A$6:A325,"&lt;&gt;""",H$6:H325),"")</f>
        <v/>
      </c>
      <c r="J325" s="26" t="n"/>
    </row>
    <row r="326" ht="15" customHeight="1">
      <c r="A326" s="26" t="n"/>
      <c r="B326" s="26" t="n"/>
      <c r="C326" s="26" t="n"/>
      <c r="D326" s="26" t="n"/>
      <c r="E326" s="26" t="n"/>
      <c r="F326" s="26" t="n"/>
      <c r="G326" s="26" t="n"/>
      <c r="H326" s="26" t="n"/>
      <c r="I326" s="26">
        <f>IFERROR(SUMIF(A$6:A326,"&lt;&gt;""",G$6:G326)-SUMIF(A$6:A326,"&lt;&gt;""",H$6:H326),"")</f>
        <v/>
      </c>
      <c r="J326" s="26" t="n"/>
    </row>
    <row r="327" ht="15" customHeight="1">
      <c r="A327" s="26" t="n"/>
      <c r="B327" s="26" t="n"/>
      <c r="C327" s="26" t="n"/>
      <c r="D327" s="26" t="n"/>
      <c r="E327" s="26" t="n"/>
      <c r="F327" s="26" t="n"/>
      <c r="G327" s="26" t="n"/>
      <c r="H327" s="26" t="n"/>
      <c r="I327" s="26">
        <f>IFERROR(SUMIF(A$6:A327,"&lt;&gt;""",G$6:G327)-SUMIF(A$6:A327,"&lt;&gt;""",H$6:H327),"")</f>
        <v/>
      </c>
      <c r="J327" s="26" t="n"/>
    </row>
    <row r="328" ht="15" customHeight="1">
      <c r="A328" s="26" t="n"/>
      <c r="B328" s="26" t="n"/>
      <c r="C328" s="26" t="n"/>
      <c r="D328" s="26" t="n"/>
      <c r="E328" s="26" t="n"/>
      <c r="F328" s="26" t="n"/>
      <c r="G328" s="26" t="n"/>
      <c r="H328" s="26" t="n"/>
      <c r="I328" s="26">
        <f>IFERROR(SUMIF(A$6:A328,"&lt;&gt;""",G$6:G328)-SUMIF(A$6:A328,"&lt;&gt;""",H$6:H328),"")</f>
        <v/>
      </c>
      <c r="J328" s="26" t="n"/>
    </row>
    <row r="329" ht="15" customHeight="1">
      <c r="A329" s="26" t="n"/>
      <c r="B329" s="26" t="n"/>
      <c r="C329" s="26" t="n"/>
      <c r="D329" s="26" t="n"/>
      <c r="E329" s="26" t="n"/>
      <c r="F329" s="26" t="n"/>
      <c r="G329" s="26" t="n"/>
      <c r="H329" s="26" t="n"/>
      <c r="I329" s="26">
        <f>IFERROR(SUMIF(A$6:A329,"&lt;&gt;""",G$6:G329)-SUMIF(A$6:A329,"&lt;&gt;""",H$6:H329),"")</f>
        <v/>
      </c>
      <c r="J329" s="26" t="n"/>
    </row>
    <row r="330" ht="15" customHeight="1">
      <c r="A330" s="26" t="n"/>
      <c r="B330" s="26" t="n"/>
      <c r="C330" s="26" t="n"/>
      <c r="D330" s="26" t="n"/>
      <c r="E330" s="26" t="n"/>
      <c r="F330" s="26" t="n"/>
      <c r="G330" s="26" t="n"/>
      <c r="H330" s="26" t="n"/>
      <c r="I330" s="26">
        <f>IFERROR(SUMIF(A$6:A330,"&lt;&gt;""",G$6:G330)-SUMIF(A$6:A330,"&lt;&gt;""",H$6:H330),"")</f>
        <v/>
      </c>
      <c r="J330" s="26" t="n"/>
    </row>
    <row r="331" ht="15" customHeight="1">
      <c r="A331" s="26" t="n"/>
      <c r="B331" s="26" t="n"/>
      <c r="C331" s="26" t="n"/>
      <c r="D331" s="26" t="n"/>
      <c r="E331" s="26" t="n"/>
      <c r="F331" s="26" t="n"/>
      <c r="G331" s="26" t="n"/>
      <c r="H331" s="26" t="n"/>
      <c r="I331" s="26">
        <f>IFERROR(SUMIF(A$6:A331,"&lt;&gt;""",G$6:G331)-SUMIF(A$6:A331,"&lt;&gt;""",H$6:H331),"")</f>
        <v/>
      </c>
      <c r="J331" s="26" t="n"/>
    </row>
    <row r="332" ht="15" customHeight="1">
      <c r="A332" s="26" t="n"/>
      <c r="B332" s="26" t="n"/>
      <c r="C332" s="26" t="n"/>
      <c r="D332" s="26" t="n"/>
      <c r="E332" s="26" t="n"/>
      <c r="F332" s="26" t="n"/>
      <c r="G332" s="26" t="n"/>
      <c r="H332" s="26" t="n"/>
      <c r="I332" s="26">
        <f>IFERROR(SUMIF(A$6:A332,"&lt;&gt;""",G$6:G332)-SUMIF(A$6:A332,"&lt;&gt;""",H$6:H332),"")</f>
        <v/>
      </c>
      <c r="J332" s="26" t="n"/>
    </row>
    <row r="333" ht="15" customHeight="1">
      <c r="A333" s="26" t="n"/>
      <c r="B333" s="26" t="n"/>
      <c r="C333" s="26" t="n"/>
      <c r="D333" s="26" t="n"/>
      <c r="E333" s="26" t="n"/>
      <c r="F333" s="26" t="n"/>
      <c r="G333" s="26" t="n"/>
      <c r="H333" s="26" t="n"/>
      <c r="I333" s="26">
        <f>IFERROR(SUMIF(A$6:A333,"&lt;&gt;""",G$6:G333)-SUMIF(A$6:A333,"&lt;&gt;""",H$6:H333),"")</f>
        <v/>
      </c>
      <c r="J333" s="26" t="n"/>
    </row>
    <row r="334" ht="15" customHeight="1">
      <c r="A334" s="26" t="n"/>
      <c r="B334" s="26" t="n"/>
      <c r="C334" s="26" t="n"/>
      <c r="D334" s="26" t="n"/>
      <c r="E334" s="26" t="n"/>
      <c r="F334" s="26" t="n"/>
      <c r="G334" s="26" t="n"/>
      <c r="H334" s="26" t="n"/>
      <c r="I334" s="26">
        <f>IFERROR(SUMIF(A$6:A334,"&lt;&gt;""",G$6:G334)-SUMIF(A$6:A334,"&lt;&gt;""",H$6:H334),"")</f>
        <v/>
      </c>
      <c r="J334" s="26" t="n"/>
    </row>
    <row r="335" ht="15" customHeight="1">
      <c r="A335" s="26" t="n"/>
      <c r="B335" s="26" t="n"/>
      <c r="C335" s="26" t="n"/>
      <c r="D335" s="26" t="n"/>
      <c r="E335" s="26" t="n"/>
      <c r="F335" s="26" t="n"/>
      <c r="G335" s="26" t="n"/>
      <c r="H335" s="26" t="n"/>
      <c r="I335" s="26">
        <f>IFERROR(SUMIF(A$6:A335,"&lt;&gt;""",G$6:G335)-SUMIF(A$6:A335,"&lt;&gt;""",H$6:H335),"")</f>
        <v/>
      </c>
      <c r="J335" s="26" t="n"/>
    </row>
    <row r="336" ht="15" customHeight="1">
      <c r="A336" s="26" t="n"/>
      <c r="B336" s="26" t="n"/>
      <c r="C336" s="26" t="n"/>
      <c r="D336" s="26" t="n"/>
      <c r="E336" s="26" t="n"/>
      <c r="F336" s="26" t="n"/>
      <c r="G336" s="26" t="n"/>
      <c r="H336" s="26" t="n"/>
      <c r="I336" s="26">
        <f>IFERROR(SUMIF(A$6:A336,"&lt;&gt;""",G$6:G336)-SUMIF(A$6:A336,"&lt;&gt;""",H$6:H336),"")</f>
        <v/>
      </c>
      <c r="J336" s="26" t="n"/>
    </row>
    <row r="337" ht="15" customHeight="1">
      <c r="A337" s="26" t="n"/>
      <c r="B337" s="26" t="n"/>
      <c r="C337" s="26" t="n"/>
      <c r="D337" s="26" t="n"/>
      <c r="E337" s="26" t="n"/>
      <c r="F337" s="26" t="n"/>
      <c r="G337" s="26" t="n"/>
      <c r="H337" s="26" t="n"/>
      <c r="I337" s="26">
        <f>IFERROR(SUMIF(A$6:A337,"&lt;&gt;""",G$6:G337)-SUMIF(A$6:A337,"&lt;&gt;""",H$6:H337),"")</f>
        <v/>
      </c>
      <c r="J337" s="26" t="n"/>
    </row>
    <row r="338" ht="15" customHeight="1">
      <c r="A338" s="26" t="n"/>
      <c r="B338" s="26" t="n"/>
      <c r="C338" s="26" t="n"/>
      <c r="D338" s="26" t="n"/>
      <c r="E338" s="26" t="n"/>
      <c r="F338" s="26" t="n"/>
      <c r="G338" s="26" t="n"/>
      <c r="H338" s="26" t="n"/>
      <c r="I338" s="26">
        <f>IFERROR(SUMIF(A$6:A338,"&lt;&gt;""",G$6:G338)-SUMIF(A$6:A338,"&lt;&gt;""",H$6:H338),"")</f>
        <v/>
      </c>
      <c r="J338" s="26" t="n"/>
    </row>
    <row r="339" ht="15" customHeight="1">
      <c r="A339" s="26" t="n"/>
      <c r="B339" s="26" t="n"/>
      <c r="C339" s="26" t="n"/>
      <c r="D339" s="26" t="n"/>
      <c r="E339" s="26" t="n"/>
      <c r="F339" s="26" t="n"/>
      <c r="G339" s="26" t="n"/>
      <c r="H339" s="26" t="n"/>
      <c r="I339" s="26">
        <f>IFERROR(SUMIF(A$6:A339,"&lt;&gt;""",G$6:G339)-SUMIF(A$6:A339,"&lt;&gt;""",H$6:H339),"")</f>
        <v/>
      </c>
      <c r="J339" s="26" t="n"/>
    </row>
    <row r="340" ht="15" customHeight="1">
      <c r="A340" s="26" t="n"/>
      <c r="B340" s="26" t="n"/>
      <c r="C340" s="26" t="n"/>
      <c r="D340" s="26" t="n"/>
      <c r="E340" s="26" t="n"/>
      <c r="F340" s="26" t="n"/>
      <c r="G340" s="26" t="n"/>
      <c r="H340" s="26" t="n"/>
      <c r="I340" s="26">
        <f>IFERROR(SUMIF(A$6:A340,"&lt;&gt;""",G$6:G340)-SUMIF(A$6:A340,"&lt;&gt;""",H$6:H340),"")</f>
        <v/>
      </c>
      <c r="J340" s="26" t="n"/>
    </row>
    <row r="341" ht="15" customHeight="1">
      <c r="A341" s="26" t="n"/>
      <c r="B341" s="26" t="n"/>
      <c r="C341" s="26" t="n"/>
      <c r="D341" s="26" t="n"/>
      <c r="E341" s="26" t="n"/>
      <c r="F341" s="26" t="n"/>
      <c r="G341" s="26" t="n"/>
      <c r="H341" s="26" t="n"/>
      <c r="I341" s="26">
        <f>IFERROR(SUMIF(A$6:A341,"&lt;&gt;""",G$6:G341)-SUMIF(A$6:A341,"&lt;&gt;""",H$6:H341),"")</f>
        <v/>
      </c>
      <c r="J341" s="26" t="n"/>
    </row>
    <row r="342" ht="15" customHeight="1">
      <c r="A342" s="26" t="n"/>
      <c r="B342" s="26" t="n"/>
      <c r="C342" s="26" t="n"/>
      <c r="D342" s="26" t="n"/>
      <c r="E342" s="26" t="n"/>
      <c r="F342" s="26" t="n"/>
      <c r="G342" s="26" t="n"/>
      <c r="H342" s="26" t="n"/>
      <c r="I342" s="26">
        <f>IFERROR(SUMIF(A$6:A342,"&lt;&gt;""",G$6:G342)-SUMIF(A$6:A342,"&lt;&gt;""",H$6:H342),"")</f>
        <v/>
      </c>
      <c r="J342" s="26" t="n"/>
    </row>
    <row r="343" ht="15" customHeight="1">
      <c r="A343" s="26" t="n"/>
      <c r="B343" s="26" t="n"/>
      <c r="C343" s="26" t="n"/>
      <c r="D343" s="26" t="n"/>
      <c r="E343" s="26" t="n"/>
      <c r="F343" s="26" t="n"/>
      <c r="G343" s="26" t="n"/>
      <c r="H343" s="26" t="n"/>
      <c r="I343" s="26">
        <f>IFERROR(SUMIF(A$6:A343,"&lt;&gt;""",G$6:G343)-SUMIF(A$6:A343,"&lt;&gt;""",H$6:H343),"")</f>
        <v/>
      </c>
      <c r="J343" s="26" t="n"/>
    </row>
    <row r="344" ht="15" customHeight="1">
      <c r="A344" s="26" t="n"/>
      <c r="B344" s="26" t="n"/>
      <c r="C344" s="26" t="n"/>
      <c r="D344" s="26" t="n"/>
      <c r="E344" s="26" t="n"/>
      <c r="F344" s="26" t="n"/>
      <c r="G344" s="26" t="n"/>
      <c r="H344" s="26" t="n"/>
      <c r="I344" s="26">
        <f>IFERROR(SUMIF(A$6:A344,"&lt;&gt;""",G$6:G344)-SUMIF(A$6:A344,"&lt;&gt;""",H$6:H344),"")</f>
        <v/>
      </c>
      <c r="J344" s="26" t="n"/>
    </row>
    <row r="345" ht="15" customHeight="1">
      <c r="A345" s="26" t="n"/>
      <c r="B345" s="26" t="n"/>
      <c r="C345" s="26" t="n"/>
      <c r="D345" s="26" t="n"/>
      <c r="E345" s="26" t="n"/>
      <c r="F345" s="26" t="n"/>
      <c r="G345" s="26" t="n"/>
      <c r="H345" s="26" t="n"/>
      <c r="I345" s="26">
        <f>IFERROR(SUMIF(A$6:A345,"&lt;&gt;""",G$6:G345)-SUMIF(A$6:A345,"&lt;&gt;""",H$6:H345),"")</f>
        <v/>
      </c>
      <c r="J345" s="26" t="n"/>
    </row>
    <row r="346" ht="15" customHeight="1">
      <c r="A346" s="26" t="n"/>
      <c r="B346" s="26" t="n"/>
      <c r="C346" s="26" t="n"/>
      <c r="D346" s="26" t="n"/>
      <c r="E346" s="26" t="n"/>
      <c r="F346" s="26" t="n"/>
      <c r="G346" s="26" t="n"/>
      <c r="H346" s="26" t="n"/>
      <c r="I346" s="26">
        <f>IFERROR(SUMIF(A$6:A346,"&lt;&gt;""",G$6:G346)-SUMIF(A$6:A346,"&lt;&gt;""",H$6:H346),"")</f>
        <v/>
      </c>
      <c r="J346" s="26" t="n"/>
    </row>
    <row r="347" ht="15" customHeight="1">
      <c r="A347" s="26" t="n"/>
      <c r="B347" s="26" t="n"/>
      <c r="C347" s="26" t="n"/>
      <c r="D347" s="26" t="n"/>
      <c r="E347" s="26" t="n"/>
      <c r="F347" s="26" t="n"/>
      <c r="G347" s="26" t="n"/>
      <c r="H347" s="26" t="n"/>
      <c r="I347" s="26">
        <f>IFERROR(SUMIF(A$6:A347,"&lt;&gt;""",G$6:G347)-SUMIF(A$6:A347,"&lt;&gt;""",H$6:H347),"")</f>
        <v/>
      </c>
      <c r="J347" s="26" t="n"/>
    </row>
    <row r="348" ht="15" customHeight="1">
      <c r="A348" s="26" t="n"/>
      <c r="B348" s="26" t="n"/>
      <c r="C348" s="26" t="n"/>
      <c r="D348" s="26" t="n"/>
      <c r="E348" s="26" t="n"/>
      <c r="F348" s="26" t="n"/>
      <c r="G348" s="26" t="n"/>
      <c r="H348" s="26" t="n"/>
      <c r="I348" s="26">
        <f>IFERROR(SUMIF(A$6:A348,"&lt;&gt;""",G$6:G348)-SUMIF(A$6:A348,"&lt;&gt;""",H$6:H348),"")</f>
        <v/>
      </c>
      <c r="J348" s="26" t="n"/>
    </row>
    <row r="349" ht="15" customHeight="1">
      <c r="A349" s="26" t="n"/>
      <c r="B349" s="26" t="n"/>
      <c r="C349" s="26" t="n"/>
      <c r="D349" s="26" t="n"/>
      <c r="E349" s="26" t="n"/>
      <c r="F349" s="26" t="n"/>
      <c r="G349" s="26" t="n"/>
      <c r="H349" s="26" t="n"/>
      <c r="I349" s="26">
        <f>IFERROR(SUMIF(A$6:A349,"&lt;&gt;""",G$6:G349)-SUMIF(A$6:A349,"&lt;&gt;""",H$6:H349),"")</f>
        <v/>
      </c>
      <c r="J349" s="26" t="n"/>
    </row>
    <row r="350" ht="15" customHeight="1">
      <c r="A350" s="26" t="n"/>
      <c r="B350" s="26" t="n"/>
      <c r="C350" s="26" t="n"/>
      <c r="D350" s="26" t="n"/>
      <c r="E350" s="26" t="n"/>
      <c r="F350" s="26" t="n"/>
      <c r="G350" s="26" t="n"/>
      <c r="H350" s="26" t="n"/>
      <c r="I350" s="26">
        <f>IFERROR(SUMIF(A$6:A350,"&lt;&gt;""",G$6:G350)-SUMIF(A$6:A350,"&lt;&gt;""",H$6:H350),"")</f>
        <v/>
      </c>
      <c r="J350" s="26" t="n"/>
    </row>
    <row r="351" ht="15" customHeight="1">
      <c r="A351" s="26" t="n"/>
      <c r="B351" s="26" t="n"/>
      <c r="C351" s="26" t="n"/>
      <c r="D351" s="26" t="n"/>
      <c r="E351" s="26" t="n"/>
      <c r="F351" s="26" t="n"/>
      <c r="G351" s="26" t="n"/>
      <c r="H351" s="26" t="n"/>
      <c r="I351" s="26">
        <f>IFERROR(SUMIF(A$6:A351,"&lt;&gt;""",G$6:G351)-SUMIF(A$6:A351,"&lt;&gt;""",H$6:H351),"")</f>
        <v/>
      </c>
      <c r="J351" s="26" t="n"/>
    </row>
    <row r="352" ht="15" customHeight="1">
      <c r="A352" s="26" t="n"/>
      <c r="B352" s="26" t="n"/>
      <c r="C352" s="26" t="n"/>
      <c r="D352" s="26" t="n"/>
      <c r="E352" s="26" t="n"/>
      <c r="F352" s="26" t="n"/>
      <c r="G352" s="26" t="n"/>
      <c r="H352" s="26" t="n"/>
      <c r="I352" s="26">
        <f>IFERROR(SUMIF(A$6:A352,"&lt;&gt;""",G$6:G352)-SUMIF(A$6:A352,"&lt;&gt;""",H$6:H352),"")</f>
        <v/>
      </c>
      <c r="J352" s="26" t="n"/>
    </row>
    <row r="353" ht="15" customHeight="1">
      <c r="A353" s="26" t="n"/>
      <c r="B353" s="26" t="n"/>
      <c r="C353" s="26" t="n"/>
      <c r="D353" s="26" t="n"/>
      <c r="E353" s="26" t="n"/>
      <c r="F353" s="26" t="n"/>
      <c r="G353" s="26" t="n"/>
      <c r="H353" s="26" t="n"/>
      <c r="I353" s="26">
        <f>IFERROR(SUMIF(A$6:A353,"&lt;&gt;""",G$6:G353)-SUMIF(A$6:A353,"&lt;&gt;""",H$6:H353),"")</f>
        <v/>
      </c>
      <c r="J353" s="26" t="n"/>
    </row>
    <row r="354" ht="15" customHeight="1">
      <c r="A354" s="26" t="n"/>
      <c r="B354" s="26" t="n"/>
      <c r="C354" s="26" t="n"/>
      <c r="D354" s="26" t="n"/>
      <c r="E354" s="26" t="n"/>
      <c r="F354" s="26" t="n"/>
      <c r="G354" s="26" t="n"/>
      <c r="H354" s="26" t="n"/>
      <c r="I354" s="26">
        <f>IFERROR(SUMIF(A$6:A354,"&lt;&gt;""",G$6:G354)-SUMIF(A$6:A354,"&lt;&gt;""",H$6:H354),"")</f>
        <v/>
      </c>
      <c r="J354" s="26" t="n"/>
    </row>
    <row r="355" ht="15" customHeight="1">
      <c r="A355" s="26" t="n"/>
      <c r="B355" s="26" t="n"/>
      <c r="C355" s="26" t="n"/>
      <c r="D355" s="26" t="n"/>
      <c r="E355" s="26" t="n"/>
      <c r="F355" s="26" t="n"/>
      <c r="G355" s="26" t="n"/>
      <c r="H355" s="26" t="n"/>
      <c r="I355" s="26">
        <f>IFERROR(SUMIF(A$6:A355,"&lt;&gt;""",G$6:G355)-SUMIF(A$6:A355,"&lt;&gt;""",H$6:H355),"")</f>
        <v/>
      </c>
      <c r="J355" s="26" t="n"/>
    </row>
    <row r="356" ht="15" customHeight="1">
      <c r="A356" s="26" t="n"/>
      <c r="B356" s="26" t="n"/>
      <c r="C356" s="26" t="n"/>
      <c r="D356" s="26" t="n"/>
      <c r="E356" s="26" t="n"/>
      <c r="F356" s="26" t="n"/>
      <c r="G356" s="26" t="n"/>
      <c r="H356" s="26" t="n"/>
      <c r="I356" s="26">
        <f>IFERROR(SUMIF(A$6:A356,"&lt;&gt;""",G$6:G356)-SUMIF(A$6:A356,"&lt;&gt;""",H$6:H356),"")</f>
        <v/>
      </c>
      <c r="J356" s="26" t="n"/>
    </row>
    <row r="357" ht="15" customHeight="1">
      <c r="A357" s="26" t="n"/>
      <c r="B357" s="26" t="n"/>
      <c r="C357" s="26" t="n"/>
      <c r="D357" s="26" t="n"/>
      <c r="E357" s="26" t="n"/>
      <c r="F357" s="26" t="n"/>
      <c r="G357" s="26" t="n"/>
      <c r="H357" s="26" t="n"/>
      <c r="I357" s="26">
        <f>IFERROR(SUMIF(A$6:A357,"&lt;&gt;""",G$6:G357)-SUMIF(A$6:A357,"&lt;&gt;""",H$6:H357),"")</f>
        <v/>
      </c>
      <c r="J357" s="26" t="n"/>
    </row>
    <row r="358" ht="15" customHeight="1">
      <c r="A358" s="26" t="n"/>
      <c r="B358" s="26" t="n"/>
      <c r="C358" s="26" t="n"/>
      <c r="D358" s="26" t="n"/>
      <c r="E358" s="26" t="n"/>
      <c r="F358" s="26" t="n"/>
      <c r="G358" s="26" t="n"/>
      <c r="H358" s="26" t="n"/>
      <c r="I358" s="26">
        <f>IFERROR(SUMIF(A$6:A358,"&lt;&gt;""",G$6:G358)-SUMIF(A$6:A358,"&lt;&gt;""",H$6:H358),"")</f>
        <v/>
      </c>
      <c r="J358" s="26" t="n"/>
    </row>
    <row r="359" ht="15" customHeight="1">
      <c r="A359" s="26" t="n"/>
      <c r="B359" s="26" t="n"/>
      <c r="C359" s="26" t="n"/>
      <c r="D359" s="26" t="n"/>
      <c r="E359" s="26" t="n"/>
      <c r="F359" s="26" t="n"/>
      <c r="G359" s="26" t="n"/>
      <c r="H359" s="26" t="n"/>
      <c r="I359" s="26">
        <f>IFERROR(SUMIF(A$6:A359,"&lt;&gt;""",G$6:G359)-SUMIF(A$6:A359,"&lt;&gt;""",H$6:H359),"")</f>
        <v/>
      </c>
      <c r="J359" s="26" t="n"/>
    </row>
    <row r="360" ht="15" customHeight="1">
      <c r="A360" s="26" t="n"/>
      <c r="B360" s="26" t="n"/>
      <c r="C360" s="26" t="n"/>
      <c r="D360" s="26" t="n"/>
      <c r="E360" s="26" t="n"/>
      <c r="F360" s="26" t="n"/>
      <c r="G360" s="26" t="n"/>
      <c r="H360" s="26" t="n"/>
      <c r="I360" s="26">
        <f>IFERROR(SUMIF(A$6:A360,"&lt;&gt;""",G$6:G360)-SUMIF(A$6:A360,"&lt;&gt;""",H$6:H360),"")</f>
        <v/>
      </c>
      <c r="J360" s="26" t="n"/>
    </row>
    <row r="361" ht="15" customHeight="1">
      <c r="A361" s="26" t="n"/>
      <c r="B361" s="26" t="n"/>
      <c r="C361" s="26" t="n"/>
      <c r="D361" s="26" t="n"/>
      <c r="E361" s="26" t="n"/>
      <c r="F361" s="26" t="n"/>
      <c r="G361" s="26" t="n"/>
      <c r="H361" s="26" t="n"/>
      <c r="I361" s="26">
        <f>IFERROR(SUMIF(A$6:A361,"&lt;&gt;""",G$6:G361)-SUMIF(A$6:A361,"&lt;&gt;""",H$6:H361),"")</f>
        <v/>
      </c>
      <c r="J361" s="26" t="n"/>
    </row>
    <row r="362" ht="15" customHeight="1">
      <c r="A362" s="26" t="n"/>
      <c r="B362" s="26" t="n"/>
      <c r="C362" s="26" t="n"/>
      <c r="D362" s="26" t="n"/>
      <c r="E362" s="26" t="n"/>
      <c r="F362" s="26" t="n"/>
      <c r="G362" s="26" t="n"/>
      <c r="H362" s="26" t="n"/>
      <c r="I362" s="26">
        <f>IFERROR(SUMIF(A$6:A362,"&lt;&gt;""",G$6:G362)-SUMIF(A$6:A362,"&lt;&gt;""",H$6:H362),"")</f>
        <v/>
      </c>
      <c r="J362" s="26" t="n"/>
    </row>
    <row r="363" ht="15" customHeight="1">
      <c r="A363" s="26" t="n"/>
      <c r="B363" s="26" t="n"/>
      <c r="C363" s="26" t="n"/>
      <c r="D363" s="26" t="n"/>
      <c r="E363" s="26" t="n"/>
      <c r="F363" s="26" t="n"/>
      <c r="G363" s="26" t="n"/>
      <c r="H363" s="26" t="n"/>
      <c r="I363" s="26">
        <f>IFERROR(SUMIF(A$6:A363,"&lt;&gt;""",G$6:G363)-SUMIF(A$6:A363,"&lt;&gt;""",H$6:H363),"")</f>
        <v/>
      </c>
      <c r="J363" s="26" t="n"/>
    </row>
    <row r="364" ht="15" customHeight="1">
      <c r="A364" s="26" t="n"/>
      <c r="B364" s="26" t="n"/>
      <c r="C364" s="26" t="n"/>
      <c r="D364" s="26" t="n"/>
      <c r="E364" s="26" t="n"/>
      <c r="F364" s="26" t="n"/>
      <c r="G364" s="26" t="n"/>
      <c r="H364" s="26" t="n"/>
      <c r="I364" s="26">
        <f>IFERROR(SUMIF(A$6:A364,"&lt;&gt;""",G$6:G364)-SUMIF(A$6:A364,"&lt;&gt;""",H$6:H364),"")</f>
        <v/>
      </c>
      <c r="J364" s="26" t="n"/>
    </row>
    <row r="365" ht="15" customHeight="1">
      <c r="A365" s="26" t="n"/>
      <c r="B365" s="26" t="n"/>
      <c r="C365" s="26" t="n"/>
      <c r="D365" s="26" t="n"/>
      <c r="E365" s="26" t="n"/>
      <c r="F365" s="26" t="n"/>
      <c r="G365" s="26" t="n"/>
      <c r="H365" s="26" t="n"/>
      <c r="I365" s="26">
        <f>IFERROR(SUMIF(A$6:A365,"&lt;&gt;""",G$6:G365)-SUMIF(A$6:A365,"&lt;&gt;""",H$6:H365),"")</f>
        <v/>
      </c>
      <c r="J365" s="26" t="n"/>
    </row>
    <row r="366" ht="15" customHeight="1">
      <c r="A366" s="26" t="n"/>
      <c r="B366" s="26" t="n"/>
      <c r="C366" s="26" t="n"/>
      <c r="D366" s="26" t="n"/>
      <c r="E366" s="26" t="n"/>
      <c r="F366" s="26" t="n"/>
      <c r="G366" s="26" t="n"/>
      <c r="H366" s="26" t="n"/>
      <c r="I366" s="26">
        <f>IFERROR(SUMIF(A$6:A366,"&lt;&gt;""",G$6:G366)-SUMIF(A$6:A366,"&lt;&gt;""",H$6:H366),"")</f>
        <v/>
      </c>
      <c r="J366" s="26" t="n"/>
    </row>
    <row r="367" ht="15" customHeight="1">
      <c r="A367" s="26" t="n"/>
      <c r="B367" s="26" t="n"/>
      <c r="C367" s="26" t="n"/>
      <c r="D367" s="26" t="n"/>
      <c r="E367" s="26" t="n"/>
      <c r="F367" s="26" t="n"/>
      <c r="G367" s="26" t="n"/>
      <c r="H367" s="26" t="n"/>
      <c r="I367" s="26">
        <f>IFERROR(SUMIF(A$6:A367,"&lt;&gt;""",G$6:G367)-SUMIF(A$6:A367,"&lt;&gt;""",H$6:H367),"")</f>
        <v/>
      </c>
      <c r="J367" s="26" t="n"/>
    </row>
    <row r="368" ht="15" customHeight="1">
      <c r="A368" s="26" t="n"/>
      <c r="B368" s="26" t="n"/>
      <c r="C368" s="26" t="n"/>
      <c r="D368" s="26" t="n"/>
      <c r="E368" s="26" t="n"/>
      <c r="F368" s="26" t="n"/>
      <c r="G368" s="26" t="n"/>
      <c r="H368" s="26" t="n"/>
      <c r="I368" s="26">
        <f>IFERROR(SUMIF(A$6:A368,"&lt;&gt;""",G$6:G368)-SUMIF(A$6:A368,"&lt;&gt;""",H$6:H368),"")</f>
        <v/>
      </c>
      <c r="J368" s="26" t="n"/>
    </row>
    <row r="369" ht="15" customHeight="1">
      <c r="A369" s="26" t="n"/>
      <c r="B369" s="26" t="n"/>
      <c r="C369" s="26" t="n"/>
      <c r="D369" s="26" t="n"/>
      <c r="E369" s="26" t="n"/>
      <c r="F369" s="26" t="n"/>
      <c r="G369" s="26" t="n"/>
      <c r="H369" s="26" t="n"/>
      <c r="I369" s="26">
        <f>IFERROR(SUMIF(A$6:A369,"&lt;&gt;""",G$6:G369)-SUMIF(A$6:A369,"&lt;&gt;""",H$6:H369),"")</f>
        <v/>
      </c>
      <c r="J369" s="26" t="n"/>
    </row>
    <row r="370" ht="15" customHeight="1">
      <c r="A370" s="26" t="n"/>
      <c r="B370" s="26" t="n"/>
      <c r="C370" s="26" t="n"/>
      <c r="D370" s="26" t="n"/>
      <c r="E370" s="26" t="n"/>
      <c r="F370" s="26" t="n"/>
      <c r="G370" s="26" t="n"/>
      <c r="H370" s="26" t="n"/>
      <c r="I370" s="26">
        <f>IFERROR(SUMIF(A$6:A370,"&lt;&gt;""",G$6:G370)-SUMIF(A$6:A370,"&lt;&gt;""",H$6:H370),"")</f>
        <v/>
      </c>
      <c r="J370" s="26" t="n"/>
    </row>
    <row r="371" ht="15" customHeight="1">
      <c r="A371" s="26" t="n"/>
      <c r="B371" s="26" t="n"/>
      <c r="C371" s="26" t="n"/>
      <c r="D371" s="26" t="n"/>
      <c r="E371" s="26" t="n"/>
      <c r="F371" s="26" t="n"/>
      <c r="G371" s="26" t="n"/>
      <c r="H371" s="26" t="n"/>
      <c r="I371" s="26">
        <f>IFERROR(SUMIF(A$6:A371,"&lt;&gt;""",G$6:G371)-SUMIF(A$6:A371,"&lt;&gt;""",H$6:H371),"")</f>
        <v/>
      </c>
      <c r="J371" s="26" t="n"/>
    </row>
    <row r="372" ht="15" customHeight="1">
      <c r="A372" s="26" t="n"/>
      <c r="B372" s="26" t="n"/>
      <c r="C372" s="26" t="n"/>
      <c r="D372" s="26" t="n"/>
      <c r="E372" s="26" t="n"/>
      <c r="F372" s="26" t="n"/>
      <c r="G372" s="26" t="n"/>
      <c r="H372" s="26" t="n"/>
      <c r="I372" s="26">
        <f>IFERROR(SUMIF(A$6:A372,"&lt;&gt;""",G$6:G372)-SUMIF(A$6:A372,"&lt;&gt;""",H$6:H372),"")</f>
        <v/>
      </c>
      <c r="J372" s="26" t="n"/>
    </row>
    <row r="373" ht="15" customHeight="1">
      <c r="A373" s="26" t="n"/>
      <c r="B373" s="26" t="n"/>
      <c r="C373" s="26" t="n"/>
      <c r="D373" s="26" t="n"/>
      <c r="E373" s="26" t="n"/>
      <c r="F373" s="26" t="n"/>
      <c r="G373" s="26" t="n"/>
      <c r="H373" s="26" t="n"/>
      <c r="I373" s="26">
        <f>IFERROR(SUMIF(A$6:A373,"&lt;&gt;""",G$6:G373)-SUMIF(A$6:A373,"&lt;&gt;""",H$6:H373),"")</f>
        <v/>
      </c>
      <c r="J373" s="26" t="n"/>
    </row>
    <row r="374" ht="15" customHeight="1">
      <c r="A374" s="26" t="n"/>
      <c r="B374" s="26" t="n"/>
      <c r="C374" s="26" t="n"/>
      <c r="D374" s="26" t="n"/>
      <c r="E374" s="26" t="n"/>
      <c r="F374" s="26" t="n"/>
      <c r="G374" s="26" t="n"/>
      <c r="H374" s="26" t="n"/>
      <c r="I374" s="26">
        <f>IFERROR(SUMIF(A$6:A374,"&lt;&gt;""",G$6:G374)-SUMIF(A$6:A374,"&lt;&gt;""",H$6:H374),"")</f>
        <v/>
      </c>
      <c r="J374" s="26" t="n"/>
    </row>
    <row r="375" ht="15" customHeight="1">
      <c r="A375" s="26" t="n"/>
      <c r="B375" s="26" t="n"/>
      <c r="C375" s="26" t="n"/>
      <c r="D375" s="26" t="n"/>
      <c r="E375" s="26" t="n"/>
      <c r="F375" s="26" t="n"/>
      <c r="G375" s="26" t="n"/>
      <c r="H375" s="26" t="n"/>
      <c r="I375" s="26">
        <f>IFERROR(SUMIF(A$6:A375,"&lt;&gt;""",G$6:G375)-SUMIF(A$6:A375,"&lt;&gt;""",H$6:H375),"")</f>
        <v/>
      </c>
      <c r="J375" s="26" t="n"/>
    </row>
    <row r="376" ht="15" customHeight="1">
      <c r="A376" s="26" t="n"/>
      <c r="B376" s="26" t="n"/>
      <c r="C376" s="26" t="n"/>
      <c r="D376" s="26" t="n"/>
      <c r="E376" s="26" t="n"/>
      <c r="F376" s="26" t="n"/>
      <c r="G376" s="26" t="n"/>
      <c r="H376" s="26" t="n"/>
      <c r="I376" s="26">
        <f>IFERROR(SUMIF(A$6:A376,"&lt;&gt;""",G$6:G376)-SUMIF(A$6:A376,"&lt;&gt;""",H$6:H376),"")</f>
        <v/>
      </c>
      <c r="J376" s="26" t="n"/>
    </row>
    <row r="377" ht="15" customHeight="1">
      <c r="A377" s="26" t="n"/>
      <c r="B377" s="26" t="n"/>
      <c r="C377" s="26" t="n"/>
      <c r="D377" s="26" t="n"/>
      <c r="E377" s="26" t="n"/>
      <c r="F377" s="26" t="n"/>
      <c r="G377" s="26" t="n"/>
      <c r="H377" s="26" t="n"/>
      <c r="I377" s="26">
        <f>IFERROR(SUMIF(A$6:A377,"&lt;&gt;""",G$6:G377)-SUMIF(A$6:A377,"&lt;&gt;""",H$6:H377),"")</f>
        <v/>
      </c>
      <c r="J377" s="26" t="n"/>
    </row>
    <row r="378" ht="15" customHeight="1">
      <c r="A378" s="26" t="n"/>
      <c r="B378" s="26" t="n"/>
      <c r="C378" s="26" t="n"/>
      <c r="D378" s="26" t="n"/>
      <c r="E378" s="26" t="n"/>
      <c r="F378" s="26" t="n"/>
      <c r="G378" s="26" t="n"/>
      <c r="H378" s="26" t="n"/>
      <c r="I378" s="26">
        <f>IFERROR(SUMIF(A$6:A378,"&lt;&gt;""",G$6:G378)-SUMIF(A$6:A378,"&lt;&gt;""",H$6:H378),"")</f>
        <v/>
      </c>
      <c r="J378" s="26" t="n"/>
    </row>
    <row r="379" ht="15" customHeight="1">
      <c r="A379" s="26" t="n"/>
      <c r="B379" s="26" t="n"/>
      <c r="C379" s="26" t="n"/>
      <c r="D379" s="26" t="n"/>
      <c r="E379" s="26" t="n"/>
      <c r="F379" s="26" t="n"/>
      <c r="G379" s="26" t="n"/>
      <c r="H379" s="26" t="n"/>
      <c r="I379" s="26">
        <f>IFERROR(SUMIF(A$6:A379,"&lt;&gt;""",G$6:G379)-SUMIF(A$6:A379,"&lt;&gt;""",H$6:H379),"")</f>
        <v/>
      </c>
      <c r="J379" s="26" t="n"/>
    </row>
    <row r="380" ht="15" customHeight="1">
      <c r="A380" s="26" t="n"/>
      <c r="B380" s="26" t="n"/>
      <c r="C380" s="26" t="n"/>
      <c r="D380" s="26" t="n"/>
      <c r="E380" s="26" t="n"/>
      <c r="F380" s="26" t="n"/>
      <c r="G380" s="26" t="n"/>
      <c r="H380" s="26" t="n"/>
      <c r="I380" s="26">
        <f>IFERROR(SUMIF(A$6:A380,"&lt;&gt;""",G$6:G380)-SUMIF(A$6:A380,"&lt;&gt;""",H$6:H380),"")</f>
        <v/>
      </c>
      <c r="J380" s="26" t="n"/>
    </row>
    <row r="381" ht="15" customHeight="1">
      <c r="A381" s="26" t="n"/>
      <c r="B381" s="26" t="n"/>
      <c r="C381" s="26" t="n"/>
      <c r="D381" s="26" t="n"/>
      <c r="E381" s="26" t="n"/>
      <c r="F381" s="26" t="n"/>
      <c r="G381" s="26" t="n"/>
      <c r="H381" s="26" t="n"/>
      <c r="I381" s="26">
        <f>IFERROR(SUMIF(A$6:A381,"&lt;&gt;""",G$6:G381)-SUMIF(A$6:A381,"&lt;&gt;""",H$6:H381),"")</f>
        <v/>
      </c>
      <c r="J381" s="26" t="n"/>
    </row>
    <row r="382" ht="15" customHeight="1">
      <c r="A382" s="26" t="n"/>
      <c r="B382" s="26" t="n"/>
      <c r="C382" s="26" t="n"/>
      <c r="D382" s="26" t="n"/>
      <c r="E382" s="26" t="n"/>
      <c r="F382" s="26" t="n"/>
      <c r="G382" s="26" t="n"/>
      <c r="H382" s="26" t="n"/>
      <c r="I382" s="26">
        <f>IFERROR(SUMIF(A$6:A382,"&lt;&gt;""",G$6:G382)-SUMIF(A$6:A382,"&lt;&gt;""",H$6:H382),"")</f>
        <v/>
      </c>
      <c r="J382" s="26" t="n"/>
    </row>
    <row r="383" ht="15" customHeight="1">
      <c r="A383" s="26" t="n"/>
      <c r="B383" s="26" t="n"/>
      <c r="C383" s="26" t="n"/>
      <c r="D383" s="26" t="n"/>
      <c r="E383" s="26" t="n"/>
      <c r="F383" s="26" t="n"/>
      <c r="G383" s="26" t="n"/>
      <c r="H383" s="26" t="n"/>
      <c r="I383" s="26">
        <f>IFERROR(SUMIF(A$6:A383,"&lt;&gt;""",G$6:G383)-SUMIF(A$6:A383,"&lt;&gt;""",H$6:H383),"")</f>
        <v/>
      </c>
      <c r="J383" s="26" t="n"/>
    </row>
    <row r="384" ht="15" customHeight="1">
      <c r="A384" s="26" t="n"/>
      <c r="B384" s="26" t="n"/>
      <c r="C384" s="26" t="n"/>
      <c r="D384" s="26" t="n"/>
      <c r="E384" s="26" t="n"/>
      <c r="F384" s="26" t="n"/>
      <c r="G384" s="26" t="n"/>
      <c r="H384" s="26" t="n"/>
      <c r="I384" s="26">
        <f>IFERROR(SUMIF(A$6:A384,"&lt;&gt;""",G$6:G384)-SUMIF(A$6:A384,"&lt;&gt;""",H$6:H384),"")</f>
        <v/>
      </c>
      <c r="J384" s="26" t="n"/>
    </row>
    <row r="385" ht="15" customHeight="1">
      <c r="A385" s="26" t="n"/>
      <c r="B385" s="26" t="n"/>
      <c r="C385" s="26" t="n"/>
      <c r="D385" s="26" t="n"/>
      <c r="E385" s="26" t="n"/>
      <c r="F385" s="26" t="n"/>
      <c r="G385" s="26" t="n"/>
      <c r="H385" s="26" t="n"/>
      <c r="I385" s="26">
        <f>IFERROR(SUMIF(A$6:A385,"&lt;&gt;""",G$6:G385)-SUMIF(A$6:A385,"&lt;&gt;""",H$6:H385),"")</f>
        <v/>
      </c>
      <c r="J385" s="26" t="n"/>
    </row>
    <row r="386" ht="15" customHeight="1">
      <c r="A386" s="26" t="n"/>
      <c r="B386" s="26" t="n"/>
      <c r="C386" s="26" t="n"/>
      <c r="D386" s="26" t="n"/>
      <c r="E386" s="26" t="n"/>
      <c r="F386" s="26" t="n"/>
      <c r="G386" s="26" t="n"/>
      <c r="H386" s="26" t="n"/>
      <c r="I386" s="26">
        <f>IFERROR(SUMIF(A$6:A386,"&lt;&gt;""",G$6:G386)-SUMIF(A$6:A386,"&lt;&gt;""",H$6:H386),"")</f>
        <v/>
      </c>
      <c r="J386" s="26" t="n"/>
    </row>
    <row r="387" ht="15" customHeight="1">
      <c r="A387" s="26" t="n"/>
      <c r="B387" s="26" t="n"/>
      <c r="C387" s="26" t="n"/>
      <c r="D387" s="26" t="n"/>
      <c r="E387" s="26" t="n"/>
      <c r="F387" s="26" t="n"/>
      <c r="G387" s="26" t="n"/>
      <c r="H387" s="26" t="n"/>
      <c r="I387" s="26">
        <f>IFERROR(SUMIF(A$6:A387,"&lt;&gt;""",G$6:G387)-SUMIF(A$6:A387,"&lt;&gt;""",H$6:H387),"")</f>
        <v/>
      </c>
      <c r="J387" s="26" t="n"/>
    </row>
    <row r="388" ht="15" customHeight="1">
      <c r="A388" s="26" t="n"/>
      <c r="B388" s="26" t="n"/>
      <c r="C388" s="26" t="n"/>
      <c r="D388" s="26" t="n"/>
      <c r="E388" s="26" t="n"/>
      <c r="F388" s="26" t="n"/>
      <c r="G388" s="26" t="n"/>
      <c r="H388" s="26" t="n"/>
      <c r="I388" s="26">
        <f>IFERROR(SUMIF(A$6:A388,"&lt;&gt;""",G$6:G388)-SUMIF(A$6:A388,"&lt;&gt;""",H$6:H388),"")</f>
        <v/>
      </c>
      <c r="J388" s="26" t="n"/>
    </row>
    <row r="389" ht="15" customHeight="1">
      <c r="A389" s="26" t="n"/>
      <c r="B389" s="26" t="n"/>
      <c r="C389" s="26" t="n"/>
      <c r="D389" s="26" t="n"/>
      <c r="E389" s="26" t="n"/>
      <c r="F389" s="26" t="n"/>
      <c r="G389" s="26" t="n"/>
      <c r="H389" s="26" t="n"/>
      <c r="I389" s="26">
        <f>IFERROR(SUMIF(A$6:A389,"&lt;&gt;""",G$6:G389)-SUMIF(A$6:A389,"&lt;&gt;""",H$6:H389),"")</f>
        <v/>
      </c>
      <c r="J389" s="26" t="n"/>
    </row>
    <row r="390" ht="15" customHeight="1">
      <c r="A390" s="26" t="n"/>
      <c r="B390" s="26" t="n"/>
      <c r="C390" s="26" t="n"/>
      <c r="D390" s="26" t="n"/>
      <c r="E390" s="26" t="n"/>
      <c r="F390" s="26" t="n"/>
      <c r="G390" s="26" t="n"/>
      <c r="H390" s="26" t="n"/>
      <c r="I390" s="26">
        <f>IFERROR(SUMIF(A$6:A390,"&lt;&gt;""",G$6:G390)-SUMIF(A$6:A390,"&lt;&gt;""",H$6:H390),"")</f>
        <v/>
      </c>
      <c r="J390" s="26" t="n"/>
    </row>
    <row r="391" ht="15" customHeight="1">
      <c r="A391" s="26" t="n"/>
      <c r="B391" s="26" t="n"/>
      <c r="C391" s="26" t="n"/>
      <c r="D391" s="26" t="n"/>
      <c r="E391" s="26" t="n"/>
      <c r="F391" s="26" t="n"/>
      <c r="G391" s="26" t="n"/>
      <c r="H391" s="26" t="n"/>
      <c r="I391" s="26">
        <f>IFERROR(SUMIF(A$6:A391,"&lt;&gt;""",G$6:G391)-SUMIF(A$6:A391,"&lt;&gt;""",H$6:H391),"")</f>
        <v/>
      </c>
      <c r="J391" s="26" t="n"/>
    </row>
    <row r="392" ht="15" customHeight="1">
      <c r="A392" s="26" t="n"/>
      <c r="B392" s="26" t="n"/>
      <c r="C392" s="26" t="n"/>
      <c r="D392" s="26" t="n"/>
      <c r="E392" s="26" t="n"/>
      <c r="F392" s="26" t="n"/>
      <c r="G392" s="26" t="n"/>
      <c r="H392" s="26" t="n"/>
      <c r="I392" s="26">
        <f>IFERROR(SUMIF(A$6:A392,"&lt;&gt;""",G$6:G392)-SUMIF(A$6:A392,"&lt;&gt;""",H$6:H392),"")</f>
        <v/>
      </c>
      <c r="J392" s="26" t="n"/>
    </row>
    <row r="393" ht="15" customHeight="1">
      <c r="A393" s="26" t="n"/>
      <c r="B393" s="26" t="n"/>
      <c r="C393" s="26" t="n"/>
      <c r="D393" s="26" t="n"/>
      <c r="E393" s="26" t="n"/>
      <c r="F393" s="26" t="n"/>
      <c r="G393" s="26" t="n"/>
      <c r="H393" s="26" t="n"/>
      <c r="I393" s="26">
        <f>IFERROR(SUMIF(A$6:A393,"&lt;&gt;""",G$6:G393)-SUMIF(A$6:A393,"&lt;&gt;""",H$6:H393),"")</f>
        <v/>
      </c>
      <c r="J393" s="26" t="n"/>
    </row>
    <row r="394" ht="15" customHeight="1">
      <c r="A394" s="26" t="n"/>
      <c r="B394" s="26" t="n"/>
      <c r="C394" s="26" t="n"/>
      <c r="D394" s="26" t="n"/>
      <c r="E394" s="26" t="n"/>
      <c r="F394" s="26" t="n"/>
      <c r="G394" s="26" t="n"/>
      <c r="H394" s="26" t="n"/>
      <c r="I394" s="26">
        <f>IFERROR(SUMIF(A$6:A394,"&lt;&gt;""",G$6:G394)-SUMIF(A$6:A394,"&lt;&gt;""",H$6:H394),"")</f>
        <v/>
      </c>
      <c r="J394" s="26" t="n"/>
    </row>
    <row r="395" ht="15" customHeight="1">
      <c r="A395" s="26" t="n"/>
      <c r="B395" s="26" t="n"/>
      <c r="C395" s="26" t="n"/>
      <c r="D395" s="26" t="n"/>
      <c r="E395" s="26" t="n"/>
      <c r="F395" s="26" t="n"/>
      <c r="G395" s="26" t="n"/>
      <c r="H395" s="26" t="n"/>
      <c r="I395" s="26">
        <f>IFERROR(SUMIF(A$6:A395,"&lt;&gt;""",G$6:G395)-SUMIF(A$6:A395,"&lt;&gt;""",H$6:H395),"")</f>
        <v/>
      </c>
      <c r="J395" s="26" t="n"/>
    </row>
    <row r="396" ht="15" customHeight="1">
      <c r="A396" s="26" t="n"/>
      <c r="B396" s="26" t="n"/>
      <c r="C396" s="26" t="n"/>
      <c r="D396" s="26" t="n"/>
      <c r="E396" s="26" t="n"/>
      <c r="F396" s="26" t="n"/>
      <c r="G396" s="26" t="n"/>
      <c r="H396" s="26" t="n"/>
      <c r="I396" s="26">
        <f>IFERROR(SUMIF(A$6:A396,"&lt;&gt;""",G$6:G396)-SUMIF(A$6:A396,"&lt;&gt;""",H$6:H396),"")</f>
        <v/>
      </c>
      <c r="J396" s="26" t="n"/>
    </row>
    <row r="397" ht="15" customHeight="1">
      <c r="A397" s="26" t="n"/>
      <c r="B397" s="26" t="n"/>
      <c r="C397" s="26" t="n"/>
      <c r="D397" s="26" t="n"/>
      <c r="E397" s="26" t="n"/>
      <c r="F397" s="26" t="n"/>
      <c r="G397" s="26" t="n"/>
      <c r="H397" s="26" t="n"/>
      <c r="I397" s="26">
        <f>IFERROR(SUMIF(A$6:A397,"&lt;&gt;""",G$6:G397)-SUMIF(A$6:A397,"&lt;&gt;""",H$6:H397),"")</f>
        <v/>
      </c>
      <c r="J397" s="26" t="n"/>
    </row>
    <row r="398" ht="15" customHeight="1">
      <c r="A398" s="26" t="n"/>
      <c r="B398" s="26" t="n"/>
      <c r="C398" s="26" t="n"/>
      <c r="D398" s="26" t="n"/>
      <c r="E398" s="26" t="n"/>
      <c r="F398" s="26" t="n"/>
      <c r="G398" s="26" t="n"/>
      <c r="H398" s="26" t="n"/>
      <c r="I398" s="26">
        <f>IFERROR(SUMIF(A$6:A398,"&lt;&gt;""",G$6:G398)-SUMIF(A$6:A398,"&lt;&gt;""",H$6:H398),"")</f>
        <v/>
      </c>
      <c r="J398" s="26" t="n"/>
    </row>
    <row r="399" ht="15" customHeight="1">
      <c r="A399" s="26" t="n"/>
      <c r="B399" s="26" t="n"/>
      <c r="C399" s="26" t="n"/>
      <c r="D399" s="26" t="n"/>
      <c r="E399" s="26" t="n"/>
      <c r="F399" s="26" t="n"/>
      <c r="G399" s="26" t="n"/>
      <c r="H399" s="26" t="n"/>
      <c r="I399" s="26">
        <f>IFERROR(SUMIF(A$6:A399,"&lt;&gt;""",G$6:G399)-SUMIF(A$6:A399,"&lt;&gt;""",H$6:H399),"")</f>
        <v/>
      </c>
      <c r="J399" s="26" t="n"/>
    </row>
    <row r="400" ht="15" customHeight="1">
      <c r="A400" s="26" t="n"/>
      <c r="B400" s="26" t="n"/>
      <c r="C400" s="26" t="n"/>
      <c r="D400" s="26" t="n"/>
      <c r="E400" s="26" t="n"/>
      <c r="F400" s="26" t="n"/>
      <c r="G400" s="26" t="n"/>
      <c r="H400" s="26" t="n"/>
      <c r="I400" s="26">
        <f>IFERROR(SUMIF(A$6:A400,"&lt;&gt;""",G$6:G400)-SUMIF(A$6:A400,"&lt;&gt;""",H$6:H400),"")</f>
        <v/>
      </c>
      <c r="J400" s="26" t="n"/>
    </row>
    <row r="401" ht="15" customHeight="1">
      <c r="A401" s="26" t="n"/>
      <c r="B401" s="26" t="n"/>
      <c r="C401" s="26" t="n"/>
      <c r="D401" s="26" t="n"/>
      <c r="E401" s="26" t="n"/>
      <c r="F401" s="26" t="n"/>
      <c r="G401" s="26" t="n"/>
      <c r="H401" s="26" t="n"/>
      <c r="I401" s="26">
        <f>IFERROR(SUMIF(A$6:A401,"&lt;&gt;""",G$6:G401)-SUMIF(A$6:A401,"&lt;&gt;""",H$6:H401),"")</f>
        <v/>
      </c>
      <c r="J401" s="26" t="n"/>
    </row>
    <row r="402" ht="15" customHeight="1">
      <c r="A402" s="26" t="n"/>
      <c r="B402" s="26" t="n"/>
      <c r="C402" s="26" t="n"/>
      <c r="D402" s="26" t="n"/>
      <c r="E402" s="26" t="n"/>
      <c r="F402" s="26" t="n"/>
      <c r="G402" s="26" t="n"/>
      <c r="H402" s="26" t="n"/>
      <c r="I402" s="26">
        <f>IFERROR(SUMIF(A$6:A402,"&lt;&gt;""",G$6:G402)-SUMIF(A$6:A402,"&lt;&gt;""",H$6:H402),"")</f>
        <v/>
      </c>
      <c r="J402" s="26" t="n"/>
    </row>
    <row r="403" ht="15" customHeight="1">
      <c r="A403" s="26" t="n"/>
      <c r="B403" s="26" t="n"/>
      <c r="C403" s="26" t="n"/>
      <c r="D403" s="26" t="n"/>
      <c r="E403" s="26" t="n"/>
      <c r="F403" s="26" t="n"/>
      <c r="G403" s="26" t="n"/>
      <c r="H403" s="26" t="n"/>
      <c r="I403" s="26">
        <f>IFERROR(SUMIF(A$6:A403,"&lt;&gt;""",G$6:G403)-SUMIF(A$6:A403,"&lt;&gt;""",H$6:H403),"")</f>
        <v/>
      </c>
      <c r="J403" s="26" t="n"/>
    </row>
    <row r="404" ht="15" customHeight="1">
      <c r="A404" s="26" t="n"/>
      <c r="B404" s="26" t="n"/>
      <c r="C404" s="26" t="n"/>
      <c r="D404" s="26" t="n"/>
      <c r="E404" s="26" t="n"/>
      <c r="F404" s="26" t="n"/>
      <c r="G404" s="26" t="n"/>
      <c r="H404" s="26" t="n"/>
      <c r="I404" s="26">
        <f>IFERROR(SUMIF(A$6:A404,"&lt;&gt;""",G$6:G404)-SUMIF(A$6:A404,"&lt;&gt;""",H$6:H404),"")</f>
        <v/>
      </c>
      <c r="J404" s="26" t="n"/>
    </row>
    <row r="405" ht="15" customHeight="1">
      <c r="A405" s="26" t="n"/>
      <c r="B405" s="26" t="n"/>
      <c r="C405" s="26" t="n"/>
      <c r="D405" s="26" t="n"/>
      <c r="E405" s="26" t="n"/>
      <c r="F405" s="26" t="n"/>
      <c r="G405" s="26" t="n"/>
      <c r="H405" s="26" t="n"/>
      <c r="I405" s="26">
        <f>IFERROR(SUMIF(A$6:A405,"&lt;&gt;""",G$6:G405)-SUMIF(A$6:A405,"&lt;&gt;""",H$6:H405),"")</f>
        <v/>
      </c>
      <c r="J405" s="26" t="n"/>
    </row>
    <row r="406" ht="15" customHeight="1">
      <c r="A406" s="26" t="n"/>
      <c r="B406" s="26" t="n"/>
      <c r="C406" s="26" t="n"/>
      <c r="D406" s="26" t="n"/>
      <c r="E406" s="26" t="n"/>
      <c r="F406" s="26" t="n"/>
      <c r="G406" s="26" t="n"/>
      <c r="H406" s="26" t="n"/>
      <c r="I406" s="26">
        <f>IFERROR(SUMIF(A$6:A406,"&lt;&gt;""",G$6:G406)-SUMIF(A$6:A406,"&lt;&gt;""",H$6:H406),"")</f>
        <v/>
      </c>
      <c r="J406" s="26" t="n"/>
    </row>
    <row r="407" ht="15" customHeight="1">
      <c r="A407" s="26" t="n"/>
      <c r="B407" s="26" t="n"/>
      <c r="C407" s="26" t="n"/>
      <c r="D407" s="26" t="n"/>
      <c r="E407" s="26" t="n"/>
      <c r="F407" s="26" t="n"/>
      <c r="G407" s="26" t="n"/>
      <c r="H407" s="26" t="n"/>
      <c r="I407" s="26">
        <f>IFERROR(SUMIF(A$6:A407,"&lt;&gt;""",G$6:G407)-SUMIF(A$6:A407,"&lt;&gt;""",H$6:H407),"")</f>
        <v/>
      </c>
      <c r="J407" s="26" t="n"/>
    </row>
    <row r="408" ht="15" customHeight="1">
      <c r="A408" s="26" t="n"/>
      <c r="B408" s="26" t="n"/>
      <c r="C408" s="26" t="n"/>
      <c r="D408" s="26" t="n"/>
      <c r="E408" s="26" t="n"/>
      <c r="F408" s="26" t="n"/>
      <c r="G408" s="26" t="n"/>
      <c r="H408" s="26" t="n"/>
      <c r="I408" s="26">
        <f>IFERROR(SUMIF(A$6:A408,"&lt;&gt;""",G$6:G408)-SUMIF(A$6:A408,"&lt;&gt;""",H$6:H408),"")</f>
        <v/>
      </c>
      <c r="J408" s="26" t="n"/>
    </row>
    <row r="409" ht="15" customHeight="1">
      <c r="A409" s="26" t="n"/>
      <c r="B409" s="26" t="n"/>
      <c r="C409" s="26" t="n"/>
      <c r="D409" s="26" t="n"/>
      <c r="E409" s="26" t="n"/>
      <c r="F409" s="26" t="n"/>
      <c r="G409" s="26" t="n"/>
      <c r="H409" s="26" t="n"/>
      <c r="I409" s="26">
        <f>IFERROR(SUMIF(A$6:A409,"&lt;&gt;""",G$6:G409)-SUMIF(A$6:A409,"&lt;&gt;""",H$6:H409),"")</f>
        <v/>
      </c>
      <c r="J409" s="26" t="n"/>
    </row>
    <row r="410" ht="15" customHeight="1">
      <c r="A410" s="26" t="n"/>
      <c r="B410" s="26" t="n"/>
      <c r="C410" s="26" t="n"/>
      <c r="D410" s="26" t="n"/>
      <c r="E410" s="26" t="n"/>
      <c r="F410" s="26" t="n"/>
      <c r="G410" s="26" t="n"/>
      <c r="H410" s="26" t="n"/>
      <c r="I410" s="26">
        <f>IFERROR(SUMIF(A$6:A410,"&lt;&gt;""",G$6:G410)-SUMIF(A$6:A410,"&lt;&gt;""",H$6:H410),"")</f>
        <v/>
      </c>
      <c r="J410" s="26" t="n"/>
    </row>
    <row r="411" ht="15" customHeight="1">
      <c r="A411" s="26" t="n"/>
      <c r="B411" s="26" t="n"/>
      <c r="C411" s="26" t="n"/>
      <c r="D411" s="26" t="n"/>
      <c r="E411" s="26" t="n"/>
      <c r="F411" s="26" t="n"/>
      <c r="G411" s="26" t="n"/>
      <c r="H411" s="26" t="n"/>
      <c r="I411" s="26">
        <f>IFERROR(SUMIF(A$6:A411,"&lt;&gt;""",G$6:G411)-SUMIF(A$6:A411,"&lt;&gt;""",H$6:H411),"")</f>
        <v/>
      </c>
      <c r="J411" s="26" t="n"/>
    </row>
    <row r="412" ht="15" customHeight="1">
      <c r="A412" s="26" t="n"/>
      <c r="B412" s="26" t="n"/>
      <c r="C412" s="26" t="n"/>
      <c r="D412" s="26" t="n"/>
      <c r="E412" s="26" t="n"/>
      <c r="F412" s="26" t="n"/>
      <c r="G412" s="26" t="n"/>
      <c r="H412" s="26" t="n"/>
      <c r="I412" s="26">
        <f>IFERROR(SUMIF(A$6:A412,"&lt;&gt;""",G$6:G412)-SUMIF(A$6:A412,"&lt;&gt;""",H$6:H412),"")</f>
        <v/>
      </c>
      <c r="J412" s="26" t="n"/>
    </row>
    <row r="413" ht="15" customHeight="1">
      <c r="A413" s="26" t="n"/>
      <c r="B413" s="26" t="n"/>
      <c r="C413" s="26" t="n"/>
      <c r="D413" s="26" t="n"/>
      <c r="E413" s="26" t="n"/>
      <c r="F413" s="26" t="n"/>
      <c r="G413" s="26" t="n"/>
      <c r="H413" s="26" t="n"/>
      <c r="I413" s="26">
        <f>IFERROR(SUMIF(A$6:A413,"&lt;&gt;""",G$6:G413)-SUMIF(A$6:A413,"&lt;&gt;""",H$6:H413),"")</f>
        <v/>
      </c>
      <c r="J413" s="26" t="n"/>
    </row>
    <row r="414" ht="15" customHeight="1">
      <c r="A414" s="26" t="n"/>
      <c r="B414" s="26" t="n"/>
      <c r="C414" s="26" t="n"/>
      <c r="D414" s="26" t="n"/>
      <c r="E414" s="26" t="n"/>
      <c r="F414" s="26" t="n"/>
      <c r="G414" s="26" t="n"/>
      <c r="H414" s="26" t="n"/>
      <c r="I414" s="26">
        <f>IFERROR(SUMIF(A$6:A414,"&lt;&gt;""",G$6:G414)-SUMIF(A$6:A414,"&lt;&gt;""",H$6:H414),"")</f>
        <v/>
      </c>
      <c r="J414" s="26" t="n"/>
    </row>
    <row r="415" ht="15" customHeight="1">
      <c r="A415" s="26" t="n"/>
      <c r="B415" s="26" t="n"/>
      <c r="C415" s="26" t="n"/>
      <c r="D415" s="26" t="n"/>
      <c r="E415" s="26" t="n"/>
      <c r="F415" s="26" t="n"/>
      <c r="G415" s="26" t="n"/>
      <c r="H415" s="26" t="n"/>
      <c r="I415" s="26">
        <f>IFERROR(SUMIF(A$6:A415,"&lt;&gt;""",G$6:G415)-SUMIF(A$6:A415,"&lt;&gt;""",H$6:H415),"")</f>
        <v/>
      </c>
      <c r="J415" s="26" t="n"/>
    </row>
    <row r="416" ht="15" customHeight="1">
      <c r="A416" s="26" t="n"/>
      <c r="B416" s="26" t="n"/>
      <c r="C416" s="26" t="n"/>
      <c r="D416" s="26" t="n"/>
      <c r="E416" s="26" t="n"/>
      <c r="F416" s="26" t="n"/>
      <c r="G416" s="26" t="n"/>
      <c r="H416" s="26" t="n"/>
      <c r="I416" s="26">
        <f>IFERROR(SUMIF(A$6:A416,"&lt;&gt;""",G$6:G416)-SUMIF(A$6:A416,"&lt;&gt;""",H$6:H416),"")</f>
        <v/>
      </c>
      <c r="J416" s="26" t="n"/>
    </row>
    <row r="417" ht="15" customHeight="1">
      <c r="A417" s="26" t="n"/>
      <c r="B417" s="26" t="n"/>
      <c r="C417" s="26" t="n"/>
      <c r="D417" s="26" t="n"/>
      <c r="E417" s="26" t="n"/>
      <c r="F417" s="26" t="n"/>
      <c r="G417" s="26" t="n"/>
      <c r="H417" s="26" t="n"/>
      <c r="I417" s="26">
        <f>IFERROR(SUMIF(A$6:A417,"&lt;&gt;""",G$6:G417)-SUMIF(A$6:A417,"&lt;&gt;""",H$6:H417),"")</f>
        <v/>
      </c>
      <c r="J417" s="26" t="n"/>
    </row>
    <row r="418" ht="15" customHeight="1">
      <c r="A418" s="26" t="n"/>
      <c r="B418" s="26" t="n"/>
      <c r="C418" s="26" t="n"/>
      <c r="D418" s="26" t="n"/>
      <c r="E418" s="26" t="n"/>
      <c r="F418" s="26" t="n"/>
      <c r="G418" s="26" t="n"/>
      <c r="H418" s="26" t="n"/>
      <c r="I418" s="26">
        <f>IFERROR(SUMIF(A$6:A418,"&lt;&gt;""",G$6:G418)-SUMIF(A$6:A418,"&lt;&gt;""",H$6:H418),"")</f>
        <v/>
      </c>
      <c r="J418" s="26" t="n"/>
    </row>
    <row r="419" ht="15" customHeight="1">
      <c r="A419" s="26" t="n"/>
      <c r="B419" s="26" t="n"/>
      <c r="C419" s="26" t="n"/>
      <c r="D419" s="26" t="n"/>
      <c r="E419" s="26" t="n"/>
      <c r="F419" s="26" t="n"/>
      <c r="G419" s="26" t="n"/>
      <c r="H419" s="26" t="n"/>
      <c r="I419" s="26">
        <f>IFERROR(SUMIF(A$6:A419,"&lt;&gt;""",G$6:G419)-SUMIF(A$6:A419,"&lt;&gt;""",H$6:H419),"")</f>
        <v/>
      </c>
      <c r="J419" s="26" t="n"/>
    </row>
    <row r="420" ht="15" customHeight="1">
      <c r="A420" s="26" t="n"/>
      <c r="B420" s="26" t="n"/>
      <c r="C420" s="26" t="n"/>
      <c r="D420" s="26" t="n"/>
      <c r="E420" s="26" t="n"/>
      <c r="F420" s="26" t="n"/>
      <c r="G420" s="26" t="n"/>
      <c r="H420" s="26" t="n"/>
      <c r="I420" s="26">
        <f>IFERROR(SUMIF(A$6:A420,"&lt;&gt;""",G$6:G420)-SUMIF(A$6:A420,"&lt;&gt;""",H$6:H420),"")</f>
        <v/>
      </c>
      <c r="J420" s="26" t="n"/>
    </row>
    <row r="421" ht="15" customHeight="1">
      <c r="A421" s="26" t="n"/>
      <c r="B421" s="26" t="n"/>
      <c r="C421" s="26" t="n"/>
      <c r="D421" s="26" t="n"/>
      <c r="E421" s="26" t="n"/>
      <c r="F421" s="26" t="n"/>
      <c r="G421" s="26" t="n"/>
      <c r="H421" s="26" t="n"/>
      <c r="I421" s="26">
        <f>IFERROR(SUMIF(A$6:A421,"&lt;&gt;""",G$6:G421)-SUMIF(A$6:A421,"&lt;&gt;""",H$6:H421),"")</f>
        <v/>
      </c>
      <c r="J421" s="26" t="n"/>
    </row>
    <row r="422" ht="15" customHeight="1">
      <c r="A422" s="26" t="n"/>
      <c r="B422" s="26" t="n"/>
      <c r="C422" s="26" t="n"/>
      <c r="D422" s="26" t="n"/>
      <c r="E422" s="26" t="n"/>
      <c r="F422" s="26" t="n"/>
      <c r="G422" s="26" t="n"/>
      <c r="H422" s="26" t="n"/>
      <c r="I422" s="26">
        <f>IFERROR(SUMIF(A$6:A422,"&lt;&gt;""",G$6:G422)-SUMIF(A$6:A422,"&lt;&gt;""",H$6:H422),"")</f>
        <v/>
      </c>
      <c r="J422" s="26" t="n"/>
    </row>
    <row r="423" ht="15" customHeight="1">
      <c r="A423" s="26" t="n"/>
      <c r="B423" s="26" t="n"/>
      <c r="C423" s="26" t="n"/>
      <c r="D423" s="26" t="n"/>
      <c r="E423" s="26" t="n"/>
      <c r="F423" s="26" t="n"/>
      <c r="G423" s="26" t="n"/>
      <c r="H423" s="26" t="n"/>
      <c r="I423" s="26">
        <f>IFERROR(SUMIF(A$6:A423,"&lt;&gt;""",G$6:G423)-SUMIF(A$6:A423,"&lt;&gt;""",H$6:H423),"")</f>
        <v/>
      </c>
      <c r="J423" s="26" t="n"/>
    </row>
    <row r="424" ht="15" customHeight="1">
      <c r="A424" s="26" t="n"/>
      <c r="B424" s="26" t="n"/>
      <c r="C424" s="26" t="n"/>
      <c r="D424" s="26" t="n"/>
      <c r="E424" s="26" t="n"/>
      <c r="F424" s="26" t="n"/>
      <c r="G424" s="26" t="n"/>
      <c r="H424" s="26" t="n"/>
      <c r="I424" s="26">
        <f>IFERROR(SUMIF(A$6:A424,"&lt;&gt;""",G$6:G424)-SUMIF(A$6:A424,"&lt;&gt;""",H$6:H424),"")</f>
        <v/>
      </c>
      <c r="J424" s="26" t="n"/>
    </row>
    <row r="425" ht="15" customHeight="1">
      <c r="A425" s="26" t="n"/>
      <c r="B425" s="26" t="n"/>
      <c r="C425" s="26" t="n"/>
      <c r="D425" s="26" t="n"/>
      <c r="E425" s="26" t="n"/>
      <c r="F425" s="26" t="n"/>
      <c r="G425" s="26" t="n"/>
      <c r="H425" s="26" t="n"/>
      <c r="I425" s="26">
        <f>IFERROR(SUMIF(A$6:A425,"&lt;&gt;""",G$6:G425)-SUMIF(A$6:A425,"&lt;&gt;""",H$6:H425),"")</f>
        <v/>
      </c>
      <c r="J425" s="26" t="n"/>
    </row>
    <row r="426" ht="15" customHeight="1">
      <c r="A426" s="26" t="n"/>
      <c r="B426" s="26" t="n"/>
      <c r="C426" s="26" t="n"/>
      <c r="D426" s="26" t="n"/>
      <c r="E426" s="26" t="n"/>
      <c r="F426" s="26" t="n"/>
      <c r="G426" s="26" t="n"/>
      <c r="H426" s="26" t="n"/>
      <c r="I426" s="26">
        <f>IFERROR(SUMIF(A$6:A426,"&lt;&gt;""",G$6:G426)-SUMIF(A$6:A426,"&lt;&gt;""",H$6:H426),"")</f>
        <v/>
      </c>
      <c r="J426" s="26" t="n"/>
    </row>
    <row r="427" ht="15" customHeight="1">
      <c r="A427" s="26" t="n"/>
      <c r="B427" s="26" t="n"/>
      <c r="C427" s="26" t="n"/>
      <c r="D427" s="26" t="n"/>
      <c r="E427" s="26" t="n"/>
      <c r="F427" s="26" t="n"/>
      <c r="G427" s="26" t="n"/>
      <c r="H427" s="26" t="n"/>
      <c r="I427" s="26">
        <f>IFERROR(SUMIF(A$6:A427,"&lt;&gt;""",G$6:G427)-SUMIF(A$6:A427,"&lt;&gt;""",H$6:H427),"")</f>
        <v/>
      </c>
      <c r="J427" s="26" t="n"/>
    </row>
    <row r="428" ht="15" customHeight="1">
      <c r="A428" s="26" t="n"/>
      <c r="B428" s="26" t="n"/>
      <c r="C428" s="26" t="n"/>
      <c r="D428" s="26" t="n"/>
      <c r="E428" s="26" t="n"/>
      <c r="F428" s="26" t="n"/>
      <c r="G428" s="26" t="n"/>
      <c r="H428" s="26" t="n"/>
      <c r="I428" s="26">
        <f>IFERROR(SUMIF(A$6:A428,"&lt;&gt;""",G$6:G428)-SUMIF(A$6:A428,"&lt;&gt;""",H$6:H428),"")</f>
        <v/>
      </c>
      <c r="J428" s="26" t="n"/>
    </row>
    <row r="429" ht="15" customHeight="1">
      <c r="A429" s="26" t="n"/>
      <c r="B429" s="26" t="n"/>
      <c r="C429" s="26" t="n"/>
      <c r="D429" s="26" t="n"/>
      <c r="E429" s="26" t="n"/>
      <c r="F429" s="26" t="n"/>
      <c r="G429" s="26" t="n"/>
      <c r="H429" s="26" t="n"/>
      <c r="I429" s="26">
        <f>IFERROR(SUMIF(A$6:A429,"&lt;&gt;""",G$6:G429)-SUMIF(A$6:A429,"&lt;&gt;""",H$6:H429),"")</f>
        <v/>
      </c>
      <c r="J429" s="26" t="n"/>
    </row>
    <row r="430" ht="15" customHeight="1">
      <c r="A430" s="26" t="n"/>
      <c r="B430" s="26" t="n"/>
      <c r="C430" s="26" t="n"/>
      <c r="D430" s="26" t="n"/>
      <c r="E430" s="26" t="n"/>
      <c r="F430" s="26" t="n"/>
      <c r="G430" s="26" t="n"/>
      <c r="H430" s="26" t="n"/>
      <c r="I430" s="26">
        <f>IFERROR(SUMIF(A$6:A430,"&lt;&gt;""",G$6:G430)-SUMIF(A$6:A430,"&lt;&gt;""",H$6:H430),"")</f>
        <v/>
      </c>
      <c r="J430" s="26" t="n"/>
    </row>
    <row r="431" ht="15" customHeight="1">
      <c r="A431" s="26" t="n"/>
      <c r="B431" s="26" t="n"/>
      <c r="C431" s="26" t="n"/>
      <c r="D431" s="26" t="n"/>
      <c r="E431" s="26" t="n"/>
      <c r="F431" s="26" t="n"/>
      <c r="G431" s="26" t="n"/>
      <c r="H431" s="26" t="n"/>
      <c r="I431" s="26">
        <f>IFERROR(SUMIF(A$6:A431,"&lt;&gt;""",G$6:G431)-SUMIF(A$6:A431,"&lt;&gt;""",H$6:H431),"")</f>
        <v/>
      </c>
      <c r="J431" s="26" t="n"/>
    </row>
    <row r="432" ht="15" customHeight="1">
      <c r="A432" s="26" t="n"/>
      <c r="B432" s="26" t="n"/>
      <c r="C432" s="26" t="n"/>
      <c r="D432" s="26" t="n"/>
      <c r="E432" s="26" t="n"/>
      <c r="F432" s="26" t="n"/>
      <c r="G432" s="26" t="n"/>
      <c r="H432" s="26" t="n"/>
      <c r="I432" s="26">
        <f>IFERROR(SUMIF(A$6:A432,"&lt;&gt;""",G$6:G432)-SUMIF(A$6:A432,"&lt;&gt;""",H$6:H432),"")</f>
        <v/>
      </c>
      <c r="J432" s="26" t="n"/>
    </row>
    <row r="433" ht="15" customHeight="1">
      <c r="A433" s="26" t="n"/>
      <c r="B433" s="26" t="n"/>
      <c r="C433" s="26" t="n"/>
      <c r="D433" s="26" t="n"/>
      <c r="E433" s="26" t="n"/>
      <c r="F433" s="26" t="n"/>
      <c r="G433" s="26" t="n"/>
      <c r="H433" s="26" t="n"/>
      <c r="I433" s="26">
        <f>IFERROR(SUMIF(A$6:A433,"&lt;&gt;""",G$6:G433)-SUMIF(A$6:A433,"&lt;&gt;""",H$6:H433),"")</f>
        <v/>
      </c>
      <c r="J433" s="26" t="n"/>
    </row>
    <row r="434" ht="15" customHeight="1">
      <c r="A434" s="26" t="n"/>
      <c r="B434" s="26" t="n"/>
      <c r="C434" s="26" t="n"/>
      <c r="D434" s="26" t="n"/>
      <c r="E434" s="26" t="n"/>
      <c r="F434" s="26" t="n"/>
      <c r="G434" s="26" t="n"/>
      <c r="H434" s="26" t="n"/>
      <c r="I434" s="26">
        <f>IFERROR(SUMIF(A$6:A434,"&lt;&gt;""",G$6:G434)-SUMIF(A$6:A434,"&lt;&gt;""",H$6:H434),"")</f>
        <v/>
      </c>
      <c r="J434" s="26" t="n"/>
    </row>
    <row r="435" ht="15" customHeight="1">
      <c r="A435" s="26" t="n"/>
      <c r="B435" s="26" t="n"/>
      <c r="C435" s="26" t="n"/>
      <c r="D435" s="26" t="n"/>
      <c r="E435" s="26" t="n"/>
      <c r="F435" s="26" t="n"/>
      <c r="G435" s="26" t="n"/>
      <c r="H435" s="26" t="n"/>
      <c r="I435" s="26">
        <f>IFERROR(SUMIF(A$6:A435,"&lt;&gt;""",G$6:G435)-SUMIF(A$6:A435,"&lt;&gt;""",H$6:H435),"")</f>
        <v/>
      </c>
      <c r="J435" s="26" t="n"/>
    </row>
    <row r="436" ht="15" customHeight="1">
      <c r="A436" s="26" t="n"/>
      <c r="B436" s="26" t="n"/>
      <c r="C436" s="26" t="n"/>
      <c r="D436" s="26" t="n"/>
      <c r="E436" s="26" t="n"/>
      <c r="F436" s="26" t="n"/>
      <c r="G436" s="26" t="n"/>
      <c r="H436" s="26" t="n"/>
      <c r="I436" s="26">
        <f>IFERROR(SUMIF(A$6:A436,"&lt;&gt;""",G$6:G436)-SUMIF(A$6:A436,"&lt;&gt;""",H$6:H436),"")</f>
        <v/>
      </c>
      <c r="J436" s="26" t="n"/>
    </row>
    <row r="437" ht="15" customHeight="1">
      <c r="A437" s="26" t="n"/>
      <c r="B437" s="26" t="n"/>
      <c r="C437" s="26" t="n"/>
      <c r="D437" s="26" t="n"/>
      <c r="E437" s="26" t="n"/>
      <c r="F437" s="26" t="n"/>
      <c r="G437" s="26" t="n"/>
      <c r="H437" s="26" t="n"/>
      <c r="I437" s="26">
        <f>IFERROR(SUMIF(A$6:A437,"&lt;&gt;""",G$6:G437)-SUMIF(A$6:A437,"&lt;&gt;""",H$6:H437),"")</f>
        <v/>
      </c>
      <c r="J437" s="26" t="n"/>
    </row>
    <row r="438" ht="15" customHeight="1">
      <c r="A438" s="26" t="n"/>
      <c r="B438" s="26" t="n"/>
      <c r="C438" s="26" t="n"/>
      <c r="D438" s="26" t="n"/>
      <c r="E438" s="26" t="n"/>
      <c r="F438" s="26" t="n"/>
      <c r="G438" s="26" t="n"/>
      <c r="H438" s="26" t="n"/>
      <c r="I438" s="26">
        <f>IFERROR(SUMIF(A$6:A438,"&lt;&gt;""",G$6:G438)-SUMIF(A$6:A438,"&lt;&gt;""",H$6:H438),"")</f>
        <v/>
      </c>
      <c r="J438" s="26" t="n"/>
    </row>
    <row r="439" ht="15" customHeight="1">
      <c r="A439" s="26" t="n"/>
      <c r="B439" s="26" t="n"/>
      <c r="C439" s="26" t="n"/>
      <c r="D439" s="26" t="n"/>
      <c r="E439" s="26" t="n"/>
      <c r="F439" s="26" t="n"/>
      <c r="G439" s="26" t="n"/>
      <c r="H439" s="26" t="n"/>
      <c r="I439" s="26">
        <f>IFERROR(SUMIF(A$6:A439,"&lt;&gt;""",G$6:G439)-SUMIF(A$6:A439,"&lt;&gt;""",H$6:H439),"")</f>
        <v/>
      </c>
      <c r="J439" s="26" t="n"/>
    </row>
    <row r="440" ht="15" customHeight="1">
      <c r="A440" s="26" t="n"/>
      <c r="B440" s="26" t="n"/>
      <c r="C440" s="26" t="n"/>
      <c r="D440" s="26" t="n"/>
      <c r="E440" s="26" t="n"/>
      <c r="F440" s="26" t="n"/>
      <c r="G440" s="26" t="n"/>
      <c r="H440" s="26" t="n"/>
      <c r="I440" s="26">
        <f>IFERROR(SUMIF(A$6:A440,"&lt;&gt;""",G$6:G440)-SUMIF(A$6:A440,"&lt;&gt;""",H$6:H440),"")</f>
        <v/>
      </c>
      <c r="J440" s="26" t="n"/>
    </row>
    <row r="441" ht="15" customHeight="1">
      <c r="A441" s="26" t="n"/>
      <c r="B441" s="26" t="n"/>
      <c r="C441" s="26" t="n"/>
      <c r="D441" s="26" t="n"/>
      <c r="E441" s="26" t="n"/>
      <c r="F441" s="26" t="n"/>
      <c r="G441" s="26" t="n"/>
      <c r="H441" s="26" t="n"/>
      <c r="I441" s="26">
        <f>IFERROR(SUMIF(A$6:A441,"&lt;&gt;""",G$6:G441)-SUMIF(A$6:A441,"&lt;&gt;""",H$6:H441),"")</f>
        <v/>
      </c>
      <c r="J441" s="26" t="n"/>
    </row>
    <row r="442" ht="15" customHeight="1">
      <c r="A442" s="26" t="n"/>
      <c r="B442" s="26" t="n"/>
      <c r="C442" s="26" t="n"/>
      <c r="D442" s="26" t="n"/>
      <c r="E442" s="26" t="n"/>
      <c r="F442" s="26" t="n"/>
      <c r="G442" s="26" t="n"/>
      <c r="H442" s="26" t="n"/>
      <c r="I442" s="26">
        <f>IFERROR(SUMIF(A$6:A442,"&lt;&gt;""",G$6:G442)-SUMIF(A$6:A442,"&lt;&gt;""",H$6:H442),"")</f>
        <v/>
      </c>
      <c r="J442" s="26" t="n"/>
    </row>
    <row r="443" ht="15" customHeight="1">
      <c r="A443" s="26" t="n"/>
      <c r="B443" s="26" t="n"/>
      <c r="C443" s="26" t="n"/>
      <c r="D443" s="26" t="n"/>
      <c r="E443" s="26" t="n"/>
      <c r="F443" s="26" t="n"/>
      <c r="G443" s="26" t="n"/>
      <c r="H443" s="26" t="n"/>
      <c r="I443" s="26">
        <f>IFERROR(SUMIF(A$6:A443,"&lt;&gt;""",G$6:G443)-SUMIF(A$6:A443,"&lt;&gt;""",H$6:H443),"")</f>
        <v/>
      </c>
      <c r="J443" s="26" t="n"/>
    </row>
    <row r="444" ht="15" customHeight="1">
      <c r="A444" s="26" t="n"/>
      <c r="B444" s="26" t="n"/>
      <c r="C444" s="26" t="n"/>
      <c r="D444" s="26" t="n"/>
      <c r="E444" s="26" t="n"/>
      <c r="F444" s="26" t="n"/>
      <c r="G444" s="26" t="n"/>
      <c r="H444" s="26" t="n"/>
      <c r="I444" s="26">
        <f>IFERROR(SUMIF(A$6:A444,"&lt;&gt;""",G$6:G444)-SUMIF(A$6:A444,"&lt;&gt;""",H$6:H444),"")</f>
        <v/>
      </c>
      <c r="J444" s="26" t="n"/>
    </row>
    <row r="445" ht="15" customHeight="1">
      <c r="A445" s="26" t="n"/>
      <c r="B445" s="26" t="n"/>
      <c r="C445" s="26" t="n"/>
      <c r="D445" s="26" t="n"/>
      <c r="E445" s="26" t="n"/>
      <c r="F445" s="26" t="n"/>
      <c r="G445" s="26" t="n"/>
      <c r="H445" s="26" t="n"/>
      <c r="I445" s="26">
        <f>IFERROR(SUMIF(A$6:A445,"&lt;&gt;""",G$6:G445)-SUMIF(A$6:A445,"&lt;&gt;""",H$6:H445),"")</f>
        <v/>
      </c>
      <c r="J445" s="26" t="n"/>
    </row>
    <row r="446" ht="15" customHeight="1">
      <c r="A446" s="26" t="n"/>
      <c r="B446" s="26" t="n"/>
      <c r="C446" s="26" t="n"/>
      <c r="D446" s="26" t="n"/>
      <c r="E446" s="26" t="n"/>
      <c r="F446" s="26" t="n"/>
      <c r="G446" s="26" t="n"/>
      <c r="H446" s="26" t="n"/>
      <c r="I446" s="26">
        <f>IFERROR(SUMIF(A$6:A446,"&lt;&gt;""",G$6:G446)-SUMIF(A$6:A446,"&lt;&gt;""",H$6:H446),"")</f>
        <v/>
      </c>
      <c r="J446" s="26" t="n"/>
    </row>
    <row r="447" ht="15" customHeight="1">
      <c r="A447" s="26" t="n"/>
      <c r="B447" s="26" t="n"/>
      <c r="C447" s="26" t="n"/>
      <c r="D447" s="26" t="n"/>
      <c r="E447" s="26" t="n"/>
      <c r="F447" s="26" t="n"/>
      <c r="G447" s="26" t="n"/>
      <c r="H447" s="26" t="n"/>
      <c r="I447" s="26">
        <f>IFERROR(SUMIF(A$6:A447,"&lt;&gt;""",G$6:G447)-SUMIF(A$6:A447,"&lt;&gt;""",H$6:H447),"")</f>
        <v/>
      </c>
      <c r="J447" s="26" t="n"/>
    </row>
    <row r="448" ht="15" customHeight="1">
      <c r="A448" s="26" t="n"/>
      <c r="B448" s="26" t="n"/>
      <c r="C448" s="26" t="n"/>
      <c r="D448" s="26" t="n"/>
      <c r="E448" s="26" t="n"/>
      <c r="F448" s="26" t="n"/>
      <c r="G448" s="26" t="n"/>
      <c r="H448" s="26" t="n"/>
      <c r="I448" s="26">
        <f>IFERROR(SUMIF(A$6:A448,"&lt;&gt;""",G$6:G448)-SUMIF(A$6:A448,"&lt;&gt;""",H$6:H448),"")</f>
        <v/>
      </c>
      <c r="J448" s="26" t="n"/>
    </row>
    <row r="449" ht="15" customHeight="1">
      <c r="A449" s="26" t="n"/>
      <c r="B449" s="26" t="n"/>
      <c r="C449" s="26" t="n"/>
      <c r="D449" s="26" t="n"/>
      <c r="E449" s="26" t="n"/>
      <c r="F449" s="26" t="n"/>
      <c r="G449" s="26" t="n"/>
      <c r="H449" s="26" t="n"/>
      <c r="I449" s="26">
        <f>IFERROR(SUMIF(A$6:A449,"&lt;&gt;""",G$6:G449)-SUMIF(A$6:A449,"&lt;&gt;""",H$6:H449),"")</f>
        <v/>
      </c>
      <c r="J449" s="26" t="n"/>
    </row>
    <row r="450" ht="15" customHeight="1">
      <c r="A450" s="26" t="n"/>
      <c r="B450" s="26" t="n"/>
      <c r="C450" s="26" t="n"/>
      <c r="D450" s="26" t="n"/>
      <c r="E450" s="26" t="n"/>
      <c r="F450" s="26" t="n"/>
      <c r="G450" s="26" t="n"/>
      <c r="H450" s="26" t="n"/>
      <c r="I450" s="26">
        <f>IFERROR(SUMIF(A$6:A450,"&lt;&gt;""",G$6:G450)-SUMIF(A$6:A450,"&lt;&gt;""",H$6:H450),"")</f>
        <v/>
      </c>
      <c r="J450" s="26" t="n"/>
    </row>
    <row r="451" ht="15" customHeight="1">
      <c r="A451" s="26" t="n"/>
      <c r="B451" s="26" t="n"/>
      <c r="C451" s="26" t="n"/>
      <c r="D451" s="26" t="n"/>
      <c r="E451" s="26" t="n"/>
      <c r="F451" s="26" t="n"/>
      <c r="G451" s="26" t="n"/>
      <c r="H451" s="26" t="n"/>
      <c r="I451" s="26">
        <f>IFERROR(SUMIF(A$6:A451,"&lt;&gt;""",G$6:G451)-SUMIF(A$6:A451,"&lt;&gt;""",H$6:H451),"")</f>
        <v/>
      </c>
      <c r="J451" s="26" t="n"/>
    </row>
    <row r="452" ht="15" customHeight="1">
      <c r="A452" s="26" t="n"/>
      <c r="B452" s="26" t="n"/>
      <c r="C452" s="26" t="n"/>
      <c r="D452" s="26" t="n"/>
      <c r="E452" s="26" t="n"/>
      <c r="F452" s="26" t="n"/>
      <c r="G452" s="26" t="n"/>
      <c r="H452" s="26" t="n"/>
      <c r="I452" s="26">
        <f>IFERROR(SUMIF(A$6:A452,"&lt;&gt;""",G$6:G452)-SUMIF(A$6:A452,"&lt;&gt;""",H$6:H452),"")</f>
        <v/>
      </c>
      <c r="J452" s="26" t="n"/>
    </row>
    <row r="453" ht="15" customHeight="1">
      <c r="A453" s="26" t="n"/>
      <c r="B453" s="26" t="n"/>
      <c r="C453" s="26" t="n"/>
      <c r="D453" s="26" t="n"/>
      <c r="E453" s="26" t="n"/>
      <c r="F453" s="26" t="n"/>
      <c r="G453" s="26" t="n"/>
      <c r="H453" s="26" t="n"/>
      <c r="I453" s="26">
        <f>IFERROR(SUMIF(A$6:A453,"&lt;&gt;""",G$6:G453)-SUMIF(A$6:A453,"&lt;&gt;""",H$6:H453),"")</f>
        <v/>
      </c>
      <c r="J453" s="26" t="n"/>
    </row>
    <row r="454" ht="15" customHeight="1">
      <c r="A454" s="26" t="n"/>
      <c r="B454" s="26" t="n"/>
      <c r="C454" s="26" t="n"/>
      <c r="D454" s="26" t="n"/>
      <c r="E454" s="26" t="n"/>
      <c r="F454" s="26" t="n"/>
      <c r="G454" s="26" t="n"/>
      <c r="H454" s="26" t="n"/>
      <c r="I454" s="26">
        <f>IFERROR(SUMIF(A$6:A454,"&lt;&gt;""",G$6:G454)-SUMIF(A$6:A454,"&lt;&gt;""",H$6:H454),"")</f>
        <v/>
      </c>
      <c r="J454" s="26" t="n"/>
    </row>
    <row r="455" ht="15" customHeight="1">
      <c r="A455" s="26" t="n"/>
      <c r="B455" s="26" t="n"/>
      <c r="C455" s="26" t="n"/>
      <c r="D455" s="26" t="n"/>
      <c r="E455" s="26" t="n"/>
      <c r="F455" s="26" t="n"/>
      <c r="G455" s="26" t="n"/>
      <c r="H455" s="26" t="n"/>
      <c r="I455" s="26">
        <f>IFERROR(SUMIF(A$6:A455,"&lt;&gt;""",G$6:G455)-SUMIF(A$6:A455,"&lt;&gt;""",H$6:H455),"")</f>
        <v/>
      </c>
      <c r="J455" s="26" t="n"/>
    </row>
    <row r="456" ht="15" customHeight="1">
      <c r="A456" s="26" t="n"/>
      <c r="B456" s="26" t="n"/>
      <c r="C456" s="26" t="n"/>
      <c r="D456" s="26" t="n"/>
      <c r="E456" s="26" t="n"/>
      <c r="F456" s="26" t="n"/>
      <c r="G456" s="26" t="n"/>
      <c r="H456" s="26" t="n"/>
      <c r="I456" s="26">
        <f>IFERROR(SUMIF(A$6:A456,"&lt;&gt;""",G$6:G456)-SUMIF(A$6:A456,"&lt;&gt;""",H$6:H456),"")</f>
        <v/>
      </c>
      <c r="J456" s="26" t="n"/>
    </row>
    <row r="457" ht="15" customHeight="1">
      <c r="A457" s="26" t="n"/>
      <c r="B457" s="26" t="n"/>
      <c r="C457" s="26" t="n"/>
      <c r="D457" s="26" t="n"/>
      <c r="E457" s="26" t="n"/>
      <c r="F457" s="26" t="n"/>
      <c r="G457" s="26" t="n"/>
      <c r="H457" s="26" t="n"/>
      <c r="I457" s="26">
        <f>IFERROR(SUMIF(A$6:A457,"&lt;&gt;""",G$6:G457)-SUMIF(A$6:A457,"&lt;&gt;""",H$6:H457),"")</f>
        <v/>
      </c>
      <c r="J457" s="26" t="n"/>
    </row>
    <row r="458" ht="15" customHeight="1">
      <c r="A458" s="26" t="n"/>
      <c r="B458" s="26" t="n"/>
      <c r="C458" s="26" t="n"/>
      <c r="D458" s="26" t="n"/>
      <c r="E458" s="26" t="n"/>
      <c r="F458" s="26" t="n"/>
      <c r="G458" s="26" t="n"/>
      <c r="H458" s="26" t="n"/>
      <c r="I458" s="26">
        <f>IFERROR(SUMIF(A$6:A458,"&lt;&gt;""",G$6:G458)-SUMIF(A$6:A458,"&lt;&gt;""",H$6:H458),"")</f>
        <v/>
      </c>
      <c r="J458" s="26" t="n"/>
    </row>
    <row r="459" ht="15" customHeight="1">
      <c r="A459" s="26" t="n"/>
      <c r="B459" s="26" t="n"/>
      <c r="C459" s="26" t="n"/>
      <c r="D459" s="26" t="n"/>
      <c r="E459" s="26" t="n"/>
      <c r="F459" s="26" t="n"/>
      <c r="G459" s="26" t="n"/>
      <c r="H459" s="26" t="n"/>
      <c r="I459" s="26">
        <f>IFERROR(SUMIF(A$6:A459,"&lt;&gt;""",G$6:G459)-SUMIF(A$6:A459,"&lt;&gt;""",H$6:H459),"")</f>
        <v/>
      </c>
      <c r="J459" s="26" t="n"/>
    </row>
    <row r="460" ht="15" customHeight="1">
      <c r="A460" s="26" t="n"/>
      <c r="B460" s="26" t="n"/>
      <c r="C460" s="26" t="n"/>
      <c r="D460" s="26" t="n"/>
      <c r="E460" s="26" t="n"/>
      <c r="F460" s="26" t="n"/>
      <c r="G460" s="26" t="n"/>
      <c r="H460" s="26" t="n"/>
      <c r="I460" s="26">
        <f>IFERROR(SUMIF(A$6:A460,"&lt;&gt;""",G$6:G460)-SUMIF(A$6:A460,"&lt;&gt;""",H$6:H460),"")</f>
        <v/>
      </c>
      <c r="J460" s="26" t="n"/>
    </row>
    <row r="461" ht="15" customHeight="1">
      <c r="A461" s="26" t="n"/>
      <c r="B461" s="26" t="n"/>
      <c r="C461" s="26" t="n"/>
      <c r="D461" s="26" t="n"/>
      <c r="E461" s="26" t="n"/>
      <c r="F461" s="26" t="n"/>
      <c r="G461" s="26" t="n"/>
      <c r="H461" s="26" t="n"/>
      <c r="I461" s="26">
        <f>IFERROR(SUMIF(A$6:A461,"&lt;&gt;""",G$6:G461)-SUMIF(A$6:A461,"&lt;&gt;""",H$6:H461),"")</f>
        <v/>
      </c>
      <c r="J461" s="26" t="n"/>
    </row>
    <row r="462" ht="15" customHeight="1">
      <c r="A462" s="26" t="n"/>
      <c r="B462" s="26" t="n"/>
      <c r="C462" s="26" t="n"/>
      <c r="D462" s="26" t="n"/>
      <c r="E462" s="26" t="n"/>
      <c r="F462" s="26" t="n"/>
      <c r="G462" s="26" t="n"/>
      <c r="H462" s="26" t="n"/>
      <c r="I462" s="26">
        <f>IFERROR(SUMIF(A$6:A462,"&lt;&gt;""",G$6:G462)-SUMIF(A$6:A462,"&lt;&gt;""",H$6:H462),"")</f>
        <v/>
      </c>
      <c r="J462" s="26" t="n"/>
    </row>
    <row r="463" ht="15" customHeight="1">
      <c r="A463" s="26" t="n"/>
      <c r="B463" s="26" t="n"/>
      <c r="C463" s="26" t="n"/>
      <c r="D463" s="26" t="n"/>
      <c r="E463" s="26" t="n"/>
      <c r="F463" s="26" t="n"/>
      <c r="G463" s="26" t="n"/>
      <c r="H463" s="26" t="n"/>
      <c r="I463" s="26">
        <f>IFERROR(SUMIF(A$6:A463,"&lt;&gt;""",G$6:G463)-SUMIF(A$6:A463,"&lt;&gt;""",H$6:H463),"")</f>
        <v/>
      </c>
      <c r="J463" s="26" t="n"/>
    </row>
    <row r="464" ht="15" customHeight="1">
      <c r="A464" s="26" t="n"/>
      <c r="B464" s="26" t="n"/>
      <c r="C464" s="26" t="n"/>
      <c r="D464" s="26" t="n"/>
      <c r="E464" s="26" t="n"/>
      <c r="F464" s="26" t="n"/>
      <c r="G464" s="26" t="n"/>
      <c r="H464" s="26" t="n"/>
      <c r="I464" s="26">
        <f>IFERROR(SUMIF(A$6:A464,"&lt;&gt;""",G$6:G464)-SUMIF(A$6:A464,"&lt;&gt;""",H$6:H464),"")</f>
        <v/>
      </c>
      <c r="J464" s="26" t="n"/>
    </row>
    <row r="465" ht="15" customHeight="1">
      <c r="A465" s="26" t="n"/>
      <c r="B465" s="26" t="n"/>
      <c r="C465" s="26" t="n"/>
      <c r="D465" s="26" t="n"/>
      <c r="E465" s="26" t="n"/>
      <c r="F465" s="26" t="n"/>
      <c r="G465" s="26" t="n"/>
      <c r="H465" s="26" t="n"/>
      <c r="I465" s="26">
        <f>IFERROR(SUMIF(A$6:A465,"&lt;&gt;""",G$6:G465)-SUMIF(A$6:A465,"&lt;&gt;""",H$6:H465),"")</f>
        <v/>
      </c>
      <c r="J465" s="26" t="n"/>
    </row>
    <row r="466" ht="15" customHeight="1">
      <c r="A466" s="26" t="n"/>
      <c r="B466" s="26" t="n"/>
      <c r="C466" s="26" t="n"/>
      <c r="D466" s="26" t="n"/>
      <c r="E466" s="26" t="n"/>
      <c r="F466" s="26" t="n"/>
      <c r="G466" s="26" t="n"/>
      <c r="H466" s="26" t="n"/>
      <c r="I466" s="26">
        <f>IFERROR(SUMIF(A$6:A466,"&lt;&gt;""",G$6:G466)-SUMIF(A$6:A466,"&lt;&gt;""",H$6:H466),"")</f>
        <v/>
      </c>
      <c r="J466" s="26" t="n"/>
    </row>
    <row r="467" ht="15" customHeight="1">
      <c r="A467" s="26" t="n"/>
      <c r="B467" s="26" t="n"/>
      <c r="C467" s="26" t="n"/>
      <c r="D467" s="26" t="n"/>
      <c r="E467" s="26" t="n"/>
      <c r="F467" s="26" t="n"/>
      <c r="G467" s="26" t="n"/>
      <c r="H467" s="26" t="n"/>
      <c r="I467" s="26">
        <f>IFERROR(SUMIF(A$6:A467,"&lt;&gt;""",G$6:G467)-SUMIF(A$6:A467,"&lt;&gt;""",H$6:H467),"")</f>
        <v/>
      </c>
      <c r="J467" s="26" t="n"/>
    </row>
    <row r="468" ht="15" customHeight="1">
      <c r="A468" s="26" t="n"/>
      <c r="B468" s="26" t="n"/>
      <c r="C468" s="26" t="n"/>
      <c r="D468" s="26" t="n"/>
      <c r="E468" s="26" t="n"/>
      <c r="F468" s="26" t="n"/>
      <c r="G468" s="26" t="n"/>
      <c r="H468" s="26" t="n"/>
      <c r="I468" s="26">
        <f>IFERROR(SUMIF(A$6:A468,"&lt;&gt;""",G$6:G468)-SUMIF(A$6:A468,"&lt;&gt;""",H$6:H468),"")</f>
        <v/>
      </c>
      <c r="J468" s="26" t="n"/>
    </row>
    <row r="469" ht="15" customHeight="1">
      <c r="A469" s="26" t="n"/>
      <c r="B469" s="26" t="n"/>
      <c r="C469" s="26" t="n"/>
      <c r="D469" s="26" t="n"/>
      <c r="E469" s="26" t="n"/>
      <c r="F469" s="26" t="n"/>
      <c r="G469" s="26" t="n"/>
      <c r="H469" s="26" t="n"/>
      <c r="I469" s="26">
        <f>IFERROR(SUMIF(A$6:A469,"&lt;&gt;""",G$6:G469)-SUMIF(A$6:A469,"&lt;&gt;""",H$6:H469),"")</f>
        <v/>
      </c>
      <c r="J469" s="26" t="n"/>
    </row>
    <row r="470" ht="15" customHeight="1">
      <c r="A470" s="26" t="n"/>
      <c r="B470" s="26" t="n"/>
      <c r="C470" s="26" t="n"/>
      <c r="D470" s="26" t="n"/>
      <c r="E470" s="26" t="n"/>
      <c r="F470" s="26" t="n"/>
      <c r="G470" s="26" t="n"/>
      <c r="H470" s="26" t="n"/>
      <c r="I470" s="26">
        <f>IFERROR(SUMIF(A$6:A470,"&lt;&gt;""",G$6:G470)-SUMIF(A$6:A470,"&lt;&gt;""",H$6:H470),"")</f>
        <v/>
      </c>
      <c r="J470" s="26" t="n"/>
    </row>
    <row r="471" ht="15" customHeight="1">
      <c r="A471" s="26" t="n"/>
      <c r="B471" s="26" t="n"/>
      <c r="C471" s="26" t="n"/>
      <c r="D471" s="26" t="n"/>
      <c r="E471" s="26" t="n"/>
      <c r="F471" s="26" t="n"/>
      <c r="G471" s="26" t="n"/>
      <c r="H471" s="26" t="n"/>
      <c r="I471" s="26">
        <f>IFERROR(SUMIF(A$6:A471,"&lt;&gt;""",G$6:G471)-SUMIF(A$6:A471,"&lt;&gt;""",H$6:H471),"")</f>
        <v/>
      </c>
      <c r="J471" s="26" t="n"/>
    </row>
    <row r="472" ht="15" customHeight="1">
      <c r="A472" s="26" t="n"/>
      <c r="B472" s="26" t="n"/>
      <c r="C472" s="26" t="n"/>
      <c r="D472" s="26" t="n"/>
      <c r="E472" s="26" t="n"/>
      <c r="F472" s="26" t="n"/>
      <c r="G472" s="26" t="n"/>
      <c r="H472" s="26" t="n"/>
      <c r="I472" s="26">
        <f>IFERROR(SUMIF(A$6:A472,"&lt;&gt;""",G$6:G472)-SUMIF(A$6:A472,"&lt;&gt;""",H$6:H472),"")</f>
        <v/>
      </c>
      <c r="J472" s="26" t="n"/>
    </row>
    <row r="473" ht="15" customHeight="1">
      <c r="A473" s="26" t="n"/>
      <c r="B473" s="26" t="n"/>
      <c r="C473" s="26" t="n"/>
      <c r="D473" s="26" t="n"/>
      <c r="E473" s="26" t="n"/>
      <c r="F473" s="26" t="n"/>
      <c r="G473" s="26" t="n"/>
      <c r="H473" s="26" t="n"/>
      <c r="I473" s="26">
        <f>IFERROR(SUMIF(A$6:A473,"&lt;&gt;""",G$6:G473)-SUMIF(A$6:A473,"&lt;&gt;""",H$6:H473),"")</f>
        <v/>
      </c>
      <c r="J473" s="26" t="n"/>
    </row>
    <row r="474" ht="15" customHeight="1">
      <c r="A474" s="26" t="n"/>
      <c r="B474" s="26" t="n"/>
      <c r="C474" s="26" t="n"/>
      <c r="D474" s="26" t="n"/>
      <c r="E474" s="26" t="n"/>
      <c r="F474" s="26" t="n"/>
      <c r="G474" s="26" t="n"/>
      <c r="H474" s="26" t="n"/>
      <c r="I474" s="26">
        <f>IFERROR(SUMIF(A$6:A474,"&lt;&gt;""",G$6:G474)-SUMIF(A$6:A474,"&lt;&gt;""",H$6:H474),"")</f>
        <v/>
      </c>
      <c r="J474" s="26" t="n"/>
    </row>
    <row r="475" ht="15" customHeight="1">
      <c r="A475" s="26" t="n"/>
      <c r="B475" s="26" t="n"/>
      <c r="C475" s="26" t="n"/>
      <c r="D475" s="26" t="n"/>
      <c r="E475" s="26" t="n"/>
      <c r="F475" s="26" t="n"/>
      <c r="G475" s="26" t="n"/>
      <c r="H475" s="26" t="n"/>
      <c r="I475" s="26">
        <f>IFERROR(SUMIF(A$6:A475,"&lt;&gt;""",G$6:G475)-SUMIF(A$6:A475,"&lt;&gt;""",H$6:H475),"")</f>
        <v/>
      </c>
      <c r="J475" s="26" t="n"/>
    </row>
    <row r="476" ht="15" customHeight="1">
      <c r="A476" s="26" t="n"/>
      <c r="B476" s="26" t="n"/>
      <c r="C476" s="26" t="n"/>
      <c r="D476" s="26" t="n"/>
      <c r="E476" s="26" t="n"/>
      <c r="F476" s="26" t="n"/>
      <c r="G476" s="26" t="n"/>
      <c r="H476" s="26" t="n"/>
      <c r="I476" s="26">
        <f>IFERROR(SUMIF(A$6:A476,"&lt;&gt;""",G$6:G476)-SUMIF(A$6:A476,"&lt;&gt;""",H$6:H476),"")</f>
        <v/>
      </c>
      <c r="J476" s="26" t="n"/>
    </row>
    <row r="477" ht="15" customHeight="1">
      <c r="A477" s="26" t="n"/>
      <c r="B477" s="26" t="n"/>
      <c r="C477" s="26" t="n"/>
      <c r="D477" s="26" t="n"/>
      <c r="E477" s="26" t="n"/>
      <c r="F477" s="26" t="n"/>
      <c r="G477" s="26" t="n"/>
      <c r="H477" s="26" t="n"/>
      <c r="I477" s="26">
        <f>IFERROR(SUMIF(A$6:A477,"&lt;&gt;""",G$6:G477)-SUMIF(A$6:A477,"&lt;&gt;""",H$6:H477),"")</f>
        <v/>
      </c>
      <c r="J477" s="26" t="n"/>
    </row>
    <row r="478" ht="15" customHeight="1">
      <c r="A478" s="26" t="n"/>
      <c r="B478" s="26" t="n"/>
      <c r="C478" s="26" t="n"/>
      <c r="D478" s="26" t="n"/>
      <c r="E478" s="26" t="n"/>
      <c r="F478" s="26" t="n"/>
      <c r="G478" s="26" t="n"/>
      <c r="H478" s="26" t="n"/>
      <c r="I478" s="26">
        <f>IFERROR(SUMIF(A$6:A478,"&lt;&gt;""",G$6:G478)-SUMIF(A$6:A478,"&lt;&gt;""",H$6:H478),"")</f>
        <v/>
      </c>
      <c r="J478" s="26" t="n"/>
    </row>
    <row r="479" ht="15" customHeight="1">
      <c r="A479" s="26" t="n"/>
      <c r="B479" s="26" t="n"/>
      <c r="C479" s="26" t="n"/>
      <c r="D479" s="26" t="n"/>
      <c r="E479" s="26" t="n"/>
      <c r="F479" s="26" t="n"/>
      <c r="G479" s="26" t="n"/>
      <c r="H479" s="26" t="n"/>
      <c r="I479" s="26">
        <f>IFERROR(SUMIF(A$6:A479,"&lt;&gt;""",G$6:G479)-SUMIF(A$6:A479,"&lt;&gt;""",H$6:H479),"")</f>
        <v/>
      </c>
      <c r="J479" s="26" t="n"/>
    </row>
    <row r="480" ht="15" customHeight="1">
      <c r="A480" s="26" t="n"/>
      <c r="B480" s="26" t="n"/>
      <c r="C480" s="26" t="n"/>
      <c r="D480" s="26" t="n"/>
      <c r="E480" s="26" t="n"/>
      <c r="F480" s="26" t="n"/>
      <c r="G480" s="26" t="n"/>
      <c r="H480" s="26" t="n"/>
      <c r="I480" s="26">
        <f>IFERROR(SUMIF(A$6:A480,"&lt;&gt;""",G$6:G480)-SUMIF(A$6:A480,"&lt;&gt;""",H$6:H480),"")</f>
        <v/>
      </c>
      <c r="J480" s="26" t="n"/>
    </row>
    <row r="481" ht="15" customHeight="1">
      <c r="A481" s="26" t="n"/>
      <c r="B481" s="26" t="n"/>
      <c r="C481" s="26" t="n"/>
      <c r="D481" s="26" t="n"/>
      <c r="E481" s="26" t="n"/>
      <c r="F481" s="26" t="n"/>
      <c r="G481" s="26" t="n"/>
      <c r="H481" s="26" t="n"/>
      <c r="I481" s="26">
        <f>IFERROR(SUMIF(A$6:A481,"&lt;&gt;""",G$6:G481)-SUMIF(A$6:A481,"&lt;&gt;""",H$6:H481),"")</f>
        <v/>
      </c>
      <c r="J481" s="26" t="n"/>
    </row>
    <row r="482" ht="15" customHeight="1">
      <c r="A482" s="26" t="n"/>
      <c r="B482" s="26" t="n"/>
      <c r="C482" s="26" t="n"/>
      <c r="D482" s="26" t="n"/>
      <c r="E482" s="26" t="n"/>
      <c r="F482" s="26" t="n"/>
      <c r="G482" s="26" t="n"/>
      <c r="H482" s="26" t="n"/>
      <c r="I482" s="26">
        <f>IFERROR(SUMIF(A$6:A482,"&lt;&gt;""",G$6:G482)-SUMIF(A$6:A482,"&lt;&gt;""",H$6:H482),"")</f>
        <v/>
      </c>
      <c r="J482" s="26" t="n"/>
    </row>
    <row r="483" ht="15" customHeight="1">
      <c r="A483" s="26" t="n"/>
      <c r="B483" s="26" t="n"/>
      <c r="C483" s="26" t="n"/>
      <c r="D483" s="26" t="n"/>
      <c r="E483" s="26" t="n"/>
      <c r="F483" s="26" t="n"/>
      <c r="G483" s="26" t="n"/>
      <c r="H483" s="26" t="n"/>
      <c r="I483" s="26">
        <f>IFERROR(SUMIF(A$6:A483,"&lt;&gt;""",G$6:G483)-SUMIF(A$6:A483,"&lt;&gt;""",H$6:H483),"")</f>
        <v/>
      </c>
      <c r="J483" s="26" t="n"/>
    </row>
    <row r="484" ht="15" customHeight="1">
      <c r="A484" s="26" t="n"/>
      <c r="B484" s="26" t="n"/>
      <c r="C484" s="26" t="n"/>
      <c r="D484" s="26" t="n"/>
      <c r="E484" s="26" t="n"/>
      <c r="F484" s="26" t="n"/>
      <c r="G484" s="26" t="n"/>
      <c r="H484" s="26" t="n"/>
      <c r="I484" s="26">
        <f>IFERROR(SUMIF(A$6:A484,"&lt;&gt;""",G$6:G484)-SUMIF(A$6:A484,"&lt;&gt;""",H$6:H484),"")</f>
        <v/>
      </c>
      <c r="J484" s="26" t="n"/>
    </row>
    <row r="485" ht="15" customHeight="1">
      <c r="A485" s="26" t="n"/>
      <c r="B485" s="26" t="n"/>
      <c r="C485" s="26" t="n"/>
      <c r="D485" s="26" t="n"/>
      <c r="E485" s="26" t="n"/>
      <c r="F485" s="26" t="n"/>
      <c r="G485" s="26" t="n"/>
      <c r="H485" s="26" t="n"/>
      <c r="I485" s="26">
        <f>IFERROR(SUMIF(A$6:A485,"&lt;&gt;""",G$6:G485)-SUMIF(A$6:A485,"&lt;&gt;""",H$6:H485),"")</f>
        <v/>
      </c>
      <c r="J485" s="26" t="n"/>
    </row>
    <row r="486" ht="15" customHeight="1">
      <c r="A486" s="26" t="n"/>
      <c r="B486" s="26" t="n"/>
      <c r="C486" s="26" t="n"/>
      <c r="D486" s="26" t="n"/>
      <c r="E486" s="26" t="n"/>
      <c r="F486" s="26" t="n"/>
      <c r="G486" s="26" t="n"/>
      <c r="H486" s="26" t="n"/>
      <c r="I486" s="26">
        <f>IFERROR(SUMIF(A$6:A486,"&lt;&gt;""",G$6:G486)-SUMIF(A$6:A486,"&lt;&gt;""",H$6:H486),"")</f>
        <v/>
      </c>
      <c r="J486" s="26" t="n"/>
    </row>
    <row r="487" ht="15" customHeight="1">
      <c r="A487" s="26" t="n"/>
      <c r="B487" s="26" t="n"/>
      <c r="C487" s="26" t="n"/>
      <c r="D487" s="26" t="n"/>
      <c r="E487" s="26" t="n"/>
      <c r="F487" s="26" t="n"/>
      <c r="G487" s="26" t="n"/>
      <c r="H487" s="26" t="n"/>
      <c r="I487" s="26">
        <f>IFERROR(SUMIF(A$6:A487,"&lt;&gt;""",G$6:G487)-SUMIF(A$6:A487,"&lt;&gt;""",H$6:H487),"")</f>
        <v/>
      </c>
      <c r="J487" s="26" t="n"/>
    </row>
    <row r="488" ht="15" customHeight="1">
      <c r="A488" s="26" t="n"/>
      <c r="B488" s="26" t="n"/>
      <c r="C488" s="26" t="n"/>
      <c r="D488" s="26" t="n"/>
      <c r="E488" s="26" t="n"/>
      <c r="F488" s="26" t="n"/>
      <c r="G488" s="26" t="n"/>
      <c r="H488" s="26" t="n"/>
      <c r="I488" s="26">
        <f>IFERROR(SUMIF(A$6:A488,"&lt;&gt;""",G$6:G488)-SUMIF(A$6:A488,"&lt;&gt;""",H$6:H488),"")</f>
        <v/>
      </c>
      <c r="J488" s="26" t="n"/>
    </row>
    <row r="489" ht="15" customHeight="1">
      <c r="A489" s="26" t="n"/>
      <c r="B489" s="26" t="n"/>
      <c r="C489" s="26" t="n"/>
      <c r="D489" s="26" t="n"/>
      <c r="E489" s="26" t="n"/>
      <c r="F489" s="26" t="n"/>
      <c r="G489" s="26" t="n"/>
      <c r="H489" s="26" t="n"/>
      <c r="I489" s="26">
        <f>IFERROR(SUMIF(A$6:A489,"&lt;&gt;""",G$6:G489)-SUMIF(A$6:A489,"&lt;&gt;""",H$6:H489),"")</f>
        <v/>
      </c>
      <c r="J489" s="26" t="n"/>
    </row>
    <row r="490" ht="15" customHeight="1">
      <c r="A490" s="26" t="n"/>
      <c r="B490" s="26" t="n"/>
      <c r="C490" s="26" t="n"/>
      <c r="D490" s="26" t="n"/>
      <c r="E490" s="26" t="n"/>
      <c r="F490" s="26" t="n"/>
      <c r="G490" s="26" t="n"/>
      <c r="H490" s="26" t="n"/>
      <c r="I490" s="26">
        <f>IFERROR(SUMIF(A$6:A490,"&lt;&gt;""",G$6:G490)-SUMIF(A$6:A490,"&lt;&gt;""",H$6:H490),"")</f>
        <v/>
      </c>
      <c r="J490" s="26" t="n"/>
    </row>
    <row r="491" ht="15" customHeight="1">
      <c r="A491" s="26" t="n"/>
      <c r="B491" s="26" t="n"/>
      <c r="C491" s="26" t="n"/>
      <c r="D491" s="26" t="n"/>
      <c r="E491" s="26" t="n"/>
      <c r="F491" s="26" t="n"/>
      <c r="G491" s="26" t="n"/>
      <c r="H491" s="26" t="n"/>
      <c r="I491" s="26">
        <f>IFERROR(SUMIF(A$6:A491,"&lt;&gt;""",G$6:G491)-SUMIF(A$6:A491,"&lt;&gt;""",H$6:H491),"")</f>
        <v/>
      </c>
      <c r="J491" s="26" t="n"/>
    </row>
    <row r="492" ht="15" customHeight="1">
      <c r="A492" s="26" t="n"/>
      <c r="B492" s="26" t="n"/>
      <c r="C492" s="26" t="n"/>
      <c r="D492" s="26" t="n"/>
      <c r="E492" s="26" t="n"/>
      <c r="F492" s="26" t="n"/>
      <c r="G492" s="26" t="n"/>
      <c r="H492" s="26" t="n"/>
      <c r="I492" s="26">
        <f>IFERROR(SUMIF(A$6:A492,"&lt;&gt;""",G$6:G492)-SUMIF(A$6:A492,"&lt;&gt;""",H$6:H492),"")</f>
        <v/>
      </c>
      <c r="J492" s="26" t="n"/>
    </row>
    <row r="493" ht="15" customHeight="1">
      <c r="A493" s="26" t="n"/>
      <c r="B493" s="26" t="n"/>
      <c r="C493" s="26" t="n"/>
      <c r="D493" s="26" t="n"/>
      <c r="E493" s="26" t="n"/>
      <c r="F493" s="26" t="n"/>
      <c r="G493" s="26" t="n"/>
      <c r="H493" s="26" t="n"/>
      <c r="I493" s="26">
        <f>IFERROR(SUMIF(A$6:A493,"&lt;&gt;""",G$6:G493)-SUMIF(A$6:A493,"&lt;&gt;""",H$6:H493),"")</f>
        <v/>
      </c>
      <c r="J493" s="26" t="n"/>
    </row>
    <row r="494" ht="15" customHeight="1">
      <c r="A494" s="26" t="n"/>
      <c r="B494" s="26" t="n"/>
      <c r="C494" s="26" t="n"/>
      <c r="D494" s="26" t="n"/>
      <c r="E494" s="26" t="n"/>
      <c r="F494" s="26" t="n"/>
      <c r="G494" s="26" t="n"/>
      <c r="H494" s="26" t="n"/>
      <c r="I494" s="26">
        <f>IFERROR(SUMIF(A$6:A494,"&lt;&gt;""",G$6:G494)-SUMIF(A$6:A494,"&lt;&gt;""",H$6:H494),"")</f>
        <v/>
      </c>
      <c r="J494" s="26" t="n"/>
    </row>
    <row r="495" ht="15" customHeight="1">
      <c r="A495" s="26" t="n"/>
      <c r="B495" s="26" t="n"/>
      <c r="C495" s="26" t="n"/>
      <c r="D495" s="26" t="n"/>
      <c r="E495" s="26" t="n"/>
      <c r="F495" s="26" t="n"/>
      <c r="G495" s="26" t="n"/>
      <c r="H495" s="26" t="n"/>
      <c r="I495" s="26">
        <f>IFERROR(SUMIF(A$6:A495,"&lt;&gt;""",G$6:G495)-SUMIF(A$6:A495,"&lt;&gt;""",H$6:H495),"")</f>
        <v/>
      </c>
      <c r="J495" s="26" t="n"/>
    </row>
    <row r="496" ht="15" customHeight="1">
      <c r="A496" s="26" t="n"/>
      <c r="B496" s="26" t="n"/>
      <c r="C496" s="26" t="n"/>
      <c r="D496" s="26" t="n"/>
      <c r="E496" s="26" t="n"/>
      <c r="F496" s="26" t="n"/>
      <c r="G496" s="26" t="n"/>
      <c r="H496" s="26" t="n"/>
      <c r="I496" s="26">
        <f>IFERROR(SUMIF(A$6:A496,"&lt;&gt;""",G$6:G496)-SUMIF(A$6:A496,"&lt;&gt;""",H$6:H496),"")</f>
        <v/>
      </c>
      <c r="J496" s="26" t="n"/>
    </row>
    <row r="497" ht="15" customHeight="1">
      <c r="A497" s="26" t="n"/>
      <c r="B497" s="26" t="n"/>
      <c r="C497" s="26" t="n"/>
      <c r="D497" s="26" t="n"/>
      <c r="E497" s="26" t="n"/>
      <c r="F497" s="26" t="n"/>
      <c r="G497" s="26" t="n"/>
      <c r="H497" s="26" t="n"/>
      <c r="I497" s="26">
        <f>IFERROR(SUMIF(A$6:A497,"&lt;&gt;""",G$6:G497)-SUMIF(A$6:A497,"&lt;&gt;""",H$6:H497),"")</f>
        <v/>
      </c>
      <c r="J497" s="26" t="n"/>
    </row>
    <row r="498" ht="15" customHeight="1">
      <c r="A498" s="26" t="n"/>
      <c r="B498" s="26" t="n"/>
      <c r="C498" s="26" t="n"/>
      <c r="D498" s="26" t="n"/>
      <c r="E498" s="26" t="n"/>
      <c r="F498" s="26" t="n"/>
      <c r="G498" s="26" t="n"/>
      <c r="H498" s="26" t="n"/>
      <c r="I498" s="26">
        <f>IFERROR(SUMIF(A$6:A498,"&lt;&gt;""",G$6:G498)-SUMIF(A$6:A498,"&lt;&gt;""",H$6:H498),"")</f>
        <v/>
      </c>
      <c r="J498" s="26" t="n"/>
    </row>
    <row r="499" ht="15" customHeight="1">
      <c r="A499" s="26" t="n"/>
      <c r="B499" s="26" t="n"/>
      <c r="C499" s="26" t="n"/>
      <c r="D499" s="26" t="n"/>
      <c r="E499" s="26" t="n"/>
      <c r="F499" s="26" t="n"/>
      <c r="G499" s="26" t="n"/>
      <c r="H499" s="26" t="n"/>
      <c r="I499" s="26">
        <f>IFERROR(SUMIF(A$6:A499,"&lt;&gt;""",G$6:G499)-SUMIF(A$6:A499,"&lt;&gt;""",H$6:H499),"")</f>
        <v/>
      </c>
      <c r="J499" s="26" t="n"/>
    </row>
    <row r="500" ht="15" customHeight="1">
      <c r="A500" s="26" t="n"/>
      <c r="B500" s="26" t="n"/>
      <c r="C500" s="26" t="n"/>
      <c r="D500" s="26" t="n"/>
      <c r="E500" s="26" t="n"/>
      <c r="F500" s="26" t="n"/>
      <c r="G500" s="26" t="n"/>
      <c r="H500" s="26" t="n"/>
      <c r="I500" s="26">
        <f>IFERROR(SUMIF(A$6:A500,"&lt;&gt;""",G$6:G500)-SUMIF(A$6:A500,"&lt;&gt;""",H$6:H500),"")</f>
        <v/>
      </c>
      <c r="J500" s="26" t="n"/>
    </row>
    <row r="501" ht="15" customHeight="1">
      <c r="A501" s="26" t="n"/>
      <c r="B501" s="26" t="n"/>
      <c r="C501" s="26" t="n"/>
      <c r="D501" s="26" t="n"/>
      <c r="E501" s="26" t="n"/>
      <c r="F501" s="26" t="n"/>
      <c r="G501" s="26" t="n"/>
      <c r="H501" s="26" t="n"/>
      <c r="I501" s="26">
        <f>IFERROR(SUMIF(A$6:A501,"&lt;&gt;""",G$6:G501)-SUMIF(A$6:A501,"&lt;&gt;""",H$6:H501),"")</f>
        <v/>
      </c>
      <c r="J501" s="26" t="n"/>
    </row>
    <row r="502" ht="15" customHeight="1">
      <c r="A502" s="26" t="n"/>
      <c r="B502" s="26" t="n"/>
      <c r="C502" s="26" t="n"/>
      <c r="D502" s="26" t="n"/>
      <c r="E502" s="26" t="n"/>
      <c r="F502" s="26" t="n"/>
      <c r="G502" s="26" t="n"/>
      <c r="H502" s="26" t="n"/>
      <c r="I502" s="26">
        <f>IFERROR(SUMIF(A$6:A502,"&lt;&gt;""",G$6:G502)-SUMIF(A$6:A502,"&lt;&gt;""",H$6:H502),"")</f>
        <v/>
      </c>
      <c r="J502" s="26" t="n"/>
    </row>
    <row r="503" ht="15" customHeight="1">
      <c r="A503" s="26" t="n"/>
      <c r="B503" s="26" t="n"/>
      <c r="C503" s="26" t="n"/>
      <c r="D503" s="26" t="n"/>
      <c r="E503" s="26" t="n"/>
      <c r="F503" s="26" t="n"/>
      <c r="G503" s="26" t="n"/>
      <c r="H503" s="26" t="n"/>
      <c r="I503" s="26">
        <f>IFERROR(SUMIF(A$6:A503,"&lt;&gt;""",G$6:G503)-SUMIF(A$6:A503,"&lt;&gt;""",H$6:H503),"")</f>
        <v/>
      </c>
      <c r="J503" s="26" t="n"/>
    </row>
    <row r="504" ht="15" customHeight="1">
      <c r="A504" s="26" t="n"/>
      <c r="B504" s="26" t="n"/>
      <c r="C504" s="26" t="n"/>
      <c r="D504" s="26" t="n"/>
      <c r="E504" s="26" t="n"/>
      <c r="F504" s="26" t="n"/>
      <c r="G504" s="26" t="n"/>
      <c r="H504" s="26" t="n"/>
      <c r="I504" s="26">
        <f>IFERROR(SUMIF(A$6:A504,"&lt;&gt;""",G$6:G504)-SUMIF(A$6:A504,"&lt;&gt;""",H$6:H504),"")</f>
        <v/>
      </c>
      <c r="J504" s="26" t="n"/>
    </row>
    <row r="505" ht="15" customHeight="1">
      <c r="A505" s="26" t="n"/>
      <c r="B505" s="26" t="n"/>
      <c r="C505" s="26" t="n"/>
      <c r="D505" s="26" t="n"/>
      <c r="E505" s="26" t="n"/>
      <c r="F505" s="26" t="n"/>
      <c r="G505" s="26" t="n"/>
      <c r="H505" s="26" t="n"/>
      <c r="I505" s="26">
        <f>IFERROR(SUMIF(A$6:A505,"&lt;&gt;""",G$6:G505)-SUMIF(A$6:A505,"&lt;&gt;""",H$6:H505),"")</f>
        <v/>
      </c>
      <c r="J505" s="26" t="n"/>
    </row>
    <row r="506" ht="15" customHeight="1">
      <c r="A506" s="26" t="n"/>
      <c r="B506" s="26" t="n"/>
      <c r="C506" s="26" t="n"/>
      <c r="D506" s="26" t="n"/>
      <c r="E506" s="26" t="n"/>
      <c r="F506" s="26" t="n"/>
      <c r="G506" s="26" t="n"/>
      <c r="H506" s="26" t="n"/>
      <c r="I506" s="26">
        <f>IFERROR(SUMIF(A$6:A506,"&lt;&gt;""",G$6:G506)-SUMIF(A$6:A506,"&lt;&gt;""",H$6:H506),"")</f>
        <v/>
      </c>
      <c r="J506" s="26" t="n"/>
    </row>
    <row r="507" ht="15" customHeight="1">
      <c r="A507" s="26" t="n"/>
      <c r="B507" s="26" t="n"/>
      <c r="C507" s="26" t="n"/>
      <c r="D507" s="26" t="n"/>
      <c r="E507" s="26" t="n"/>
      <c r="F507" s="26" t="n"/>
      <c r="G507" s="26" t="n"/>
      <c r="H507" s="26" t="n"/>
      <c r="I507" s="26">
        <f>IFERROR(SUMIF(A$6:A507,"&lt;&gt;""",G$6:G507)-SUMIF(A$6:A507,"&lt;&gt;""",H$6:H507),"")</f>
        <v/>
      </c>
      <c r="J507" s="26" t="n"/>
    </row>
    <row r="508" ht="15" customHeight="1">
      <c r="A508" s="26" t="n"/>
      <c r="B508" s="26" t="n"/>
      <c r="C508" s="26" t="n"/>
      <c r="D508" s="26" t="n"/>
      <c r="E508" s="26" t="n"/>
      <c r="F508" s="26" t="n"/>
      <c r="G508" s="26" t="n"/>
      <c r="H508" s="26" t="n"/>
      <c r="I508" s="26">
        <f>IFERROR(SUMIF(A$6:A508,"&lt;&gt;""",G$6:G508)-SUMIF(A$6:A508,"&lt;&gt;""",H$6:H508),"")</f>
        <v/>
      </c>
      <c r="J508" s="26" t="n"/>
    </row>
    <row r="509" ht="15" customHeight="1">
      <c r="A509" s="26" t="n"/>
      <c r="B509" s="26" t="n"/>
      <c r="C509" s="26" t="n"/>
      <c r="D509" s="26" t="n"/>
      <c r="E509" s="26" t="n"/>
      <c r="F509" s="26" t="n"/>
      <c r="G509" s="26" t="n"/>
      <c r="H509" s="26" t="n"/>
      <c r="I509" s="26">
        <f>IFERROR(SUMIF(A$6:A509,"&lt;&gt;""",G$6:G509)-SUMIF(A$6:A509,"&lt;&gt;""",H$6:H509),"")</f>
        <v/>
      </c>
      <c r="J509" s="26" t="n"/>
    </row>
    <row r="510" ht="15" customHeight="1">
      <c r="A510" s="26" t="n"/>
      <c r="B510" s="26" t="n"/>
      <c r="C510" s="26" t="n"/>
      <c r="D510" s="26" t="n"/>
      <c r="E510" s="26" t="n"/>
      <c r="F510" s="26" t="n"/>
      <c r="G510" s="26" t="n"/>
      <c r="H510" s="26" t="n"/>
      <c r="I510" s="26">
        <f>IFERROR(SUMIF(A$6:A510,"&lt;&gt;""",G$6:G510)-SUMIF(A$6:A510,"&lt;&gt;""",H$6:H510),"")</f>
        <v/>
      </c>
      <c r="J510" s="26" t="n"/>
    </row>
    <row r="511" ht="15" customHeight="1">
      <c r="A511" s="26" t="n"/>
      <c r="B511" s="26" t="n"/>
      <c r="C511" s="26" t="n"/>
      <c r="D511" s="26" t="n"/>
      <c r="E511" s="26" t="n"/>
      <c r="F511" s="26" t="n"/>
      <c r="G511" s="26" t="n"/>
      <c r="H511" s="26" t="n"/>
      <c r="I511" s="26">
        <f>IFERROR(SUMIF(A$6:A511,"&lt;&gt;""",G$6:G511)-SUMIF(A$6:A511,"&lt;&gt;""",H$6:H511),"")</f>
        <v/>
      </c>
      <c r="J511" s="26" t="n"/>
    </row>
    <row r="512" ht="15" customHeight="1">
      <c r="A512" s="26" t="n"/>
      <c r="B512" s="26" t="n"/>
      <c r="C512" s="26" t="n"/>
      <c r="D512" s="26" t="n"/>
      <c r="E512" s="26" t="n"/>
      <c r="F512" s="26" t="n"/>
      <c r="G512" s="26" t="n"/>
      <c r="H512" s="26" t="n"/>
      <c r="I512" s="26">
        <f>IFERROR(SUMIF(A$6:A512,"&lt;&gt;""",G$6:G512)-SUMIF(A$6:A512,"&lt;&gt;""",H$6:H512),"")</f>
        <v/>
      </c>
      <c r="J512" s="26" t="n"/>
    </row>
    <row r="513" ht="15" customHeight="1">
      <c r="A513" s="26" t="n"/>
      <c r="B513" s="26" t="n"/>
      <c r="C513" s="26" t="n"/>
      <c r="D513" s="26" t="n"/>
      <c r="E513" s="26" t="n"/>
      <c r="F513" s="26" t="n"/>
      <c r="G513" s="26" t="n"/>
      <c r="H513" s="26" t="n"/>
      <c r="I513" s="26">
        <f>IFERROR(SUMIF(A$6:A513,"&lt;&gt;""",G$6:G513)-SUMIF(A$6:A513,"&lt;&gt;""",H$6:H513),"")</f>
        <v/>
      </c>
      <c r="J513" s="26" t="n"/>
    </row>
    <row r="514" ht="15" customHeight="1">
      <c r="A514" s="26" t="n"/>
      <c r="B514" s="26" t="n"/>
      <c r="C514" s="26" t="n"/>
      <c r="D514" s="26" t="n"/>
      <c r="E514" s="26" t="n"/>
      <c r="F514" s="26" t="n"/>
      <c r="G514" s="26" t="n"/>
      <c r="H514" s="26" t="n"/>
      <c r="I514" s="26">
        <f>IFERROR(SUMIF(A$6:A514,"&lt;&gt;""",G$6:G514)-SUMIF(A$6:A514,"&lt;&gt;""",H$6:H514),"")</f>
        <v/>
      </c>
      <c r="J514" s="26" t="n"/>
    </row>
    <row r="515" ht="15" customHeight="1">
      <c r="A515" s="26" t="n"/>
      <c r="B515" s="26" t="n"/>
      <c r="C515" s="26" t="n"/>
      <c r="D515" s="26" t="n"/>
      <c r="E515" s="26" t="n"/>
      <c r="F515" s="26" t="n"/>
      <c r="G515" s="26" t="n"/>
      <c r="H515" s="26" t="n"/>
      <c r="I515" s="26">
        <f>IFERROR(SUMIF(A$6:A515,"&lt;&gt;""",G$6:G515)-SUMIF(A$6:A515,"&lt;&gt;""",H$6:H515),"")</f>
        <v/>
      </c>
      <c r="J515" s="26" t="n"/>
    </row>
    <row r="516" ht="15" customHeight="1">
      <c r="A516" s="26" t="n"/>
      <c r="B516" s="26" t="n"/>
      <c r="C516" s="26" t="n"/>
      <c r="D516" s="26" t="n"/>
      <c r="E516" s="26" t="n"/>
      <c r="F516" s="26" t="n"/>
      <c r="G516" s="26" t="n"/>
      <c r="H516" s="26" t="n"/>
      <c r="I516" s="26">
        <f>IFERROR(SUMIF(A$6:A516,"&lt;&gt;""",G$6:G516)-SUMIF(A$6:A516,"&lt;&gt;""",H$6:H516),"")</f>
        <v/>
      </c>
      <c r="J516" s="26" t="n"/>
    </row>
    <row r="517" ht="15" customHeight="1">
      <c r="A517" s="26" t="n"/>
      <c r="B517" s="26" t="n"/>
      <c r="C517" s="26" t="n"/>
      <c r="D517" s="26" t="n"/>
      <c r="E517" s="26" t="n"/>
      <c r="F517" s="26" t="n"/>
      <c r="G517" s="26" t="n"/>
      <c r="H517" s="26" t="n"/>
      <c r="I517" s="26">
        <f>IFERROR(SUMIF(A$6:A517,"&lt;&gt;""",G$6:G517)-SUMIF(A$6:A517,"&lt;&gt;""",H$6:H517),"")</f>
        <v/>
      </c>
      <c r="J517" s="26" t="n"/>
    </row>
    <row r="518" ht="15" customHeight="1">
      <c r="A518" s="26" t="n"/>
      <c r="B518" s="26" t="n"/>
      <c r="C518" s="26" t="n"/>
      <c r="D518" s="26" t="n"/>
      <c r="E518" s="26" t="n"/>
      <c r="F518" s="26" t="n"/>
      <c r="G518" s="26" t="n"/>
      <c r="H518" s="26" t="n"/>
      <c r="I518" s="26">
        <f>IFERROR(SUMIF(A$6:A518,"&lt;&gt;""",G$6:G518)-SUMIF(A$6:A518,"&lt;&gt;""",H$6:H518),"")</f>
        <v/>
      </c>
      <c r="J518" s="26" t="n"/>
    </row>
    <row r="519" ht="15" customHeight="1">
      <c r="A519" s="26" t="n"/>
      <c r="B519" s="26" t="n"/>
      <c r="C519" s="26" t="n"/>
      <c r="D519" s="26" t="n"/>
      <c r="E519" s="26" t="n"/>
      <c r="F519" s="26" t="n"/>
      <c r="G519" s="26" t="n"/>
      <c r="H519" s="26" t="n"/>
      <c r="I519" s="26">
        <f>IFERROR(SUMIF(A$6:A519,"&lt;&gt;""",G$6:G519)-SUMIF(A$6:A519,"&lt;&gt;""",H$6:H519),"")</f>
        <v/>
      </c>
      <c r="J519" s="26" t="n"/>
    </row>
    <row r="520" ht="15" customHeight="1">
      <c r="A520" s="26" t="n"/>
      <c r="B520" s="26" t="n"/>
      <c r="C520" s="26" t="n"/>
      <c r="D520" s="26" t="n"/>
      <c r="E520" s="26" t="n"/>
      <c r="F520" s="26" t="n"/>
      <c r="G520" s="26" t="n"/>
      <c r="H520" s="26" t="n"/>
      <c r="I520" s="26">
        <f>IFERROR(SUMIF(A$6:A520,"&lt;&gt;""",G$6:G520)-SUMIF(A$6:A520,"&lt;&gt;""",H$6:H520),"")</f>
        <v/>
      </c>
      <c r="J520" s="26" t="n"/>
    </row>
    <row r="521" ht="15" customHeight="1">
      <c r="A521" s="26" t="n"/>
      <c r="B521" s="26" t="n"/>
      <c r="C521" s="26" t="n"/>
      <c r="D521" s="26" t="n"/>
      <c r="E521" s="26" t="n"/>
      <c r="F521" s="26" t="n"/>
      <c r="G521" s="26" t="n"/>
      <c r="H521" s="26" t="n"/>
      <c r="I521" s="26">
        <f>IFERROR(SUMIF(A$6:A521,"&lt;&gt;""",G$6:G521)-SUMIF(A$6:A521,"&lt;&gt;""",H$6:H521),"")</f>
        <v/>
      </c>
      <c r="J521" s="26" t="n"/>
    </row>
    <row r="522" ht="15" customHeight="1">
      <c r="A522" s="26" t="n"/>
      <c r="B522" s="26" t="n"/>
      <c r="C522" s="26" t="n"/>
      <c r="D522" s="26" t="n"/>
      <c r="E522" s="26" t="n"/>
      <c r="F522" s="26" t="n"/>
      <c r="G522" s="26" t="n"/>
      <c r="H522" s="26" t="n"/>
      <c r="I522" s="26">
        <f>IFERROR(SUMIF(A$6:A522,"&lt;&gt;""",G$6:G522)-SUMIF(A$6:A522,"&lt;&gt;""",H$6:H522),"")</f>
        <v/>
      </c>
      <c r="J522" s="26" t="n"/>
    </row>
    <row r="523" ht="15" customHeight="1">
      <c r="A523" s="26" t="n"/>
      <c r="B523" s="26" t="n"/>
      <c r="C523" s="26" t="n"/>
      <c r="D523" s="26" t="n"/>
      <c r="E523" s="26" t="n"/>
      <c r="F523" s="26" t="n"/>
      <c r="G523" s="26" t="n"/>
      <c r="H523" s="26" t="n"/>
      <c r="I523" s="26">
        <f>IFERROR(SUMIF(A$6:A523,"&lt;&gt;""",G$6:G523)-SUMIF(A$6:A523,"&lt;&gt;""",H$6:H523),"")</f>
        <v/>
      </c>
      <c r="J523" s="26" t="n"/>
    </row>
    <row r="524" ht="15" customHeight="1">
      <c r="A524" s="26" t="n"/>
      <c r="B524" s="26" t="n"/>
      <c r="C524" s="26" t="n"/>
      <c r="D524" s="26" t="n"/>
      <c r="E524" s="26" t="n"/>
      <c r="F524" s="26" t="n"/>
      <c r="G524" s="26" t="n"/>
      <c r="H524" s="26" t="n"/>
      <c r="I524" s="26">
        <f>IFERROR(SUMIF(A$6:A524,"&lt;&gt;""",G$6:G524)-SUMIF(A$6:A524,"&lt;&gt;""",H$6:H524),"")</f>
        <v/>
      </c>
      <c r="J524" s="26" t="n"/>
    </row>
    <row r="525" ht="15" customHeight="1">
      <c r="A525" s="26" t="n"/>
      <c r="B525" s="26" t="n"/>
      <c r="C525" s="26" t="n"/>
      <c r="D525" s="26" t="n"/>
      <c r="E525" s="26" t="n"/>
      <c r="F525" s="26" t="n"/>
      <c r="G525" s="26" t="n"/>
      <c r="H525" s="26" t="n"/>
      <c r="I525" s="26">
        <f>IFERROR(SUMIF(A$6:A525,"&lt;&gt;""",G$6:G525)-SUMIF(A$6:A525,"&lt;&gt;""",H$6:H525),"")</f>
        <v/>
      </c>
      <c r="J525" s="26" t="n"/>
    </row>
    <row r="526" ht="15" customHeight="1">
      <c r="A526" s="26" t="n"/>
      <c r="B526" s="26" t="n"/>
      <c r="C526" s="26" t="n"/>
      <c r="D526" s="26" t="n"/>
      <c r="E526" s="26" t="n"/>
      <c r="F526" s="26" t="n"/>
      <c r="G526" s="26" t="n"/>
      <c r="H526" s="26" t="n"/>
      <c r="I526" s="26">
        <f>IFERROR(SUMIF(A$6:A526,"&lt;&gt;""",G$6:G526)-SUMIF(A$6:A526,"&lt;&gt;""",H$6:H526),"")</f>
        <v/>
      </c>
      <c r="J526" s="26" t="n"/>
    </row>
    <row r="527" ht="15" customHeight="1">
      <c r="A527" s="26" t="n"/>
      <c r="B527" s="26" t="n"/>
      <c r="C527" s="26" t="n"/>
      <c r="D527" s="26" t="n"/>
      <c r="E527" s="26" t="n"/>
      <c r="F527" s="26" t="n"/>
      <c r="G527" s="26" t="n"/>
      <c r="H527" s="26" t="n"/>
      <c r="I527" s="26">
        <f>IFERROR(SUMIF(A$6:A527,"&lt;&gt;""",G$6:G527)-SUMIF(A$6:A527,"&lt;&gt;""",H$6:H527),"")</f>
        <v/>
      </c>
      <c r="J527" s="26" t="n"/>
    </row>
    <row r="528" ht="15" customHeight="1">
      <c r="A528" s="26" t="n"/>
      <c r="B528" s="26" t="n"/>
      <c r="C528" s="26" t="n"/>
      <c r="D528" s="26" t="n"/>
      <c r="E528" s="26" t="n"/>
      <c r="F528" s="26" t="n"/>
      <c r="G528" s="26" t="n"/>
      <c r="H528" s="26" t="n"/>
      <c r="I528" s="26">
        <f>IFERROR(SUMIF(A$6:A528,"&lt;&gt;""",G$6:G528)-SUMIF(A$6:A528,"&lt;&gt;""",H$6:H528),"")</f>
        <v/>
      </c>
      <c r="J528" s="26" t="n"/>
    </row>
    <row r="529" ht="15" customHeight="1">
      <c r="A529" s="26" t="n"/>
      <c r="B529" s="26" t="n"/>
      <c r="C529" s="26" t="n"/>
      <c r="D529" s="26" t="n"/>
      <c r="E529" s="26" t="n"/>
      <c r="F529" s="26" t="n"/>
      <c r="G529" s="26" t="n"/>
      <c r="H529" s="26" t="n"/>
      <c r="I529" s="26">
        <f>IFERROR(SUMIF(A$6:A529,"&lt;&gt;""",G$6:G529)-SUMIF(A$6:A529,"&lt;&gt;""",H$6:H529),"")</f>
        <v/>
      </c>
      <c r="J529" s="26" t="n"/>
    </row>
    <row r="530" ht="15" customHeight="1">
      <c r="A530" s="26" t="n"/>
      <c r="B530" s="26" t="n"/>
      <c r="C530" s="26" t="n"/>
      <c r="D530" s="26" t="n"/>
      <c r="E530" s="26" t="n"/>
      <c r="F530" s="26" t="n"/>
      <c r="G530" s="26" t="n"/>
      <c r="H530" s="26" t="n"/>
      <c r="I530" s="26">
        <f>IFERROR(SUMIF(A$6:A530,"&lt;&gt;""",G$6:G530)-SUMIF(A$6:A530,"&lt;&gt;""",H$6:H530),"")</f>
        <v/>
      </c>
      <c r="J530" s="26" t="n"/>
    </row>
    <row r="531" ht="15" customHeight="1">
      <c r="A531" s="26" t="n"/>
      <c r="B531" s="26" t="n"/>
      <c r="C531" s="26" t="n"/>
      <c r="D531" s="26" t="n"/>
      <c r="E531" s="26" t="n"/>
      <c r="F531" s="26" t="n"/>
      <c r="G531" s="26" t="n"/>
      <c r="H531" s="26" t="n"/>
      <c r="I531" s="26">
        <f>IFERROR(SUMIF(A$6:A531,"&lt;&gt;""",G$6:G531)-SUMIF(A$6:A531,"&lt;&gt;""",H$6:H531),"")</f>
        <v/>
      </c>
      <c r="J531" s="26" t="n"/>
    </row>
    <row r="532" ht="15" customHeight="1">
      <c r="A532" s="26" t="n"/>
      <c r="B532" s="26" t="n"/>
      <c r="C532" s="26" t="n"/>
      <c r="D532" s="26" t="n"/>
      <c r="E532" s="26" t="n"/>
      <c r="F532" s="26" t="n"/>
      <c r="G532" s="26" t="n"/>
      <c r="H532" s="26" t="n"/>
      <c r="I532" s="26">
        <f>IFERROR(SUMIF(A$6:A532,"&lt;&gt;""",G$6:G532)-SUMIF(A$6:A532,"&lt;&gt;""",H$6:H532),"")</f>
        <v/>
      </c>
      <c r="J532" s="26" t="n"/>
    </row>
    <row r="533" ht="15" customHeight="1">
      <c r="A533" s="26" t="n"/>
      <c r="B533" s="26" t="n"/>
      <c r="C533" s="26" t="n"/>
      <c r="D533" s="26" t="n"/>
      <c r="E533" s="26" t="n"/>
      <c r="F533" s="26" t="n"/>
      <c r="G533" s="26" t="n"/>
      <c r="H533" s="26" t="n"/>
      <c r="I533" s="26">
        <f>IFERROR(SUMIF(A$6:A533,"&lt;&gt;""",G$6:G533)-SUMIF(A$6:A533,"&lt;&gt;""",H$6:H533),"")</f>
        <v/>
      </c>
      <c r="J533" s="26" t="n"/>
    </row>
    <row r="534" ht="15" customHeight="1">
      <c r="A534" s="26" t="n"/>
      <c r="B534" s="26" t="n"/>
      <c r="C534" s="26" t="n"/>
      <c r="D534" s="26" t="n"/>
      <c r="E534" s="26" t="n"/>
      <c r="F534" s="26" t="n"/>
      <c r="G534" s="26" t="n"/>
      <c r="H534" s="26" t="n"/>
      <c r="I534" s="26">
        <f>IFERROR(SUMIF(A$6:A534,"&lt;&gt;""",G$6:G534)-SUMIF(A$6:A534,"&lt;&gt;""",H$6:H534),"")</f>
        <v/>
      </c>
      <c r="J534" s="26" t="n"/>
    </row>
    <row r="535" ht="15" customHeight="1">
      <c r="A535" s="26" t="n"/>
      <c r="B535" s="26" t="n"/>
      <c r="C535" s="26" t="n"/>
      <c r="D535" s="26" t="n"/>
      <c r="E535" s="26" t="n"/>
      <c r="F535" s="26" t="n"/>
      <c r="G535" s="26" t="n"/>
      <c r="H535" s="26" t="n"/>
      <c r="I535" s="26">
        <f>IFERROR(SUMIF(A$6:A535,"&lt;&gt;""",G$6:G535)-SUMIF(A$6:A535,"&lt;&gt;""",H$6:H535),"")</f>
        <v/>
      </c>
      <c r="J535" s="26" t="n"/>
    </row>
    <row r="536" ht="15" customHeight="1">
      <c r="A536" s="26" t="n"/>
      <c r="B536" s="26" t="n"/>
      <c r="C536" s="26" t="n"/>
      <c r="D536" s="26" t="n"/>
      <c r="E536" s="26" t="n"/>
      <c r="F536" s="26" t="n"/>
      <c r="G536" s="26" t="n"/>
      <c r="H536" s="26" t="n"/>
      <c r="I536" s="26">
        <f>IFERROR(SUMIF(A$6:A536,"&lt;&gt;""",G$6:G536)-SUMIF(A$6:A536,"&lt;&gt;""",H$6:H536),"")</f>
        <v/>
      </c>
      <c r="J536" s="26" t="n"/>
    </row>
    <row r="537" ht="15" customHeight="1">
      <c r="A537" s="26" t="n"/>
      <c r="B537" s="26" t="n"/>
      <c r="C537" s="26" t="n"/>
      <c r="D537" s="26" t="n"/>
      <c r="E537" s="26" t="n"/>
      <c r="F537" s="26" t="n"/>
      <c r="G537" s="26" t="n"/>
      <c r="H537" s="26" t="n"/>
      <c r="I537" s="26">
        <f>IFERROR(SUMIF(A$6:A537,"&lt;&gt;""",G$6:G537)-SUMIF(A$6:A537,"&lt;&gt;""",H$6:H537),"")</f>
        <v/>
      </c>
      <c r="J537" s="26" t="n"/>
    </row>
    <row r="538" ht="15" customHeight="1">
      <c r="A538" s="26" t="n"/>
      <c r="B538" s="26" t="n"/>
      <c r="C538" s="26" t="n"/>
      <c r="D538" s="26" t="n"/>
      <c r="E538" s="26" t="n"/>
      <c r="F538" s="26" t="n"/>
      <c r="G538" s="26" t="n"/>
      <c r="H538" s="26" t="n"/>
      <c r="I538" s="26">
        <f>IFERROR(SUMIF(A$6:A538,"&lt;&gt;""",G$6:G538)-SUMIF(A$6:A538,"&lt;&gt;""",H$6:H538),"")</f>
        <v/>
      </c>
      <c r="J538" s="26" t="n"/>
    </row>
    <row r="539" ht="15" customHeight="1">
      <c r="A539" s="26" t="n"/>
      <c r="B539" s="26" t="n"/>
      <c r="C539" s="26" t="n"/>
      <c r="D539" s="26" t="n"/>
      <c r="E539" s="26" t="n"/>
      <c r="F539" s="26" t="n"/>
      <c r="G539" s="26" t="n"/>
      <c r="H539" s="26" t="n"/>
      <c r="I539" s="26">
        <f>IFERROR(SUMIF(A$6:A539,"&lt;&gt;""",G$6:G539)-SUMIF(A$6:A539,"&lt;&gt;""",H$6:H539),"")</f>
        <v/>
      </c>
      <c r="J539" s="26" t="n"/>
    </row>
    <row r="540" ht="15" customHeight="1">
      <c r="A540" s="26" t="n"/>
      <c r="B540" s="26" t="n"/>
      <c r="C540" s="26" t="n"/>
      <c r="D540" s="26" t="n"/>
      <c r="E540" s="26" t="n"/>
      <c r="F540" s="26" t="n"/>
      <c r="G540" s="26" t="n"/>
      <c r="H540" s="26" t="n"/>
      <c r="I540" s="26">
        <f>IFERROR(SUMIF(A$6:A540,"&lt;&gt;""",G$6:G540)-SUMIF(A$6:A540,"&lt;&gt;""",H$6:H540),"")</f>
        <v/>
      </c>
      <c r="J540" s="26" t="n"/>
    </row>
    <row r="541" ht="15" customHeight="1">
      <c r="A541" s="26" t="n"/>
      <c r="B541" s="26" t="n"/>
      <c r="C541" s="26" t="n"/>
      <c r="D541" s="26" t="n"/>
      <c r="E541" s="26" t="n"/>
      <c r="F541" s="26" t="n"/>
      <c r="G541" s="26" t="n"/>
      <c r="H541" s="26" t="n"/>
      <c r="I541" s="26">
        <f>IFERROR(SUMIF(A$6:A541,"&lt;&gt;""",G$6:G541)-SUMIF(A$6:A541,"&lt;&gt;""",H$6:H541),"")</f>
        <v/>
      </c>
      <c r="J541" s="26" t="n"/>
    </row>
    <row r="542" ht="15" customHeight="1">
      <c r="A542" s="26" t="n"/>
      <c r="B542" s="26" t="n"/>
      <c r="C542" s="26" t="n"/>
      <c r="D542" s="26" t="n"/>
      <c r="E542" s="26" t="n"/>
      <c r="F542" s="26" t="n"/>
      <c r="G542" s="26" t="n"/>
      <c r="H542" s="26" t="n"/>
      <c r="I542" s="26">
        <f>IFERROR(SUMIF(A$6:A542,"&lt;&gt;""",G$6:G542)-SUMIF(A$6:A542,"&lt;&gt;""",H$6:H542),"")</f>
        <v/>
      </c>
      <c r="J542" s="26" t="n"/>
    </row>
    <row r="543" ht="15" customHeight="1">
      <c r="A543" s="26" t="n"/>
      <c r="B543" s="26" t="n"/>
      <c r="C543" s="26" t="n"/>
      <c r="D543" s="26" t="n"/>
      <c r="E543" s="26" t="n"/>
      <c r="F543" s="26" t="n"/>
      <c r="G543" s="26" t="n"/>
      <c r="H543" s="26" t="n"/>
      <c r="I543" s="26">
        <f>IFERROR(SUMIF(A$6:A543,"&lt;&gt;""",G$6:G543)-SUMIF(A$6:A543,"&lt;&gt;""",H$6:H543),"")</f>
        <v/>
      </c>
      <c r="J543" s="26" t="n"/>
    </row>
    <row r="544" ht="15" customHeight="1">
      <c r="A544" s="26" t="n"/>
      <c r="B544" s="26" t="n"/>
      <c r="C544" s="26" t="n"/>
      <c r="D544" s="26" t="n"/>
      <c r="E544" s="26" t="n"/>
      <c r="F544" s="26" t="n"/>
      <c r="G544" s="26" t="n"/>
      <c r="H544" s="26" t="n"/>
      <c r="I544" s="26">
        <f>IFERROR(SUMIF(A$6:A544,"&lt;&gt;""",G$6:G544)-SUMIF(A$6:A544,"&lt;&gt;""",H$6:H544),"")</f>
        <v/>
      </c>
      <c r="J544" s="26" t="n"/>
    </row>
    <row r="545" ht="15" customHeight="1">
      <c r="A545" s="26" t="n"/>
      <c r="B545" s="26" t="n"/>
      <c r="C545" s="26" t="n"/>
      <c r="D545" s="26" t="n"/>
      <c r="E545" s="26" t="n"/>
      <c r="F545" s="26" t="n"/>
      <c r="G545" s="26" t="n"/>
      <c r="H545" s="26" t="n"/>
      <c r="I545" s="26">
        <f>IFERROR(SUMIF(A$6:A545,"&lt;&gt;""",G$6:G545)-SUMIF(A$6:A545,"&lt;&gt;""",H$6:H545),"")</f>
        <v/>
      </c>
      <c r="J545" s="26" t="n"/>
    </row>
    <row r="546" ht="15" customHeight="1">
      <c r="A546" s="26" t="n"/>
      <c r="B546" s="26" t="n"/>
      <c r="C546" s="26" t="n"/>
      <c r="D546" s="26" t="n"/>
      <c r="E546" s="26" t="n"/>
      <c r="F546" s="26" t="n"/>
      <c r="G546" s="26" t="n"/>
      <c r="H546" s="26" t="n"/>
      <c r="I546" s="26">
        <f>IFERROR(SUMIF(A$6:A546,"&lt;&gt;""",G$6:G546)-SUMIF(A$6:A546,"&lt;&gt;""",H$6:H546),"")</f>
        <v/>
      </c>
      <c r="J546" s="26" t="n"/>
    </row>
    <row r="547" ht="15" customHeight="1">
      <c r="A547" s="26" t="n"/>
      <c r="B547" s="26" t="n"/>
      <c r="C547" s="26" t="n"/>
      <c r="D547" s="26" t="n"/>
      <c r="E547" s="26" t="n"/>
      <c r="F547" s="26" t="n"/>
      <c r="G547" s="26" t="n"/>
      <c r="H547" s="26" t="n"/>
      <c r="I547" s="26">
        <f>IFERROR(SUMIF(A$6:A547,"&lt;&gt;""",G$6:G547)-SUMIF(A$6:A547,"&lt;&gt;""",H$6:H547),"")</f>
        <v/>
      </c>
      <c r="J547" s="26" t="n"/>
    </row>
    <row r="548" ht="15" customHeight="1">
      <c r="A548" s="26" t="n"/>
      <c r="B548" s="26" t="n"/>
      <c r="C548" s="26" t="n"/>
      <c r="D548" s="26" t="n"/>
      <c r="E548" s="26" t="n"/>
      <c r="F548" s="26" t="n"/>
      <c r="G548" s="26" t="n"/>
      <c r="H548" s="26" t="n"/>
      <c r="I548" s="26">
        <f>IFERROR(SUMIF(A$6:A548,"&lt;&gt;""",G$6:G548)-SUMIF(A$6:A548,"&lt;&gt;""",H$6:H548),"")</f>
        <v/>
      </c>
      <c r="J548" s="26" t="n"/>
    </row>
    <row r="549" ht="15" customHeight="1">
      <c r="A549" s="26" t="n"/>
      <c r="B549" s="26" t="n"/>
      <c r="C549" s="26" t="n"/>
      <c r="D549" s="26" t="n"/>
      <c r="E549" s="26" t="n"/>
      <c r="F549" s="26" t="n"/>
      <c r="G549" s="26" t="n"/>
      <c r="H549" s="26" t="n"/>
      <c r="I549" s="26">
        <f>IFERROR(SUMIF(A$6:A549,"&lt;&gt;""",G$6:G549)-SUMIF(A$6:A549,"&lt;&gt;""",H$6:H549),"")</f>
        <v/>
      </c>
      <c r="J549" s="26" t="n"/>
    </row>
    <row r="550" ht="15" customHeight="1">
      <c r="A550" s="26" t="n"/>
      <c r="B550" s="26" t="n"/>
      <c r="C550" s="26" t="n"/>
      <c r="D550" s="26" t="n"/>
      <c r="E550" s="26" t="n"/>
      <c r="F550" s="26" t="n"/>
      <c r="G550" s="26" t="n"/>
      <c r="H550" s="26" t="n"/>
      <c r="I550" s="26">
        <f>IFERROR(SUMIF(A$6:A550,"&lt;&gt;""",G$6:G550)-SUMIF(A$6:A550,"&lt;&gt;""",H$6:H550),"")</f>
        <v/>
      </c>
      <c r="J550" s="26" t="n"/>
    </row>
    <row r="551" ht="15" customHeight="1">
      <c r="A551" s="26" t="n"/>
      <c r="B551" s="26" t="n"/>
      <c r="C551" s="26" t="n"/>
      <c r="D551" s="26" t="n"/>
      <c r="E551" s="26" t="n"/>
      <c r="F551" s="26" t="n"/>
      <c r="G551" s="26" t="n"/>
      <c r="H551" s="26" t="n"/>
      <c r="I551" s="26">
        <f>IFERROR(SUMIF(A$6:A551,"&lt;&gt;""",G$6:G551)-SUMIF(A$6:A551,"&lt;&gt;""",H$6:H551),"")</f>
        <v/>
      </c>
      <c r="J551" s="26" t="n"/>
    </row>
    <row r="552" ht="15" customHeight="1">
      <c r="A552" s="26" t="n"/>
      <c r="B552" s="26" t="n"/>
      <c r="C552" s="26" t="n"/>
      <c r="D552" s="26" t="n"/>
      <c r="E552" s="26" t="n"/>
      <c r="F552" s="26" t="n"/>
      <c r="G552" s="26" t="n"/>
      <c r="H552" s="26" t="n"/>
      <c r="I552" s="26">
        <f>IFERROR(SUMIF(A$6:A552,"&lt;&gt;""",G$6:G552)-SUMIF(A$6:A552,"&lt;&gt;""",H$6:H552),"")</f>
        <v/>
      </c>
      <c r="J552" s="26" t="n"/>
    </row>
    <row r="553" ht="15" customHeight="1">
      <c r="A553" s="26" t="n"/>
      <c r="B553" s="26" t="n"/>
      <c r="C553" s="26" t="n"/>
      <c r="D553" s="26" t="n"/>
      <c r="E553" s="26" t="n"/>
      <c r="F553" s="26" t="n"/>
      <c r="G553" s="26" t="n"/>
      <c r="H553" s="26" t="n"/>
      <c r="I553" s="26">
        <f>IFERROR(SUMIF(A$6:A553,"&lt;&gt;""",G$6:G553)-SUMIF(A$6:A553,"&lt;&gt;""",H$6:H553),"")</f>
        <v/>
      </c>
      <c r="J553" s="26" t="n"/>
    </row>
    <row r="554" ht="15" customHeight="1">
      <c r="A554" s="26" t="n"/>
      <c r="B554" s="26" t="n"/>
      <c r="C554" s="26" t="n"/>
      <c r="D554" s="26" t="n"/>
      <c r="E554" s="26" t="n"/>
      <c r="F554" s="26" t="n"/>
      <c r="G554" s="26" t="n"/>
      <c r="H554" s="26" t="n"/>
      <c r="I554" s="26">
        <f>IFERROR(SUMIF(A$6:A554,"&lt;&gt;""",G$6:G554)-SUMIF(A$6:A554,"&lt;&gt;""",H$6:H554),"")</f>
        <v/>
      </c>
      <c r="J554" s="26" t="n"/>
    </row>
    <row r="555" ht="15" customHeight="1">
      <c r="A555" s="26" t="n"/>
      <c r="B555" s="26" t="n"/>
      <c r="C555" s="26" t="n"/>
      <c r="D555" s="26" t="n"/>
      <c r="E555" s="26" t="n"/>
      <c r="F555" s="26" t="n"/>
      <c r="G555" s="26" t="n"/>
      <c r="H555" s="26" t="n"/>
      <c r="I555" s="26">
        <f>IFERROR(SUMIF(A$6:A555,"&lt;&gt;""",G$6:G555)-SUMIF(A$6:A555,"&lt;&gt;""",H$6:H555),"")</f>
        <v/>
      </c>
      <c r="J555" s="26" t="n"/>
    </row>
    <row r="556" ht="15" customHeight="1">
      <c r="A556" s="26" t="n"/>
      <c r="B556" s="26" t="n"/>
      <c r="C556" s="26" t="n"/>
      <c r="D556" s="26" t="n"/>
      <c r="E556" s="26" t="n"/>
      <c r="F556" s="26" t="n"/>
      <c r="G556" s="26" t="n"/>
      <c r="H556" s="26" t="n"/>
      <c r="I556" s="26">
        <f>IFERROR(SUMIF(A$6:A556,"&lt;&gt;""",G$6:G556)-SUMIF(A$6:A556,"&lt;&gt;""",H$6:H556),"")</f>
        <v/>
      </c>
      <c r="J556" s="26" t="n"/>
    </row>
    <row r="557" ht="15" customHeight="1">
      <c r="A557" s="26" t="n"/>
      <c r="B557" s="26" t="n"/>
      <c r="C557" s="26" t="n"/>
      <c r="D557" s="26" t="n"/>
      <c r="E557" s="26" t="n"/>
      <c r="F557" s="26" t="n"/>
      <c r="G557" s="26" t="n"/>
      <c r="H557" s="26" t="n"/>
      <c r="I557" s="26">
        <f>IFERROR(SUMIF(A$6:A557,"&lt;&gt;""",G$6:G557)-SUMIF(A$6:A557,"&lt;&gt;""",H$6:H557),"")</f>
        <v/>
      </c>
      <c r="J557" s="26" t="n"/>
    </row>
    <row r="558" ht="15" customHeight="1">
      <c r="A558" s="26" t="n"/>
      <c r="B558" s="26" t="n"/>
      <c r="C558" s="26" t="n"/>
      <c r="D558" s="26" t="n"/>
      <c r="E558" s="26" t="n"/>
      <c r="F558" s="26" t="n"/>
      <c r="G558" s="26" t="n"/>
      <c r="H558" s="26" t="n"/>
      <c r="I558" s="26">
        <f>IFERROR(SUMIF(A$6:A558,"&lt;&gt;""",G$6:G558)-SUMIF(A$6:A558,"&lt;&gt;""",H$6:H558),"")</f>
        <v/>
      </c>
      <c r="J558" s="26" t="n"/>
    </row>
    <row r="559" ht="15" customHeight="1">
      <c r="A559" s="26" t="n"/>
      <c r="B559" s="26" t="n"/>
      <c r="C559" s="26" t="n"/>
      <c r="D559" s="26" t="n"/>
      <c r="E559" s="26" t="n"/>
      <c r="F559" s="26" t="n"/>
      <c r="G559" s="26" t="n"/>
      <c r="H559" s="26" t="n"/>
      <c r="I559" s="26">
        <f>IFERROR(SUMIF(A$6:A559,"&lt;&gt;""",G$6:G559)-SUMIF(A$6:A559,"&lt;&gt;""",H$6:H559),"")</f>
        <v/>
      </c>
      <c r="J559" s="26" t="n"/>
    </row>
    <row r="560" ht="15" customHeight="1">
      <c r="A560" s="26" t="n"/>
      <c r="B560" s="26" t="n"/>
      <c r="C560" s="26" t="n"/>
      <c r="D560" s="26" t="n"/>
      <c r="E560" s="26" t="n"/>
      <c r="F560" s="26" t="n"/>
      <c r="G560" s="26" t="n"/>
      <c r="H560" s="26" t="n"/>
      <c r="I560" s="26">
        <f>IFERROR(SUMIF(A$6:A560,"&lt;&gt;""",G$6:G560)-SUMIF(A$6:A560,"&lt;&gt;""",H$6:H560),"")</f>
        <v/>
      </c>
      <c r="J560" s="26" t="n"/>
    </row>
    <row r="561" ht="15" customHeight="1">
      <c r="A561" s="26" t="n"/>
      <c r="B561" s="26" t="n"/>
      <c r="C561" s="26" t="n"/>
      <c r="D561" s="26" t="n"/>
      <c r="E561" s="26" t="n"/>
      <c r="F561" s="26" t="n"/>
      <c r="G561" s="26" t="n"/>
      <c r="H561" s="26" t="n"/>
      <c r="I561" s="26">
        <f>IFERROR(SUMIF(A$6:A561,"&lt;&gt;""",G$6:G561)-SUMIF(A$6:A561,"&lt;&gt;""",H$6:H561),"")</f>
        <v/>
      </c>
      <c r="J561" s="26" t="n"/>
    </row>
    <row r="562" ht="15" customHeight="1">
      <c r="A562" s="26" t="n"/>
      <c r="B562" s="26" t="n"/>
      <c r="C562" s="26" t="n"/>
      <c r="D562" s="26" t="n"/>
      <c r="E562" s="26" t="n"/>
      <c r="F562" s="26" t="n"/>
      <c r="G562" s="26" t="n"/>
      <c r="H562" s="26" t="n"/>
      <c r="I562" s="26">
        <f>IFERROR(SUMIF(A$6:A562,"&lt;&gt;""",G$6:G562)-SUMIF(A$6:A562,"&lt;&gt;""",H$6:H562),"")</f>
        <v/>
      </c>
      <c r="J562" s="26" t="n"/>
    </row>
    <row r="563" ht="15" customHeight="1">
      <c r="A563" s="26" t="n"/>
      <c r="B563" s="26" t="n"/>
      <c r="C563" s="26" t="n"/>
      <c r="D563" s="26" t="n"/>
      <c r="E563" s="26" t="n"/>
      <c r="F563" s="26" t="n"/>
      <c r="G563" s="26" t="n"/>
      <c r="H563" s="26" t="n"/>
      <c r="I563" s="26">
        <f>IFERROR(SUMIF(A$6:A563,"&lt;&gt;""",G$6:G563)-SUMIF(A$6:A563,"&lt;&gt;""",H$6:H563),"")</f>
        <v/>
      </c>
      <c r="J563" s="26" t="n"/>
    </row>
    <row r="564" ht="15" customHeight="1">
      <c r="A564" s="26" t="n"/>
      <c r="B564" s="26" t="n"/>
      <c r="C564" s="26" t="n"/>
      <c r="D564" s="26" t="n"/>
      <c r="E564" s="26" t="n"/>
      <c r="F564" s="26" t="n"/>
      <c r="G564" s="26" t="n"/>
      <c r="H564" s="26" t="n"/>
      <c r="I564" s="26">
        <f>IFERROR(SUMIF(A$6:A564,"&lt;&gt;""",G$6:G564)-SUMIF(A$6:A564,"&lt;&gt;""",H$6:H564),"")</f>
        <v/>
      </c>
      <c r="J564" s="26" t="n"/>
    </row>
    <row r="565" ht="15" customHeight="1">
      <c r="A565" s="26" t="n"/>
      <c r="B565" s="26" t="n"/>
      <c r="C565" s="26" t="n"/>
      <c r="D565" s="26" t="n"/>
      <c r="E565" s="26" t="n"/>
      <c r="F565" s="26" t="n"/>
      <c r="G565" s="26" t="n"/>
      <c r="H565" s="26" t="n"/>
      <c r="I565" s="26">
        <f>IFERROR(SUMIF(A$6:A565,"&lt;&gt;""",G$6:G565)-SUMIF(A$6:A565,"&lt;&gt;""",H$6:H565),"")</f>
        <v/>
      </c>
      <c r="J565" s="26" t="n"/>
    </row>
    <row r="566" ht="15" customHeight="1">
      <c r="A566" s="26" t="n"/>
      <c r="B566" s="26" t="n"/>
      <c r="C566" s="26" t="n"/>
      <c r="D566" s="26" t="n"/>
      <c r="E566" s="26" t="n"/>
      <c r="F566" s="26" t="n"/>
      <c r="G566" s="26" t="n"/>
      <c r="H566" s="26" t="n"/>
      <c r="I566" s="26">
        <f>IFERROR(SUMIF(A$6:A566,"&lt;&gt;""",G$6:G566)-SUMIF(A$6:A566,"&lt;&gt;""",H$6:H566),"")</f>
        <v/>
      </c>
      <c r="J566" s="26" t="n"/>
    </row>
    <row r="567" ht="15" customHeight="1">
      <c r="A567" s="26" t="n"/>
      <c r="B567" s="26" t="n"/>
      <c r="C567" s="26" t="n"/>
      <c r="D567" s="26" t="n"/>
      <c r="E567" s="26" t="n"/>
      <c r="F567" s="26" t="n"/>
      <c r="G567" s="26" t="n"/>
      <c r="H567" s="26" t="n"/>
      <c r="I567" s="26">
        <f>IFERROR(SUMIF(A$6:A567,"&lt;&gt;""",G$6:G567)-SUMIF(A$6:A567,"&lt;&gt;""",H$6:H567),"")</f>
        <v/>
      </c>
      <c r="J567" s="26" t="n"/>
    </row>
    <row r="568" ht="15" customHeight="1">
      <c r="A568" s="26" t="n"/>
      <c r="B568" s="26" t="n"/>
      <c r="C568" s="26" t="n"/>
      <c r="D568" s="26" t="n"/>
      <c r="E568" s="26" t="n"/>
      <c r="F568" s="26" t="n"/>
      <c r="G568" s="26" t="n"/>
      <c r="H568" s="26" t="n"/>
      <c r="I568" s="26">
        <f>IFERROR(SUMIF(A$6:A568,"&lt;&gt;""",G$6:G568)-SUMIF(A$6:A568,"&lt;&gt;""",H$6:H568),"")</f>
        <v/>
      </c>
      <c r="J568" s="26" t="n"/>
    </row>
    <row r="569" ht="15" customHeight="1">
      <c r="A569" s="26" t="n"/>
      <c r="B569" s="26" t="n"/>
      <c r="C569" s="26" t="n"/>
      <c r="D569" s="26" t="n"/>
      <c r="E569" s="26" t="n"/>
      <c r="F569" s="26" t="n"/>
      <c r="G569" s="26" t="n"/>
      <c r="H569" s="26" t="n"/>
      <c r="I569" s="26">
        <f>IFERROR(SUMIF(A$6:A569,"&lt;&gt;""",G$6:G569)-SUMIF(A$6:A569,"&lt;&gt;""",H$6:H569),"")</f>
        <v/>
      </c>
      <c r="J569" s="26" t="n"/>
    </row>
    <row r="570" ht="15" customHeight="1">
      <c r="A570" s="26" t="n"/>
      <c r="B570" s="26" t="n"/>
      <c r="C570" s="26" t="n"/>
      <c r="D570" s="26" t="n"/>
      <c r="E570" s="26" t="n"/>
      <c r="F570" s="26" t="n"/>
      <c r="G570" s="26" t="n"/>
      <c r="H570" s="26" t="n"/>
      <c r="I570" s="26">
        <f>IFERROR(SUMIF(A$6:A570,"&lt;&gt;""",G$6:G570)-SUMIF(A$6:A570,"&lt;&gt;""",H$6:H570),"")</f>
        <v/>
      </c>
      <c r="J570" s="26" t="n"/>
    </row>
    <row r="571" ht="15" customHeight="1">
      <c r="A571" s="26" t="n"/>
      <c r="B571" s="26" t="n"/>
      <c r="C571" s="26" t="n"/>
      <c r="D571" s="26" t="n"/>
      <c r="E571" s="26" t="n"/>
      <c r="F571" s="26" t="n"/>
      <c r="G571" s="26" t="n"/>
      <c r="H571" s="26" t="n"/>
      <c r="I571" s="26">
        <f>IFERROR(SUMIF(A$6:A571,"&lt;&gt;""",G$6:G571)-SUMIF(A$6:A571,"&lt;&gt;""",H$6:H571),"")</f>
        <v/>
      </c>
      <c r="J571" s="26" t="n"/>
    </row>
    <row r="572" ht="15" customHeight="1">
      <c r="A572" s="26" t="n"/>
      <c r="B572" s="26" t="n"/>
      <c r="C572" s="26" t="n"/>
      <c r="D572" s="26" t="n"/>
      <c r="E572" s="26" t="n"/>
      <c r="F572" s="26" t="n"/>
      <c r="G572" s="26" t="n"/>
      <c r="H572" s="26" t="n"/>
      <c r="I572" s="26">
        <f>IFERROR(SUMIF(A$6:A572,"&lt;&gt;""",G$6:G572)-SUMIF(A$6:A572,"&lt;&gt;""",H$6:H572),"")</f>
        <v/>
      </c>
      <c r="J572" s="26" t="n"/>
    </row>
    <row r="573" ht="15" customHeight="1">
      <c r="A573" s="26" t="n"/>
      <c r="B573" s="26" t="n"/>
      <c r="C573" s="26" t="n"/>
      <c r="D573" s="26" t="n"/>
      <c r="E573" s="26" t="n"/>
      <c r="F573" s="26" t="n"/>
      <c r="G573" s="26" t="n"/>
      <c r="H573" s="26" t="n"/>
      <c r="I573" s="26">
        <f>IFERROR(SUMIF(A$6:A573,"&lt;&gt;""",G$6:G573)-SUMIF(A$6:A573,"&lt;&gt;""",H$6:H573),"")</f>
        <v/>
      </c>
      <c r="J573" s="26" t="n"/>
    </row>
    <row r="574" ht="15" customHeight="1">
      <c r="A574" s="26" t="n"/>
      <c r="B574" s="26" t="n"/>
      <c r="C574" s="26" t="n"/>
      <c r="D574" s="26" t="n"/>
      <c r="E574" s="26" t="n"/>
      <c r="F574" s="26" t="n"/>
      <c r="G574" s="26" t="n"/>
      <c r="H574" s="26" t="n"/>
      <c r="I574" s="26">
        <f>IFERROR(SUMIF(A$6:A574,"&lt;&gt;""",G$6:G574)-SUMIF(A$6:A574,"&lt;&gt;""",H$6:H574),"")</f>
        <v/>
      </c>
      <c r="J574" s="26" t="n"/>
    </row>
    <row r="575" ht="15" customHeight="1">
      <c r="A575" s="26" t="n"/>
      <c r="B575" s="26" t="n"/>
      <c r="C575" s="26" t="n"/>
      <c r="D575" s="26" t="n"/>
      <c r="E575" s="26" t="n"/>
      <c r="F575" s="26" t="n"/>
      <c r="G575" s="26" t="n"/>
      <c r="H575" s="26" t="n"/>
      <c r="I575" s="26">
        <f>IFERROR(SUMIF(A$6:A575,"&lt;&gt;""",G$6:G575)-SUMIF(A$6:A575,"&lt;&gt;""",H$6:H575),"")</f>
        <v/>
      </c>
      <c r="J575" s="26" t="n"/>
    </row>
    <row r="576" ht="15" customHeight="1">
      <c r="A576" s="26" t="n"/>
      <c r="B576" s="26" t="n"/>
      <c r="C576" s="26" t="n"/>
      <c r="D576" s="26" t="n"/>
      <c r="E576" s="26" t="n"/>
      <c r="F576" s="26" t="n"/>
      <c r="G576" s="26" t="n"/>
      <c r="H576" s="26" t="n"/>
      <c r="I576" s="26">
        <f>IFERROR(SUMIF(A$6:A576,"&lt;&gt;""",G$6:G576)-SUMIF(A$6:A576,"&lt;&gt;""",H$6:H576),"")</f>
        <v/>
      </c>
      <c r="J576" s="26" t="n"/>
    </row>
    <row r="577" ht="15" customHeight="1">
      <c r="A577" s="26" t="n"/>
      <c r="B577" s="26" t="n"/>
      <c r="C577" s="26" t="n"/>
      <c r="D577" s="26" t="n"/>
      <c r="E577" s="26" t="n"/>
      <c r="F577" s="26" t="n"/>
      <c r="G577" s="26" t="n"/>
      <c r="H577" s="26" t="n"/>
      <c r="I577" s="26">
        <f>IFERROR(SUMIF(A$6:A577,"&lt;&gt;""",G$6:G577)-SUMIF(A$6:A577,"&lt;&gt;""",H$6:H577),"")</f>
        <v/>
      </c>
      <c r="J577" s="26" t="n"/>
    </row>
    <row r="578" ht="15" customHeight="1">
      <c r="A578" s="26" t="n"/>
      <c r="B578" s="26" t="n"/>
      <c r="C578" s="26" t="n"/>
      <c r="D578" s="26" t="n"/>
      <c r="E578" s="26" t="n"/>
      <c r="F578" s="26" t="n"/>
      <c r="G578" s="26" t="n"/>
      <c r="H578" s="26" t="n"/>
      <c r="I578" s="26">
        <f>IFERROR(SUMIF(A$6:A578,"&lt;&gt;""",G$6:G578)-SUMIF(A$6:A578,"&lt;&gt;""",H$6:H578),"")</f>
        <v/>
      </c>
      <c r="J578" s="26" t="n"/>
    </row>
    <row r="579" ht="15" customHeight="1">
      <c r="A579" s="26" t="n"/>
      <c r="B579" s="26" t="n"/>
      <c r="C579" s="26" t="n"/>
      <c r="D579" s="26" t="n"/>
      <c r="E579" s="26" t="n"/>
      <c r="F579" s="26" t="n"/>
      <c r="G579" s="26" t="n"/>
      <c r="H579" s="26" t="n"/>
      <c r="I579" s="26">
        <f>IFERROR(SUMIF(A$6:A579,"&lt;&gt;""",G$6:G579)-SUMIF(A$6:A579,"&lt;&gt;""",H$6:H579),"")</f>
        <v/>
      </c>
      <c r="J579" s="26" t="n"/>
    </row>
    <row r="580" ht="15" customHeight="1">
      <c r="A580" s="26" t="n"/>
      <c r="B580" s="26" t="n"/>
      <c r="C580" s="26" t="n"/>
      <c r="D580" s="26" t="n"/>
      <c r="E580" s="26" t="n"/>
      <c r="F580" s="26" t="n"/>
      <c r="G580" s="26" t="n"/>
      <c r="H580" s="26" t="n"/>
      <c r="I580" s="26">
        <f>IFERROR(SUMIF(A$6:A580,"&lt;&gt;""",G$6:G580)-SUMIF(A$6:A580,"&lt;&gt;""",H$6:H580),"")</f>
        <v/>
      </c>
      <c r="J580" s="26" t="n"/>
    </row>
    <row r="581" ht="15" customHeight="1">
      <c r="A581" s="26" t="n"/>
      <c r="B581" s="26" t="n"/>
      <c r="C581" s="26" t="n"/>
      <c r="D581" s="26" t="n"/>
      <c r="E581" s="26" t="n"/>
      <c r="F581" s="26" t="n"/>
      <c r="G581" s="26" t="n"/>
      <c r="H581" s="26" t="n"/>
      <c r="I581" s="26">
        <f>IFERROR(SUMIF(A$6:A581,"&lt;&gt;""",G$6:G581)-SUMIF(A$6:A581,"&lt;&gt;""",H$6:H581),"")</f>
        <v/>
      </c>
      <c r="J581" s="26" t="n"/>
    </row>
    <row r="582" ht="15" customHeight="1">
      <c r="A582" s="26" t="n"/>
      <c r="B582" s="26" t="n"/>
      <c r="C582" s="26" t="n"/>
      <c r="D582" s="26" t="n"/>
      <c r="E582" s="26" t="n"/>
      <c r="F582" s="26" t="n"/>
      <c r="G582" s="26" t="n"/>
      <c r="H582" s="26" t="n"/>
      <c r="I582" s="26">
        <f>IFERROR(SUMIF(A$6:A582,"&lt;&gt;""",G$6:G582)-SUMIF(A$6:A582,"&lt;&gt;""",H$6:H582),"")</f>
        <v/>
      </c>
      <c r="J582" s="26" t="n"/>
    </row>
    <row r="583" ht="15" customHeight="1">
      <c r="A583" s="26" t="n"/>
      <c r="B583" s="26" t="n"/>
      <c r="C583" s="26" t="n"/>
      <c r="D583" s="26" t="n"/>
      <c r="E583" s="26" t="n"/>
      <c r="F583" s="26" t="n"/>
      <c r="G583" s="26" t="n"/>
      <c r="H583" s="26" t="n"/>
      <c r="I583" s="26">
        <f>IFERROR(SUMIF(A$6:A583,"&lt;&gt;""",G$6:G583)-SUMIF(A$6:A583,"&lt;&gt;""",H$6:H583),"")</f>
        <v/>
      </c>
      <c r="J583" s="26" t="n"/>
    </row>
    <row r="584" ht="15" customHeight="1">
      <c r="A584" s="26" t="n"/>
      <c r="B584" s="26" t="n"/>
      <c r="C584" s="26" t="n"/>
      <c r="D584" s="26" t="n"/>
      <c r="E584" s="26" t="n"/>
      <c r="F584" s="26" t="n"/>
      <c r="G584" s="26" t="n"/>
      <c r="H584" s="26" t="n"/>
      <c r="I584" s="26">
        <f>IFERROR(SUMIF(A$6:A584,"&lt;&gt;""",G$6:G584)-SUMIF(A$6:A584,"&lt;&gt;""",H$6:H584),"")</f>
        <v/>
      </c>
      <c r="J584" s="26" t="n"/>
    </row>
    <row r="585" ht="15" customHeight="1">
      <c r="A585" s="26" t="n"/>
      <c r="B585" s="26" t="n"/>
      <c r="C585" s="26" t="n"/>
      <c r="D585" s="26" t="n"/>
      <c r="E585" s="26" t="n"/>
      <c r="F585" s="26" t="n"/>
      <c r="G585" s="26" t="n"/>
      <c r="H585" s="26" t="n"/>
      <c r="I585" s="26">
        <f>IFERROR(SUMIF(A$6:A585,"&lt;&gt;""",G$6:G585)-SUMIF(A$6:A585,"&lt;&gt;""",H$6:H585),"")</f>
        <v/>
      </c>
      <c r="J585" s="26" t="n"/>
    </row>
    <row r="586" ht="15" customHeight="1">
      <c r="A586" s="26" t="n"/>
      <c r="B586" s="26" t="n"/>
      <c r="C586" s="26" t="n"/>
      <c r="D586" s="26" t="n"/>
      <c r="E586" s="26" t="n"/>
      <c r="F586" s="26" t="n"/>
      <c r="G586" s="26" t="n"/>
      <c r="H586" s="26" t="n"/>
      <c r="I586" s="26">
        <f>IFERROR(SUMIF(A$6:A586,"&lt;&gt;""",G$6:G586)-SUMIF(A$6:A586,"&lt;&gt;""",H$6:H586),"")</f>
        <v/>
      </c>
      <c r="J586" s="26" t="n"/>
    </row>
    <row r="587" ht="15" customHeight="1">
      <c r="A587" s="26" t="n"/>
      <c r="B587" s="26" t="n"/>
      <c r="C587" s="26" t="n"/>
      <c r="D587" s="26" t="n"/>
      <c r="E587" s="26" t="n"/>
      <c r="F587" s="26" t="n"/>
      <c r="G587" s="26" t="n"/>
      <c r="H587" s="26" t="n"/>
      <c r="I587" s="26">
        <f>IFERROR(SUMIF(A$6:A587,"&lt;&gt;""",G$6:G587)-SUMIF(A$6:A587,"&lt;&gt;""",H$6:H587),"")</f>
        <v/>
      </c>
      <c r="J587" s="26" t="n"/>
    </row>
    <row r="588" ht="15" customHeight="1">
      <c r="A588" s="26" t="n"/>
      <c r="B588" s="26" t="n"/>
      <c r="C588" s="26" t="n"/>
      <c r="D588" s="26" t="n"/>
      <c r="E588" s="26" t="n"/>
      <c r="F588" s="26" t="n"/>
      <c r="G588" s="26" t="n"/>
      <c r="H588" s="26" t="n"/>
      <c r="I588" s="26">
        <f>IFERROR(SUMIF(A$6:A588,"&lt;&gt;""",G$6:G588)-SUMIF(A$6:A588,"&lt;&gt;""",H$6:H588),"")</f>
        <v/>
      </c>
      <c r="J588" s="26" t="n"/>
    </row>
    <row r="589" ht="15" customHeight="1">
      <c r="A589" s="26" t="n"/>
      <c r="B589" s="26" t="n"/>
      <c r="C589" s="26" t="n"/>
      <c r="D589" s="26" t="n"/>
      <c r="E589" s="26" t="n"/>
      <c r="F589" s="26" t="n"/>
      <c r="G589" s="26" t="n"/>
      <c r="H589" s="26" t="n"/>
      <c r="I589" s="26">
        <f>IFERROR(SUMIF(A$6:A589,"&lt;&gt;""",G$6:G589)-SUMIF(A$6:A589,"&lt;&gt;""",H$6:H589),"")</f>
        <v/>
      </c>
      <c r="J589" s="26" t="n"/>
    </row>
    <row r="590" ht="15" customHeight="1">
      <c r="A590" s="26" t="n"/>
      <c r="B590" s="26" t="n"/>
      <c r="C590" s="26" t="n"/>
      <c r="D590" s="26" t="n"/>
      <c r="E590" s="26" t="n"/>
      <c r="F590" s="26" t="n"/>
      <c r="G590" s="26" t="n"/>
      <c r="H590" s="26" t="n"/>
      <c r="I590" s="26">
        <f>IFERROR(SUMIF(A$6:A590,"&lt;&gt;""",G$6:G590)-SUMIF(A$6:A590,"&lt;&gt;""",H$6:H590),"")</f>
        <v/>
      </c>
      <c r="J590" s="26" t="n"/>
    </row>
    <row r="591" ht="15" customHeight="1">
      <c r="A591" s="26" t="n"/>
      <c r="B591" s="26" t="n"/>
      <c r="C591" s="26" t="n"/>
      <c r="D591" s="26" t="n"/>
      <c r="E591" s="26" t="n"/>
      <c r="F591" s="26" t="n"/>
      <c r="G591" s="26" t="n"/>
      <c r="H591" s="26" t="n"/>
      <c r="I591" s="26">
        <f>IFERROR(SUMIF(A$6:A591,"&lt;&gt;""",G$6:G591)-SUMIF(A$6:A591,"&lt;&gt;""",H$6:H591),"")</f>
        <v/>
      </c>
      <c r="J591" s="26" t="n"/>
    </row>
    <row r="592" ht="15" customHeight="1">
      <c r="A592" s="26" t="n"/>
      <c r="B592" s="26" t="n"/>
      <c r="C592" s="26" t="n"/>
      <c r="D592" s="26" t="n"/>
      <c r="E592" s="26" t="n"/>
      <c r="F592" s="26" t="n"/>
      <c r="G592" s="26" t="n"/>
      <c r="H592" s="26" t="n"/>
      <c r="I592" s="26">
        <f>IFERROR(SUMIF(A$6:A592,"&lt;&gt;""",G$6:G592)-SUMIF(A$6:A592,"&lt;&gt;""",H$6:H592),"")</f>
        <v/>
      </c>
      <c r="J592" s="26" t="n"/>
    </row>
    <row r="593" ht="15" customHeight="1">
      <c r="A593" s="26" t="n"/>
      <c r="B593" s="26" t="n"/>
      <c r="C593" s="26" t="n"/>
      <c r="D593" s="26" t="n"/>
      <c r="E593" s="26" t="n"/>
      <c r="F593" s="26" t="n"/>
      <c r="G593" s="26" t="n"/>
      <c r="H593" s="26" t="n"/>
      <c r="I593" s="26">
        <f>IFERROR(SUMIF(A$6:A593,"&lt;&gt;""",G$6:G593)-SUMIF(A$6:A593,"&lt;&gt;""",H$6:H593),"")</f>
        <v/>
      </c>
      <c r="J593" s="26" t="n"/>
    </row>
    <row r="594" ht="15" customHeight="1">
      <c r="A594" s="26" t="n"/>
      <c r="B594" s="26" t="n"/>
      <c r="C594" s="26" t="n"/>
      <c r="D594" s="26" t="n"/>
      <c r="E594" s="26" t="n"/>
      <c r="F594" s="26" t="n"/>
      <c r="G594" s="26" t="n"/>
      <c r="H594" s="26" t="n"/>
      <c r="I594" s="26">
        <f>IFERROR(SUMIF(A$6:A594,"&lt;&gt;""",G$6:G594)-SUMIF(A$6:A594,"&lt;&gt;""",H$6:H594),"")</f>
        <v/>
      </c>
      <c r="J594" s="26" t="n"/>
    </row>
    <row r="595" ht="15" customHeight="1">
      <c r="A595" s="26" t="n"/>
      <c r="B595" s="26" t="n"/>
      <c r="C595" s="26" t="n"/>
      <c r="D595" s="26" t="n"/>
      <c r="E595" s="26" t="n"/>
      <c r="F595" s="26" t="n"/>
      <c r="G595" s="26" t="n"/>
      <c r="H595" s="26" t="n"/>
      <c r="I595" s="26">
        <f>IFERROR(SUMIF(A$6:A595,"&lt;&gt;""",G$6:G595)-SUMIF(A$6:A595,"&lt;&gt;""",H$6:H595),"")</f>
        <v/>
      </c>
      <c r="J595" s="26" t="n"/>
    </row>
    <row r="596" ht="15" customHeight="1">
      <c r="A596" s="26" t="n"/>
      <c r="B596" s="26" t="n"/>
      <c r="C596" s="26" t="n"/>
      <c r="D596" s="26" t="n"/>
      <c r="E596" s="26" t="n"/>
      <c r="F596" s="26" t="n"/>
      <c r="G596" s="26" t="n"/>
      <c r="H596" s="26" t="n"/>
      <c r="I596" s="26">
        <f>IFERROR(SUMIF(A$6:A596,"&lt;&gt;""",G$6:G596)-SUMIF(A$6:A596,"&lt;&gt;""",H$6:H596),"")</f>
        <v/>
      </c>
      <c r="J596" s="26" t="n"/>
    </row>
    <row r="597" ht="15" customHeight="1">
      <c r="A597" s="26" t="n"/>
      <c r="B597" s="26" t="n"/>
      <c r="C597" s="26" t="n"/>
      <c r="D597" s="26" t="n"/>
      <c r="E597" s="26" t="n"/>
      <c r="F597" s="26" t="n"/>
      <c r="G597" s="26" t="n"/>
      <c r="H597" s="26" t="n"/>
      <c r="I597" s="26">
        <f>IFERROR(SUMIF(A$6:A597,"&lt;&gt;""",G$6:G597)-SUMIF(A$6:A597,"&lt;&gt;""",H$6:H597),"")</f>
        <v/>
      </c>
      <c r="J597" s="26" t="n"/>
    </row>
    <row r="598" ht="15" customHeight="1">
      <c r="A598" s="26" t="n"/>
      <c r="B598" s="26" t="n"/>
      <c r="C598" s="26" t="n"/>
      <c r="D598" s="26" t="n"/>
      <c r="E598" s="26" t="n"/>
      <c r="F598" s="26" t="n"/>
      <c r="G598" s="26" t="n"/>
      <c r="H598" s="26" t="n"/>
      <c r="I598" s="26">
        <f>IFERROR(SUMIF(A$6:A598,"&lt;&gt;""",G$6:G598)-SUMIF(A$6:A598,"&lt;&gt;""",H$6:H598),"")</f>
        <v/>
      </c>
      <c r="J598" s="26" t="n"/>
    </row>
    <row r="599" ht="15" customHeight="1">
      <c r="A599" s="26" t="n"/>
      <c r="B599" s="26" t="n"/>
      <c r="C599" s="26" t="n"/>
      <c r="D599" s="26" t="n"/>
      <c r="E599" s="26" t="n"/>
      <c r="F599" s="26" t="n"/>
      <c r="G599" s="26" t="n"/>
      <c r="H599" s="26" t="n"/>
      <c r="I599" s="26">
        <f>IFERROR(SUMIF(A$6:A599,"&lt;&gt;""",G$6:G599)-SUMIF(A$6:A599,"&lt;&gt;""",H$6:H599),"")</f>
        <v/>
      </c>
      <c r="J599" s="26" t="n"/>
    </row>
    <row r="600" ht="15" customHeight="1">
      <c r="A600" s="26" t="n"/>
      <c r="B600" s="26" t="n"/>
      <c r="C600" s="26" t="n"/>
      <c r="D600" s="26" t="n"/>
      <c r="E600" s="26" t="n"/>
      <c r="F600" s="26" t="n"/>
      <c r="G600" s="26" t="n"/>
      <c r="H600" s="26" t="n"/>
      <c r="I600" s="26">
        <f>IFERROR(SUMIF(A$6:A600,"&lt;&gt;""",G$6:G600)-SUMIF(A$6:A600,"&lt;&gt;""",H$6:H600),"")</f>
        <v/>
      </c>
      <c r="J600" s="26" t="n"/>
    </row>
    <row r="601" ht="15" customHeight="1">
      <c r="A601" s="26" t="n"/>
      <c r="B601" s="26" t="n"/>
      <c r="C601" s="26" t="n"/>
      <c r="D601" s="26" t="n"/>
      <c r="E601" s="26" t="n"/>
      <c r="F601" s="26" t="n"/>
      <c r="G601" s="26" t="n"/>
      <c r="H601" s="26" t="n"/>
      <c r="I601" s="26">
        <f>IFERROR(SUMIF(A$6:A601,"&lt;&gt;""",G$6:G601)-SUMIF(A$6:A601,"&lt;&gt;""",H$6:H601),"")</f>
        <v/>
      </c>
      <c r="J601" s="26" t="n"/>
    </row>
    <row r="602" ht="15" customHeight="1">
      <c r="A602" s="26" t="n"/>
      <c r="B602" s="26" t="n"/>
      <c r="C602" s="26" t="n"/>
      <c r="D602" s="26" t="n"/>
      <c r="E602" s="26" t="n"/>
      <c r="F602" s="26" t="n"/>
      <c r="G602" s="26" t="n"/>
      <c r="H602" s="26" t="n"/>
      <c r="I602" s="26">
        <f>IFERROR(SUMIF(A$6:A602,"&lt;&gt;""",G$6:G602)-SUMIF(A$6:A602,"&lt;&gt;""",H$6:H602),"")</f>
        <v/>
      </c>
      <c r="J602" s="26" t="n"/>
    </row>
    <row r="603" ht="15" customHeight="1">
      <c r="A603" s="26" t="n"/>
      <c r="B603" s="26" t="n"/>
      <c r="C603" s="26" t="n"/>
      <c r="D603" s="26" t="n"/>
      <c r="E603" s="26" t="n"/>
      <c r="F603" s="26" t="n"/>
      <c r="G603" s="26" t="n"/>
      <c r="H603" s="26" t="n"/>
      <c r="I603" s="26">
        <f>IFERROR(SUMIF(A$6:A603,"&lt;&gt;""",G$6:G603)-SUMIF(A$6:A603,"&lt;&gt;""",H$6:H603),"")</f>
        <v/>
      </c>
      <c r="J603" s="26" t="n"/>
    </row>
    <row r="604" ht="15" customHeight="1">
      <c r="A604" s="26" t="n"/>
      <c r="B604" s="26" t="n"/>
      <c r="C604" s="26" t="n"/>
      <c r="D604" s="26" t="n"/>
      <c r="E604" s="26" t="n"/>
      <c r="F604" s="26" t="n"/>
      <c r="G604" s="26" t="n"/>
      <c r="H604" s="26" t="n"/>
      <c r="I604" s="26">
        <f>IFERROR(SUMIF(A$6:A604,"&lt;&gt;""",G$6:G604)-SUMIF(A$6:A604,"&lt;&gt;""",H$6:H604),"")</f>
        <v/>
      </c>
      <c r="J604" s="26" t="n"/>
    </row>
    <row r="605" ht="15" customHeight="1">
      <c r="A605" s="26" t="n"/>
      <c r="B605" s="26" t="n"/>
      <c r="C605" s="26" t="n"/>
      <c r="D605" s="26" t="n"/>
      <c r="E605" s="26" t="n"/>
      <c r="F605" s="26" t="n"/>
      <c r="G605" s="26" t="n"/>
      <c r="H605" s="26" t="n"/>
      <c r="I605" s="26">
        <f>IFERROR(SUMIF(A$6:A605,"&lt;&gt;""",G$6:G605)-SUMIF(A$6:A605,"&lt;&gt;""",H$6:H605),"")</f>
        <v/>
      </c>
      <c r="J605" s="26" t="n"/>
    </row>
    <row r="606" ht="15" customHeight="1">
      <c r="A606" s="26" t="n"/>
      <c r="B606" s="26" t="n"/>
      <c r="C606" s="26" t="n"/>
      <c r="D606" s="26" t="n"/>
      <c r="E606" s="26" t="n"/>
      <c r="F606" s="26" t="n"/>
      <c r="G606" s="26" t="n"/>
      <c r="H606" s="26" t="n"/>
      <c r="I606" s="26">
        <f>IFERROR(SUMIF(A$6:A606,"&lt;&gt;""",G$6:G606)-SUMIF(A$6:A606,"&lt;&gt;""",H$6:H606),"")</f>
        <v/>
      </c>
      <c r="J606" s="26" t="n"/>
    </row>
    <row r="607" ht="15" customHeight="1">
      <c r="A607" s="26" t="n"/>
      <c r="B607" s="26" t="n"/>
      <c r="C607" s="26" t="n"/>
      <c r="D607" s="26" t="n"/>
      <c r="E607" s="26" t="n"/>
      <c r="F607" s="26" t="n"/>
      <c r="G607" s="26" t="n"/>
      <c r="H607" s="26" t="n"/>
      <c r="I607" s="26">
        <f>IFERROR(SUMIF(A$6:A607,"&lt;&gt;""",G$6:G607)-SUMIF(A$6:A607,"&lt;&gt;""",H$6:H607),"")</f>
        <v/>
      </c>
      <c r="J607" s="26" t="n"/>
    </row>
    <row r="608" ht="15" customHeight="1">
      <c r="A608" s="26" t="n"/>
      <c r="B608" s="26" t="n"/>
      <c r="C608" s="26" t="n"/>
      <c r="D608" s="26" t="n"/>
      <c r="E608" s="26" t="n"/>
      <c r="F608" s="26" t="n"/>
      <c r="G608" s="26" t="n"/>
      <c r="H608" s="26" t="n"/>
      <c r="I608" s="26">
        <f>IFERROR(SUMIF(A$6:A608,"&lt;&gt;""",G$6:G608)-SUMIF(A$6:A608,"&lt;&gt;""",H$6:H608),"")</f>
        <v/>
      </c>
      <c r="J608" s="26" t="n"/>
    </row>
    <row r="609" ht="15" customHeight="1">
      <c r="A609" s="26" t="n"/>
      <c r="B609" s="26" t="n"/>
      <c r="C609" s="26" t="n"/>
      <c r="D609" s="26" t="n"/>
      <c r="E609" s="26" t="n"/>
      <c r="F609" s="26" t="n"/>
      <c r="G609" s="26" t="n"/>
      <c r="H609" s="26" t="n"/>
      <c r="I609" s="26">
        <f>IFERROR(SUMIF(A$6:A609,"&lt;&gt;""",G$6:G609)-SUMIF(A$6:A609,"&lt;&gt;""",H$6:H609),"")</f>
        <v/>
      </c>
      <c r="J609" s="26" t="n"/>
    </row>
    <row r="610" ht="15" customHeight="1">
      <c r="A610" s="26" t="n"/>
      <c r="B610" s="26" t="n"/>
      <c r="C610" s="26" t="n"/>
      <c r="D610" s="26" t="n"/>
      <c r="E610" s="26" t="n"/>
      <c r="F610" s="26" t="n"/>
      <c r="G610" s="26" t="n"/>
      <c r="H610" s="26" t="n"/>
      <c r="I610" s="26">
        <f>IFERROR(SUMIF(A$6:A610,"&lt;&gt;""",G$6:G610)-SUMIF(A$6:A610,"&lt;&gt;""",H$6:H610),"")</f>
        <v/>
      </c>
      <c r="J610" s="26" t="n"/>
    </row>
    <row r="611" ht="15" customHeight="1">
      <c r="A611" s="26" t="n"/>
      <c r="B611" s="26" t="n"/>
      <c r="C611" s="26" t="n"/>
      <c r="D611" s="26" t="n"/>
      <c r="E611" s="26" t="n"/>
      <c r="F611" s="26" t="n"/>
      <c r="G611" s="26" t="n"/>
      <c r="H611" s="26" t="n"/>
      <c r="I611" s="26">
        <f>IFERROR(SUMIF(A$6:A611,"&lt;&gt;""",G$6:G611)-SUMIF(A$6:A611,"&lt;&gt;""",H$6:H611),"")</f>
        <v/>
      </c>
      <c r="J611" s="26" t="n"/>
    </row>
    <row r="612" ht="15" customHeight="1">
      <c r="A612" s="26" t="n"/>
      <c r="B612" s="26" t="n"/>
      <c r="C612" s="26" t="n"/>
      <c r="D612" s="26" t="n"/>
      <c r="E612" s="26" t="n"/>
      <c r="F612" s="26" t="n"/>
      <c r="G612" s="26" t="n"/>
      <c r="H612" s="26" t="n"/>
      <c r="I612" s="26">
        <f>IFERROR(SUMIF(A$6:A612,"&lt;&gt;""",G$6:G612)-SUMIF(A$6:A612,"&lt;&gt;""",H$6:H612),"")</f>
        <v/>
      </c>
      <c r="J612" s="26" t="n"/>
    </row>
    <row r="613" ht="15" customHeight="1">
      <c r="A613" s="26" t="n"/>
      <c r="B613" s="26" t="n"/>
      <c r="C613" s="26" t="n"/>
      <c r="D613" s="26" t="n"/>
      <c r="E613" s="26" t="n"/>
      <c r="F613" s="26" t="n"/>
      <c r="G613" s="26" t="n"/>
      <c r="H613" s="26" t="n"/>
      <c r="I613" s="26">
        <f>IFERROR(SUMIF(A$6:A613,"&lt;&gt;""",G$6:G613)-SUMIF(A$6:A613,"&lt;&gt;""",H$6:H613),"")</f>
        <v/>
      </c>
      <c r="J613" s="26" t="n"/>
    </row>
    <row r="614" ht="15" customHeight="1">
      <c r="A614" s="26" t="n"/>
      <c r="B614" s="26" t="n"/>
      <c r="C614" s="26" t="n"/>
      <c r="D614" s="26" t="n"/>
      <c r="E614" s="26" t="n"/>
      <c r="F614" s="26" t="n"/>
      <c r="G614" s="26" t="n"/>
      <c r="H614" s="26" t="n"/>
      <c r="I614" s="26">
        <f>IFERROR(SUMIF(A$6:A614,"&lt;&gt;""",G$6:G614)-SUMIF(A$6:A614,"&lt;&gt;""",H$6:H614),"")</f>
        <v/>
      </c>
      <c r="J614" s="26" t="n"/>
    </row>
    <row r="615" ht="15" customHeight="1">
      <c r="A615" s="26" t="n"/>
      <c r="B615" s="26" t="n"/>
      <c r="C615" s="26" t="n"/>
      <c r="D615" s="26" t="n"/>
      <c r="E615" s="26" t="n"/>
      <c r="F615" s="26" t="n"/>
      <c r="G615" s="26" t="n"/>
      <c r="H615" s="26" t="n"/>
      <c r="I615" s="26">
        <f>IFERROR(SUMIF(A$6:A615,"&lt;&gt;""",G$6:G615)-SUMIF(A$6:A615,"&lt;&gt;""",H$6:H615),"")</f>
        <v/>
      </c>
      <c r="J615" s="26" t="n"/>
    </row>
    <row r="616" ht="15" customHeight="1">
      <c r="A616" s="26" t="n"/>
      <c r="B616" s="26" t="n"/>
      <c r="C616" s="26" t="n"/>
      <c r="D616" s="26" t="n"/>
      <c r="E616" s="26" t="n"/>
      <c r="F616" s="26" t="n"/>
      <c r="G616" s="26" t="n"/>
      <c r="H616" s="26" t="n"/>
      <c r="I616" s="26">
        <f>IFERROR(SUMIF(A$6:A616,"&lt;&gt;""",G$6:G616)-SUMIF(A$6:A616,"&lt;&gt;""",H$6:H616),"")</f>
        <v/>
      </c>
      <c r="J616" s="26" t="n"/>
    </row>
    <row r="617" ht="15" customHeight="1">
      <c r="A617" s="26" t="n"/>
      <c r="B617" s="26" t="n"/>
      <c r="C617" s="26" t="n"/>
      <c r="D617" s="26" t="n"/>
      <c r="E617" s="26" t="n"/>
      <c r="F617" s="26" t="n"/>
      <c r="G617" s="26" t="n"/>
      <c r="H617" s="26" t="n"/>
      <c r="I617" s="26">
        <f>IFERROR(SUMIF(A$6:A617,"&lt;&gt;""",G$6:G617)-SUMIF(A$6:A617,"&lt;&gt;""",H$6:H617),"")</f>
        <v/>
      </c>
      <c r="J617" s="26" t="n"/>
    </row>
    <row r="618" ht="15" customHeight="1">
      <c r="A618" s="26" t="n"/>
      <c r="B618" s="26" t="n"/>
      <c r="C618" s="26" t="n"/>
      <c r="D618" s="26" t="n"/>
      <c r="E618" s="26" t="n"/>
      <c r="F618" s="26" t="n"/>
      <c r="G618" s="26" t="n"/>
      <c r="H618" s="26" t="n"/>
      <c r="I618" s="26">
        <f>IFERROR(SUMIF(A$6:A618,"&lt;&gt;""",G$6:G618)-SUMIF(A$6:A618,"&lt;&gt;""",H$6:H618),"")</f>
        <v/>
      </c>
      <c r="J618" s="26" t="n"/>
    </row>
    <row r="619" ht="15" customHeight="1">
      <c r="A619" s="26" t="n"/>
      <c r="B619" s="26" t="n"/>
      <c r="C619" s="26" t="n"/>
      <c r="D619" s="26" t="n"/>
      <c r="E619" s="26" t="n"/>
      <c r="F619" s="26" t="n"/>
      <c r="G619" s="26" t="n"/>
      <c r="H619" s="26" t="n"/>
      <c r="I619" s="26">
        <f>IFERROR(SUMIF(A$6:A619,"&lt;&gt;""",G$6:G619)-SUMIF(A$6:A619,"&lt;&gt;""",H$6:H619),"")</f>
        <v/>
      </c>
      <c r="J619" s="26" t="n"/>
    </row>
    <row r="620" ht="15" customHeight="1">
      <c r="A620" s="26" t="n"/>
      <c r="B620" s="26" t="n"/>
      <c r="C620" s="26" t="n"/>
      <c r="D620" s="26" t="n"/>
      <c r="E620" s="26" t="n"/>
      <c r="F620" s="26" t="n"/>
      <c r="G620" s="26" t="n"/>
      <c r="H620" s="26" t="n"/>
      <c r="I620" s="26">
        <f>IFERROR(SUMIF(A$6:A620,"&lt;&gt;""",G$6:G620)-SUMIF(A$6:A620,"&lt;&gt;""",H$6:H620),"")</f>
        <v/>
      </c>
      <c r="J620" s="26" t="n"/>
    </row>
    <row r="621" ht="15" customHeight="1">
      <c r="A621" s="26" t="n"/>
      <c r="B621" s="26" t="n"/>
      <c r="C621" s="26" t="n"/>
      <c r="D621" s="26" t="n"/>
      <c r="E621" s="26" t="n"/>
      <c r="F621" s="26" t="n"/>
      <c r="G621" s="26" t="n"/>
      <c r="H621" s="26" t="n"/>
      <c r="I621" s="26">
        <f>IFERROR(SUMIF(A$6:A621,"&lt;&gt;""",G$6:G621)-SUMIF(A$6:A621,"&lt;&gt;""",H$6:H621),"")</f>
        <v/>
      </c>
      <c r="J621" s="26" t="n"/>
    </row>
    <row r="622" ht="15" customHeight="1">
      <c r="A622" s="26" t="n"/>
      <c r="B622" s="26" t="n"/>
      <c r="C622" s="26" t="n"/>
      <c r="D622" s="26" t="n"/>
      <c r="E622" s="26" t="n"/>
      <c r="F622" s="26" t="n"/>
      <c r="G622" s="26" t="n"/>
      <c r="H622" s="26" t="n"/>
      <c r="I622" s="26">
        <f>IFERROR(SUMIF(A$6:A622,"&lt;&gt;""",G$6:G622)-SUMIF(A$6:A622,"&lt;&gt;""",H$6:H622),"")</f>
        <v/>
      </c>
      <c r="J622" s="26" t="n"/>
    </row>
    <row r="623" ht="15" customHeight="1">
      <c r="A623" s="26" t="n"/>
      <c r="B623" s="26" t="n"/>
      <c r="C623" s="26" t="n"/>
      <c r="D623" s="26" t="n"/>
      <c r="E623" s="26" t="n"/>
      <c r="F623" s="26" t="n"/>
      <c r="G623" s="26" t="n"/>
      <c r="H623" s="26" t="n"/>
      <c r="I623" s="26">
        <f>IFERROR(SUMIF(A$6:A623,"&lt;&gt;""",G$6:G623)-SUMIF(A$6:A623,"&lt;&gt;""",H$6:H623),"")</f>
        <v/>
      </c>
      <c r="J623" s="26" t="n"/>
    </row>
    <row r="624" ht="15" customHeight="1">
      <c r="A624" s="26" t="n"/>
      <c r="B624" s="26" t="n"/>
      <c r="C624" s="26" t="n"/>
      <c r="D624" s="26" t="n"/>
      <c r="E624" s="26" t="n"/>
      <c r="F624" s="26" t="n"/>
      <c r="G624" s="26" t="n"/>
      <c r="H624" s="26" t="n"/>
      <c r="I624" s="26">
        <f>IFERROR(SUMIF(A$6:A624,"&lt;&gt;""",G$6:G624)-SUMIF(A$6:A624,"&lt;&gt;""",H$6:H624),"")</f>
        <v/>
      </c>
      <c r="J624" s="26" t="n"/>
    </row>
    <row r="625" ht="15" customHeight="1">
      <c r="A625" s="26" t="n"/>
      <c r="B625" s="26" t="n"/>
      <c r="C625" s="26" t="n"/>
      <c r="D625" s="26" t="n"/>
      <c r="E625" s="26" t="n"/>
      <c r="F625" s="26" t="n"/>
      <c r="G625" s="26" t="n"/>
      <c r="H625" s="26" t="n"/>
      <c r="I625" s="26">
        <f>IFERROR(SUMIF(A$6:A625,"&lt;&gt;""",G$6:G625)-SUMIF(A$6:A625,"&lt;&gt;""",H$6:H625),"")</f>
        <v/>
      </c>
      <c r="J625" s="26" t="n"/>
    </row>
    <row r="626" ht="15" customHeight="1">
      <c r="A626" s="26" t="n"/>
      <c r="B626" s="26" t="n"/>
      <c r="C626" s="26" t="n"/>
      <c r="D626" s="26" t="n"/>
      <c r="E626" s="26" t="n"/>
      <c r="F626" s="26" t="n"/>
      <c r="G626" s="26" t="n"/>
      <c r="H626" s="26" t="n"/>
      <c r="I626" s="26">
        <f>IFERROR(SUMIF(A$6:A626,"&lt;&gt;""",G$6:G626)-SUMIF(A$6:A626,"&lt;&gt;""",H$6:H626),"")</f>
        <v/>
      </c>
      <c r="J626" s="26" t="n"/>
    </row>
    <row r="627" ht="15" customHeight="1">
      <c r="A627" s="26" t="n"/>
      <c r="B627" s="26" t="n"/>
      <c r="C627" s="26" t="n"/>
      <c r="D627" s="26" t="n"/>
      <c r="E627" s="26" t="n"/>
      <c r="F627" s="26" t="n"/>
      <c r="G627" s="26" t="n"/>
      <c r="H627" s="26" t="n"/>
      <c r="I627" s="26">
        <f>IFERROR(SUMIF(A$6:A627,"&lt;&gt;""",G$6:G627)-SUMIF(A$6:A627,"&lt;&gt;""",H$6:H627),"")</f>
        <v/>
      </c>
      <c r="J627" s="26" t="n"/>
    </row>
    <row r="628" ht="15" customHeight="1">
      <c r="A628" s="26" t="n"/>
      <c r="B628" s="26" t="n"/>
      <c r="C628" s="26" t="n"/>
      <c r="D628" s="26" t="n"/>
      <c r="E628" s="26" t="n"/>
      <c r="F628" s="26" t="n"/>
      <c r="G628" s="26" t="n"/>
      <c r="H628" s="26" t="n"/>
      <c r="I628" s="26">
        <f>IFERROR(SUMIF(A$6:A628,"&lt;&gt;""",G$6:G628)-SUMIF(A$6:A628,"&lt;&gt;""",H$6:H628),"")</f>
        <v/>
      </c>
      <c r="J628" s="26" t="n"/>
    </row>
    <row r="629" ht="15" customHeight="1">
      <c r="A629" s="26" t="n"/>
      <c r="B629" s="26" t="n"/>
      <c r="C629" s="26" t="n"/>
      <c r="D629" s="26" t="n"/>
      <c r="E629" s="26" t="n"/>
      <c r="F629" s="26" t="n"/>
      <c r="G629" s="26" t="n"/>
      <c r="H629" s="26" t="n"/>
      <c r="I629" s="26">
        <f>IFERROR(SUMIF(A$6:A629,"&lt;&gt;""",G$6:G629)-SUMIF(A$6:A629,"&lt;&gt;""",H$6:H629),"")</f>
        <v/>
      </c>
      <c r="J629" s="26" t="n"/>
    </row>
    <row r="630" ht="15" customHeight="1">
      <c r="A630" s="26" t="n"/>
      <c r="B630" s="26" t="n"/>
      <c r="C630" s="26" t="n"/>
      <c r="D630" s="26" t="n"/>
      <c r="E630" s="26" t="n"/>
      <c r="F630" s="26" t="n"/>
      <c r="G630" s="26" t="n"/>
      <c r="H630" s="26" t="n"/>
      <c r="I630" s="26">
        <f>IFERROR(SUMIF(A$6:A630,"&lt;&gt;""",G$6:G630)-SUMIF(A$6:A630,"&lt;&gt;""",H$6:H630),"")</f>
        <v/>
      </c>
      <c r="J630" s="26" t="n"/>
    </row>
    <row r="631" ht="15" customHeight="1">
      <c r="A631" s="26" t="n"/>
      <c r="B631" s="26" t="n"/>
      <c r="C631" s="26" t="n"/>
      <c r="D631" s="26" t="n"/>
      <c r="E631" s="26" t="n"/>
      <c r="F631" s="26" t="n"/>
      <c r="G631" s="26" t="n"/>
      <c r="H631" s="26" t="n"/>
      <c r="I631" s="26">
        <f>IFERROR(SUMIF(A$6:A631,"&lt;&gt;""",G$6:G631)-SUMIF(A$6:A631,"&lt;&gt;""",H$6:H631),"")</f>
        <v/>
      </c>
      <c r="J631" s="26" t="n"/>
    </row>
    <row r="632" ht="15" customHeight="1">
      <c r="A632" s="26" t="n"/>
      <c r="B632" s="26" t="n"/>
      <c r="C632" s="26" t="n"/>
      <c r="D632" s="26" t="n"/>
      <c r="E632" s="26" t="n"/>
      <c r="F632" s="26" t="n"/>
      <c r="G632" s="26" t="n"/>
      <c r="H632" s="26" t="n"/>
      <c r="I632" s="26">
        <f>IFERROR(SUMIF(A$6:A632,"&lt;&gt;""",G$6:G632)-SUMIF(A$6:A632,"&lt;&gt;""",H$6:H632),"")</f>
        <v/>
      </c>
      <c r="J632" s="26" t="n"/>
    </row>
    <row r="633" ht="15" customHeight="1">
      <c r="A633" s="26" t="n"/>
      <c r="B633" s="26" t="n"/>
      <c r="C633" s="26" t="n"/>
      <c r="D633" s="26" t="n"/>
      <c r="E633" s="26" t="n"/>
      <c r="F633" s="26" t="n"/>
      <c r="G633" s="26" t="n"/>
      <c r="H633" s="26" t="n"/>
      <c r="I633" s="26">
        <f>IFERROR(SUMIF(A$6:A633,"&lt;&gt;""",G$6:G633)-SUMIF(A$6:A633,"&lt;&gt;""",H$6:H633),"")</f>
        <v/>
      </c>
      <c r="J633" s="26" t="n"/>
    </row>
    <row r="634" ht="15" customHeight="1">
      <c r="A634" s="26" t="n"/>
      <c r="B634" s="26" t="n"/>
      <c r="C634" s="26" t="n"/>
      <c r="D634" s="26" t="n"/>
      <c r="E634" s="26" t="n"/>
      <c r="F634" s="26" t="n"/>
      <c r="G634" s="26" t="n"/>
      <c r="H634" s="26" t="n"/>
      <c r="I634" s="26">
        <f>IFERROR(SUMIF(A$6:A634,"&lt;&gt;""",G$6:G634)-SUMIF(A$6:A634,"&lt;&gt;""",H$6:H634),"")</f>
        <v/>
      </c>
      <c r="J634" s="26" t="n"/>
    </row>
    <row r="635" ht="15" customHeight="1">
      <c r="A635" s="26" t="n"/>
      <c r="B635" s="26" t="n"/>
      <c r="C635" s="26" t="n"/>
      <c r="D635" s="26" t="n"/>
      <c r="E635" s="26" t="n"/>
      <c r="F635" s="26" t="n"/>
      <c r="G635" s="26" t="n"/>
      <c r="H635" s="26" t="n"/>
      <c r="I635" s="26">
        <f>IFERROR(SUMIF(A$6:A635,"&lt;&gt;""",G$6:G635)-SUMIF(A$6:A635,"&lt;&gt;""",H$6:H635),"")</f>
        <v/>
      </c>
      <c r="J635" s="26" t="n"/>
    </row>
    <row r="636" ht="15" customHeight="1">
      <c r="A636" s="26" t="n"/>
      <c r="B636" s="26" t="n"/>
      <c r="C636" s="26" t="n"/>
      <c r="D636" s="26" t="n"/>
      <c r="E636" s="26" t="n"/>
      <c r="F636" s="26" t="n"/>
      <c r="G636" s="26" t="n"/>
      <c r="H636" s="26" t="n"/>
      <c r="I636" s="26">
        <f>IFERROR(SUMIF(A$6:A636,"&lt;&gt;""",G$6:G636)-SUMIF(A$6:A636,"&lt;&gt;""",H$6:H636),"")</f>
        <v/>
      </c>
      <c r="J636" s="26" t="n"/>
    </row>
    <row r="637" ht="15" customHeight="1">
      <c r="A637" s="26" t="n"/>
      <c r="B637" s="26" t="n"/>
      <c r="C637" s="26" t="n"/>
      <c r="D637" s="26" t="n"/>
      <c r="E637" s="26" t="n"/>
      <c r="F637" s="26" t="n"/>
      <c r="G637" s="26" t="n"/>
      <c r="H637" s="26" t="n"/>
      <c r="I637" s="26">
        <f>IFERROR(SUMIF(A$6:A637,"&lt;&gt;""",G$6:G637)-SUMIF(A$6:A637,"&lt;&gt;""",H$6:H637),"")</f>
        <v/>
      </c>
      <c r="J637" s="26" t="n"/>
    </row>
    <row r="638" ht="15" customHeight="1">
      <c r="A638" s="26" t="n"/>
      <c r="B638" s="26" t="n"/>
      <c r="C638" s="26" t="n"/>
      <c r="D638" s="26" t="n"/>
      <c r="E638" s="26" t="n"/>
      <c r="F638" s="26" t="n"/>
      <c r="G638" s="26" t="n"/>
      <c r="H638" s="26" t="n"/>
      <c r="I638" s="26">
        <f>IFERROR(SUMIF(A$6:A638,"&lt;&gt;""",G$6:G638)-SUMIF(A$6:A638,"&lt;&gt;""",H$6:H638),"")</f>
        <v/>
      </c>
      <c r="J638" s="26" t="n"/>
    </row>
    <row r="639" ht="15" customHeight="1">
      <c r="A639" s="26" t="n"/>
      <c r="B639" s="26" t="n"/>
      <c r="C639" s="26" t="n"/>
      <c r="D639" s="26" t="n"/>
      <c r="E639" s="26" t="n"/>
      <c r="F639" s="26" t="n"/>
      <c r="G639" s="26" t="n"/>
      <c r="H639" s="26" t="n"/>
      <c r="I639" s="26">
        <f>IFERROR(SUMIF(A$6:A639,"&lt;&gt;""",G$6:G639)-SUMIF(A$6:A639,"&lt;&gt;""",H$6:H639),"")</f>
        <v/>
      </c>
      <c r="J639" s="26" t="n"/>
    </row>
    <row r="640" ht="15" customHeight="1">
      <c r="A640" s="26" t="n"/>
      <c r="B640" s="26" t="n"/>
      <c r="C640" s="26" t="n"/>
      <c r="D640" s="26" t="n"/>
      <c r="E640" s="26" t="n"/>
      <c r="F640" s="26" t="n"/>
      <c r="G640" s="26" t="n"/>
      <c r="H640" s="26" t="n"/>
      <c r="I640" s="26">
        <f>IFERROR(SUMIF(A$6:A640,"&lt;&gt;""",G$6:G640)-SUMIF(A$6:A640,"&lt;&gt;""",H$6:H640),"")</f>
        <v/>
      </c>
      <c r="J640" s="26" t="n"/>
    </row>
    <row r="641" ht="15" customHeight="1">
      <c r="A641" s="26" t="n"/>
      <c r="B641" s="26" t="n"/>
      <c r="C641" s="26" t="n"/>
      <c r="D641" s="26" t="n"/>
      <c r="E641" s="26" t="n"/>
      <c r="F641" s="26" t="n"/>
      <c r="G641" s="26" t="n"/>
      <c r="H641" s="26" t="n"/>
      <c r="I641" s="26">
        <f>IFERROR(SUMIF(A$6:A641,"&lt;&gt;""",G$6:G641)-SUMIF(A$6:A641,"&lt;&gt;""",H$6:H641),"")</f>
        <v/>
      </c>
      <c r="J641" s="26" t="n"/>
    </row>
    <row r="642" ht="15" customHeight="1">
      <c r="A642" s="26" t="n"/>
      <c r="B642" s="26" t="n"/>
      <c r="C642" s="26" t="n"/>
      <c r="D642" s="26" t="n"/>
      <c r="E642" s="26" t="n"/>
      <c r="F642" s="26" t="n"/>
      <c r="G642" s="26" t="n"/>
      <c r="H642" s="26" t="n"/>
      <c r="I642" s="26">
        <f>IFERROR(SUMIF(A$6:A642,"&lt;&gt;""",G$6:G642)-SUMIF(A$6:A642,"&lt;&gt;""",H$6:H642),"")</f>
        <v/>
      </c>
      <c r="J642" s="26" t="n"/>
    </row>
    <row r="643" ht="15" customHeight="1">
      <c r="A643" s="26" t="n"/>
      <c r="B643" s="26" t="n"/>
      <c r="C643" s="26" t="n"/>
      <c r="D643" s="26" t="n"/>
      <c r="E643" s="26" t="n"/>
      <c r="F643" s="26" t="n"/>
      <c r="G643" s="26" t="n"/>
      <c r="H643" s="26" t="n"/>
      <c r="I643" s="26">
        <f>IFERROR(SUMIF(A$6:A643,"&lt;&gt;""",G$6:G643)-SUMIF(A$6:A643,"&lt;&gt;""",H$6:H643),"")</f>
        <v/>
      </c>
      <c r="J643" s="26" t="n"/>
    </row>
    <row r="644" ht="15" customHeight="1">
      <c r="A644" s="26" t="n"/>
      <c r="B644" s="26" t="n"/>
      <c r="C644" s="26" t="n"/>
      <c r="D644" s="26" t="n"/>
      <c r="E644" s="26" t="n"/>
      <c r="F644" s="26" t="n"/>
      <c r="G644" s="26" t="n"/>
      <c r="H644" s="26" t="n"/>
      <c r="I644" s="26">
        <f>IFERROR(SUMIF(A$6:A644,"&lt;&gt;""",G$6:G644)-SUMIF(A$6:A644,"&lt;&gt;""",H$6:H644),"")</f>
        <v/>
      </c>
      <c r="J644" s="26" t="n"/>
    </row>
    <row r="645" ht="15" customHeight="1">
      <c r="A645" s="26" t="n"/>
      <c r="B645" s="26" t="n"/>
      <c r="C645" s="26" t="n"/>
      <c r="D645" s="26" t="n"/>
      <c r="E645" s="26" t="n"/>
      <c r="F645" s="26" t="n"/>
      <c r="G645" s="26" t="n"/>
      <c r="H645" s="26" t="n"/>
      <c r="I645" s="26">
        <f>IFERROR(SUMIF(A$6:A645,"&lt;&gt;""",G$6:G645)-SUMIF(A$6:A645,"&lt;&gt;""",H$6:H645),"")</f>
        <v/>
      </c>
      <c r="J645" s="26" t="n"/>
    </row>
    <row r="646" ht="15" customHeight="1">
      <c r="A646" s="26" t="n"/>
      <c r="B646" s="26" t="n"/>
      <c r="C646" s="26" t="n"/>
      <c r="D646" s="26" t="n"/>
      <c r="E646" s="26" t="n"/>
      <c r="F646" s="26" t="n"/>
      <c r="G646" s="26" t="n"/>
      <c r="H646" s="26" t="n"/>
      <c r="I646" s="26">
        <f>IFERROR(SUMIF(A$6:A646,"&lt;&gt;""",G$6:G646)-SUMIF(A$6:A646,"&lt;&gt;""",H$6:H646),"")</f>
        <v/>
      </c>
      <c r="J646" s="26" t="n"/>
    </row>
    <row r="647" ht="15" customHeight="1">
      <c r="A647" s="26" t="n"/>
      <c r="B647" s="26" t="n"/>
      <c r="C647" s="26" t="n"/>
      <c r="D647" s="26" t="n"/>
      <c r="E647" s="26" t="n"/>
      <c r="F647" s="26" t="n"/>
      <c r="G647" s="26" t="n"/>
      <c r="H647" s="26" t="n"/>
      <c r="I647" s="26">
        <f>IFERROR(SUMIF(A$6:A647,"&lt;&gt;""",G$6:G647)-SUMIF(A$6:A647,"&lt;&gt;""",H$6:H647),"")</f>
        <v/>
      </c>
      <c r="J647" s="26" t="n"/>
    </row>
    <row r="648" ht="15" customHeight="1">
      <c r="A648" s="26" t="n"/>
      <c r="B648" s="26" t="n"/>
      <c r="C648" s="26" t="n"/>
      <c r="D648" s="26" t="n"/>
      <c r="E648" s="26" t="n"/>
      <c r="F648" s="26" t="n"/>
      <c r="G648" s="26" t="n"/>
      <c r="H648" s="26" t="n"/>
      <c r="I648" s="26">
        <f>IFERROR(SUMIF(A$6:A648,"&lt;&gt;""",G$6:G648)-SUMIF(A$6:A648,"&lt;&gt;""",H$6:H648),"")</f>
        <v/>
      </c>
      <c r="J648" s="26" t="n"/>
    </row>
    <row r="649" ht="15" customHeight="1">
      <c r="A649" s="26" t="n"/>
      <c r="B649" s="26" t="n"/>
      <c r="C649" s="26" t="n"/>
      <c r="D649" s="26" t="n"/>
      <c r="E649" s="26" t="n"/>
      <c r="F649" s="26" t="n"/>
      <c r="G649" s="26" t="n"/>
      <c r="H649" s="26" t="n"/>
      <c r="I649" s="26">
        <f>IFERROR(SUMIF(A$6:A649,"&lt;&gt;""",G$6:G649)-SUMIF(A$6:A649,"&lt;&gt;""",H$6:H649),"")</f>
        <v/>
      </c>
      <c r="J649" s="26" t="n"/>
    </row>
    <row r="650" ht="15" customHeight="1">
      <c r="A650" s="26" t="n"/>
      <c r="B650" s="26" t="n"/>
      <c r="C650" s="26" t="n"/>
      <c r="D650" s="26" t="n"/>
      <c r="E650" s="26" t="n"/>
      <c r="F650" s="26" t="n"/>
      <c r="G650" s="26" t="n"/>
      <c r="H650" s="26" t="n"/>
      <c r="I650" s="26">
        <f>IFERROR(SUMIF(A$6:A650,"&lt;&gt;""",G$6:G650)-SUMIF(A$6:A650,"&lt;&gt;""",H$6:H650),"")</f>
        <v/>
      </c>
      <c r="J650" s="26" t="n"/>
    </row>
    <row r="651" ht="15" customHeight="1">
      <c r="A651" s="26" t="n"/>
      <c r="B651" s="26" t="n"/>
      <c r="C651" s="26" t="n"/>
      <c r="D651" s="26" t="n"/>
      <c r="E651" s="26" t="n"/>
      <c r="F651" s="26" t="n"/>
      <c r="G651" s="26" t="n"/>
      <c r="H651" s="26" t="n"/>
      <c r="I651" s="26">
        <f>IFERROR(SUMIF(A$6:A651,"&lt;&gt;""",G$6:G651)-SUMIF(A$6:A651,"&lt;&gt;""",H$6:H651),"")</f>
        <v/>
      </c>
      <c r="J651" s="26" t="n"/>
    </row>
    <row r="652" ht="15" customHeight="1">
      <c r="A652" s="26" t="n"/>
      <c r="B652" s="26" t="n"/>
      <c r="C652" s="26" t="n"/>
      <c r="D652" s="26" t="n"/>
      <c r="E652" s="26" t="n"/>
      <c r="F652" s="26" t="n"/>
      <c r="G652" s="26" t="n"/>
      <c r="H652" s="26" t="n"/>
      <c r="I652" s="26">
        <f>IFERROR(SUMIF(A$6:A652,"&lt;&gt;""",G$6:G652)-SUMIF(A$6:A652,"&lt;&gt;""",H$6:H652),"")</f>
        <v/>
      </c>
      <c r="J652" s="26" t="n"/>
    </row>
    <row r="653" ht="15" customHeight="1">
      <c r="A653" s="26" t="n"/>
      <c r="B653" s="26" t="n"/>
      <c r="C653" s="26" t="n"/>
      <c r="D653" s="26" t="n"/>
      <c r="E653" s="26" t="n"/>
      <c r="F653" s="26" t="n"/>
      <c r="G653" s="26" t="n"/>
      <c r="H653" s="26" t="n"/>
      <c r="I653" s="26">
        <f>IFERROR(SUMIF(A$6:A653,"&lt;&gt;""",G$6:G653)-SUMIF(A$6:A653,"&lt;&gt;""",H$6:H653),"")</f>
        <v/>
      </c>
      <c r="J653" s="26" t="n"/>
    </row>
    <row r="654" ht="15" customHeight="1">
      <c r="A654" s="26" t="n"/>
      <c r="B654" s="26" t="n"/>
      <c r="C654" s="26" t="n"/>
      <c r="D654" s="26" t="n"/>
      <c r="E654" s="26" t="n"/>
      <c r="F654" s="26" t="n"/>
      <c r="G654" s="26" t="n"/>
      <c r="H654" s="26" t="n"/>
      <c r="I654" s="26">
        <f>IFERROR(SUMIF(A$6:A654,"&lt;&gt;""",G$6:G654)-SUMIF(A$6:A654,"&lt;&gt;""",H$6:H654),"")</f>
        <v/>
      </c>
      <c r="J654" s="26" t="n"/>
    </row>
    <row r="655" ht="15" customHeight="1">
      <c r="A655" s="26" t="n"/>
      <c r="B655" s="26" t="n"/>
      <c r="C655" s="26" t="n"/>
      <c r="D655" s="26" t="n"/>
      <c r="E655" s="26" t="n"/>
      <c r="F655" s="26" t="n"/>
      <c r="G655" s="26" t="n"/>
      <c r="H655" s="26" t="n"/>
      <c r="I655" s="26">
        <f>IFERROR(SUMIF(A$6:A655,"&lt;&gt;""",G$6:G655)-SUMIF(A$6:A655,"&lt;&gt;""",H$6:H655),"")</f>
        <v/>
      </c>
      <c r="J655" s="26" t="n"/>
    </row>
    <row r="656" ht="15" customHeight="1">
      <c r="A656" s="26" t="n"/>
      <c r="B656" s="26" t="n"/>
      <c r="C656" s="26" t="n"/>
      <c r="D656" s="26" t="n"/>
      <c r="E656" s="26" t="n"/>
      <c r="F656" s="26" t="n"/>
      <c r="G656" s="26" t="n"/>
      <c r="H656" s="26" t="n"/>
      <c r="I656" s="26">
        <f>IFERROR(SUMIF(A$6:A656,"&lt;&gt;""",G$6:G656)-SUMIF(A$6:A656,"&lt;&gt;""",H$6:H656),"")</f>
        <v/>
      </c>
      <c r="J656" s="26" t="n"/>
    </row>
    <row r="657" ht="15" customHeight="1">
      <c r="A657" s="26" t="n"/>
      <c r="B657" s="26" t="n"/>
      <c r="C657" s="26" t="n"/>
      <c r="D657" s="26" t="n"/>
      <c r="E657" s="26" t="n"/>
      <c r="F657" s="26" t="n"/>
      <c r="G657" s="26" t="n"/>
      <c r="H657" s="26" t="n"/>
      <c r="I657" s="26">
        <f>IFERROR(SUMIF(A$6:A657,"&lt;&gt;""",G$6:G657)-SUMIF(A$6:A657,"&lt;&gt;""",H$6:H657),"")</f>
        <v/>
      </c>
      <c r="J657" s="26" t="n"/>
    </row>
    <row r="658" ht="15" customHeight="1">
      <c r="A658" s="26" t="n"/>
      <c r="B658" s="26" t="n"/>
      <c r="C658" s="26" t="n"/>
      <c r="D658" s="26" t="n"/>
      <c r="E658" s="26" t="n"/>
      <c r="F658" s="26" t="n"/>
      <c r="G658" s="26" t="n"/>
      <c r="H658" s="26" t="n"/>
      <c r="I658" s="26">
        <f>IFERROR(SUMIF(A$6:A658,"&lt;&gt;""",G$6:G658)-SUMIF(A$6:A658,"&lt;&gt;""",H$6:H658),"")</f>
        <v/>
      </c>
      <c r="J658" s="26" t="n"/>
    </row>
    <row r="659" ht="15" customHeight="1">
      <c r="A659" s="26" t="n"/>
      <c r="B659" s="26" t="n"/>
      <c r="C659" s="26" t="n"/>
      <c r="D659" s="26" t="n"/>
      <c r="E659" s="26" t="n"/>
      <c r="F659" s="26" t="n"/>
      <c r="G659" s="26" t="n"/>
      <c r="H659" s="26" t="n"/>
      <c r="I659" s="26">
        <f>IFERROR(SUMIF(A$6:A659,"&lt;&gt;""",G$6:G659)-SUMIF(A$6:A659,"&lt;&gt;""",H$6:H659),"")</f>
        <v/>
      </c>
      <c r="J659" s="26" t="n"/>
    </row>
    <row r="660" ht="15" customHeight="1">
      <c r="A660" s="26" t="n"/>
      <c r="B660" s="26" t="n"/>
      <c r="C660" s="26" t="n"/>
      <c r="D660" s="26" t="n"/>
      <c r="E660" s="26" t="n"/>
      <c r="F660" s="26" t="n"/>
      <c r="G660" s="26" t="n"/>
      <c r="H660" s="26" t="n"/>
      <c r="I660" s="26">
        <f>IFERROR(SUMIF(A$6:A660,"&lt;&gt;""",G$6:G660)-SUMIF(A$6:A660,"&lt;&gt;""",H$6:H660),"")</f>
        <v/>
      </c>
      <c r="J660" s="26" t="n"/>
    </row>
    <row r="661" ht="15" customHeight="1">
      <c r="A661" s="26" t="n"/>
      <c r="B661" s="26" t="n"/>
      <c r="C661" s="26" t="n"/>
      <c r="D661" s="26" t="n"/>
      <c r="E661" s="26" t="n"/>
      <c r="F661" s="26" t="n"/>
      <c r="G661" s="26" t="n"/>
      <c r="H661" s="26" t="n"/>
      <c r="I661" s="26">
        <f>IFERROR(SUMIF(A$6:A661,"&lt;&gt;""",G$6:G661)-SUMIF(A$6:A661,"&lt;&gt;""",H$6:H661),"")</f>
        <v/>
      </c>
      <c r="J661" s="26" t="n"/>
    </row>
    <row r="662" ht="15" customHeight="1">
      <c r="A662" s="26" t="n"/>
      <c r="B662" s="26" t="n"/>
      <c r="C662" s="26" t="n"/>
      <c r="D662" s="26" t="n"/>
      <c r="E662" s="26" t="n"/>
      <c r="F662" s="26" t="n"/>
      <c r="G662" s="26" t="n"/>
      <c r="H662" s="26" t="n"/>
      <c r="I662" s="26">
        <f>IFERROR(SUMIF(A$6:A662,"&lt;&gt;""",G$6:G662)-SUMIF(A$6:A662,"&lt;&gt;""",H$6:H662),"")</f>
        <v/>
      </c>
      <c r="J662" s="26" t="n"/>
    </row>
    <row r="663" ht="15" customHeight="1">
      <c r="A663" s="26" t="n"/>
      <c r="B663" s="26" t="n"/>
      <c r="C663" s="26" t="n"/>
      <c r="D663" s="26" t="n"/>
      <c r="E663" s="26" t="n"/>
      <c r="F663" s="26" t="n"/>
      <c r="G663" s="26" t="n"/>
      <c r="H663" s="26" t="n"/>
      <c r="I663" s="26">
        <f>IFERROR(SUMIF(A$6:A663,"&lt;&gt;""",G$6:G663)-SUMIF(A$6:A663,"&lt;&gt;""",H$6:H663),"")</f>
        <v/>
      </c>
      <c r="J663" s="26" t="n"/>
    </row>
    <row r="664" ht="15" customHeight="1">
      <c r="A664" s="26" t="n"/>
      <c r="B664" s="26" t="n"/>
      <c r="C664" s="26" t="n"/>
      <c r="D664" s="26" t="n"/>
      <c r="E664" s="26" t="n"/>
      <c r="F664" s="26" t="n"/>
      <c r="G664" s="26" t="n"/>
      <c r="H664" s="26" t="n"/>
      <c r="I664" s="26">
        <f>IFERROR(SUMIF(A$6:A664,"&lt;&gt;""",G$6:G664)-SUMIF(A$6:A664,"&lt;&gt;""",H$6:H664),"")</f>
        <v/>
      </c>
      <c r="J664" s="26" t="n"/>
    </row>
    <row r="665" ht="15" customHeight="1">
      <c r="A665" s="26" t="n"/>
      <c r="B665" s="26" t="n"/>
      <c r="C665" s="26" t="n"/>
      <c r="D665" s="26" t="n"/>
      <c r="E665" s="26" t="n"/>
      <c r="F665" s="26" t="n"/>
      <c r="G665" s="26" t="n"/>
      <c r="H665" s="26" t="n"/>
      <c r="I665" s="26">
        <f>IFERROR(SUMIF(A$6:A665,"&lt;&gt;""",G$6:G665)-SUMIF(A$6:A665,"&lt;&gt;""",H$6:H665),"")</f>
        <v/>
      </c>
      <c r="J665" s="26" t="n"/>
    </row>
    <row r="666" ht="15" customHeight="1">
      <c r="A666" s="26" t="n"/>
      <c r="B666" s="26" t="n"/>
      <c r="C666" s="26" t="n"/>
      <c r="D666" s="26" t="n"/>
      <c r="E666" s="26" t="n"/>
      <c r="F666" s="26" t="n"/>
      <c r="G666" s="26" t="n"/>
      <c r="H666" s="26" t="n"/>
      <c r="I666" s="26">
        <f>IFERROR(SUMIF(A$6:A666,"&lt;&gt;""",G$6:G666)-SUMIF(A$6:A666,"&lt;&gt;""",H$6:H666),"")</f>
        <v/>
      </c>
      <c r="J666" s="26" t="n"/>
    </row>
    <row r="667" ht="15" customHeight="1">
      <c r="A667" s="26" t="n"/>
      <c r="B667" s="26" t="n"/>
      <c r="C667" s="26" t="n"/>
      <c r="D667" s="26" t="n"/>
      <c r="E667" s="26" t="n"/>
      <c r="F667" s="26" t="n"/>
      <c r="G667" s="26" t="n"/>
      <c r="H667" s="26" t="n"/>
      <c r="I667" s="26">
        <f>IFERROR(SUMIF(A$6:A667,"&lt;&gt;""",G$6:G667)-SUMIF(A$6:A667,"&lt;&gt;""",H$6:H667),"")</f>
        <v/>
      </c>
      <c r="J667" s="26" t="n"/>
    </row>
    <row r="668" ht="15" customHeight="1">
      <c r="A668" s="26" t="n"/>
      <c r="B668" s="26" t="n"/>
      <c r="C668" s="26" t="n"/>
      <c r="D668" s="26" t="n"/>
      <c r="E668" s="26" t="n"/>
      <c r="F668" s="26" t="n"/>
      <c r="G668" s="26" t="n"/>
      <c r="H668" s="26" t="n"/>
      <c r="I668" s="26">
        <f>IFERROR(SUMIF(A$6:A668,"&lt;&gt;""",G$6:G668)-SUMIF(A$6:A668,"&lt;&gt;""",H$6:H668),"")</f>
        <v/>
      </c>
      <c r="J668" s="26" t="n"/>
    </row>
    <row r="669" ht="15" customHeight="1">
      <c r="A669" s="26" t="n"/>
      <c r="B669" s="26" t="n"/>
      <c r="C669" s="26" t="n"/>
      <c r="D669" s="26" t="n"/>
      <c r="E669" s="26" t="n"/>
      <c r="F669" s="26" t="n"/>
      <c r="G669" s="26" t="n"/>
      <c r="H669" s="26" t="n"/>
      <c r="I669" s="26">
        <f>IFERROR(SUMIF(A$6:A669,"&lt;&gt;""",G$6:G669)-SUMIF(A$6:A669,"&lt;&gt;""",H$6:H669),"")</f>
        <v/>
      </c>
      <c r="J669" s="26" t="n"/>
    </row>
    <row r="670" ht="15" customHeight="1">
      <c r="A670" s="26" t="n"/>
      <c r="B670" s="26" t="n"/>
      <c r="C670" s="26" t="n"/>
      <c r="D670" s="26" t="n"/>
      <c r="E670" s="26" t="n"/>
      <c r="F670" s="26" t="n"/>
      <c r="G670" s="26" t="n"/>
      <c r="H670" s="26" t="n"/>
      <c r="I670" s="26">
        <f>IFERROR(SUMIF(A$6:A670,"&lt;&gt;""",G$6:G670)-SUMIF(A$6:A670,"&lt;&gt;""",H$6:H670),"")</f>
        <v/>
      </c>
      <c r="J670" s="26" t="n"/>
    </row>
    <row r="671" ht="15" customHeight="1">
      <c r="A671" s="26" t="n"/>
      <c r="B671" s="26" t="n"/>
      <c r="C671" s="26" t="n"/>
      <c r="D671" s="26" t="n"/>
      <c r="E671" s="26" t="n"/>
      <c r="F671" s="26" t="n"/>
      <c r="G671" s="26" t="n"/>
      <c r="H671" s="26" t="n"/>
      <c r="I671" s="26">
        <f>IFERROR(SUMIF(A$6:A671,"&lt;&gt;""",G$6:G671)-SUMIF(A$6:A671,"&lt;&gt;""",H$6:H671),"")</f>
        <v/>
      </c>
      <c r="J671" s="26" t="n"/>
    </row>
    <row r="672" ht="15" customHeight="1">
      <c r="A672" s="26" t="n"/>
      <c r="B672" s="26" t="n"/>
      <c r="C672" s="26" t="n"/>
      <c r="D672" s="26" t="n"/>
      <c r="E672" s="26" t="n"/>
      <c r="F672" s="26" t="n"/>
      <c r="G672" s="26" t="n"/>
      <c r="H672" s="26" t="n"/>
      <c r="I672" s="26">
        <f>IFERROR(SUMIF(A$6:A672,"&lt;&gt;""",G$6:G672)-SUMIF(A$6:A672,"&lt;&gt;""",H$6:H672),"")</f>
        <v/>
      </c>
      <c r="J672" s="26" t="n"/>
    </row>
    <row r="673" ht="15" customHeight="1">
      <c r="A673" s="26" t="n"/>
      <c r="B673" s="26" t="n"/>
      <c r="C673" s="26" t="n"/>
      <c r="D673" s="26" t="n"/>
      <c r="E673" s="26" t="n"/>
      <c r="F673" s="26" t="n"/>
      <c r="G673" s="26" t="n"/>
      <c r="H673" s="26" t="n"/>
      <c r="I673" s="26">
        <f>IFERROR(SUMIF(A$6:A673,"&lt;&gt;""",G$6:G673)-SUMIF(A$6:A673,"&lt;&gt;""",H$6:H673),"")</f>
        <v/>
      </c>
      <c r="J673" s="26" t="n"/>
    </row>
    <row r="674" ht="15" customHeight="1">
      <c r="A674" s="26" t="n"/>
      <c r="B674" s="26" t="n"/>
      <c r="C674" s="26" t="n"/>
      <c r="D674" s="26" t="n"/>
      <c r="E674" s="26" t="n"/>
      <c r="F674" s="26" t="n"/>
      <c r="G674" s="26" t="n"/>
      <c r="H674" s="26" t="n"/>
      <c r="I674" s="26">
        <f>IFERROR(SUMIF(A$6:A674,"&lt;&gt;""",G$6:G674)-SUMIF(A$6:A674,"&lt;&gt;""",H$6:H674),"")</f>
        <v/>
      </c>
      <c r="J674" s="26" t="n"/>
    </row>
    <row r="675" ht="15" customHeight="1">
      <c r="A675" s="26" t="n"/>
      <c r="B675" s="26" t="n"/>
      <c r="C675" s="26" t="n"/>
      <c r="D675" s="26" t="n"/>
      <c r="E675" s="26" t="n"/>
      <c r="F675" s="26" t="n"/>
      <c r="G675" s="26" t="n"/>
      <c r="H675" s="26" t="n"/>
      <c r="I675" s="26">
        <f>IFERROR(SUMIF(A$6:A675,"&lt;&gt;""",G$6:G675)-SUMIF(A$6:A675,"&lt;&gt;""",H$6:H675),"")</f>
        <v/>
      </c>
      <c r="J675" s="26" t="n"/>
    </row>
    <row r="676" ht="15" customHeight="1">
      <c r="A676" s="26" t="n"/>
      <c r="B676" s="26" t="n"/>
      <c r="C676" s="26" t="n"/>
      <c r="D676" s="26" t="n"/>
      <c r="E676" s="26" t="n"/>
      <c r="F676" s="26" t="n"/>
      <c r="G676" s="26" t="n"/>
      <c r="H676" s="26" t="n"/>
      <c r="I676" s="26">
        <f>IFERROR(SUMIF(A$6:A676,"&lt;&gt;""",G$6:G676)-SUMIF(A$6:A676,"&lt;&gt;""",H$6:H676),"")</f>
        <v/>
      </c>
      <c r="J676" s="26" t="n"/>
    </row>
    <row r="677" ht="15" customHeight="1">
      <c r="A677" s="26" t="n"/>
      <c r="B677" s="26" t="n"/>
      <c r="C677" s="26" t="n"/>
      <c r="D677" s="26" t="n"/>
      <c r="E677" s="26" t="n"/>
      <c r="F677" s="26" t="n"/>
      <c r="G677" s="26" t="n"/>
      <c r="H677" s="26" t="n"/>
      <c r="I677" s="26">
        <f>IFERROR(SUMIF(A$6:A677,"&lt;&gt;""",G$6:G677)-SUMIF(A$6:A677,"&lt;&gt;""",H$6:H677),"")</f>
        <v/>
      </c>
      <c r="J677" s="26" t="n"/>
    </row>
    <row r="678" ht="15" customHeight="1">
      <c r="A678" s="26" t="n"/>
      <c r="B678" s="26" t="n"/>
      <c r="C678" s="26" t="n"/>
      <c r="D678" s="26" t="n"/>
      <c r="E678" s="26" t="n"/>
      <c r="F678" s="26" t="n"/>
      <c r="G678" s="26" t="n"/>
      <c r="H678" s="26" t="n"/>
      <c r="I678" s="26">
        <f>IFERROR(SUMIF(A$6:A678,"&lt;&gt;""",G$6:G678)-SUMIF(A$6:A678,"&lt;&gt;""",H$6:H678),"")</f>
        <v/>
      </c>
      <c r="J678" s="26" t="n"/>
    </row>
    <row r="679" ht="15" customHeight="1">
      <c r="A679" s="26" t="n"/>
      <c r="B679" s="26" t="n"/>
      <c r="C679" s="26" t="n"/>
      <c r="D679" s="26" t="n"/>
      <c r="E679" s="26" t="n"/>
      <c r="F679" s="26" t="n"/>
      <c r="G679" s="26" t="n"/>
      <c r="H679" s="26" t="n"/>
      <c r="I679" s="26">
        <f>IFERROR(SUMIF(A$6:A679,"&lt;&gt;""",G$6:G679)-SUMIF(A$6:A679,"&lt;&gt;""",H$6:H679),"")</f>
        <v/>
      </c>
      <c r="J679" s="26" t="n"/>
    </row>
    <row r="680" ht="15" customHeight="1">
      <c r="A680" s="26" t="n"/>
      <c r="B680" s="26" t="n"/>
      <c r="C680" s="26" t="n"/>
      <c r="D680" s="26" t="n"/>
      <c r="E680" s="26" t="n"/>
      <c r="F680" s="26" t="n"/>
      <c r="G680" s="26" t="n"/>
      <c r="H680" s="26" t="n"/>
      <c r="I680" s="26">
        <f>IFERROR(SUMIF(A$6:A680,"&lt;&gt;""",G$6:G680)-SUMIF(A$6:A680,"&lt;&gt;""",H$6:H680),"")</f>
        <v/>
      </c>
      <c r="J680" s="26" t="n"/>
    </row>
    <row r="681" ht="15" customHeight="1">
      <c r="A681" s="26" t="n"/>
      <c r="B681" s="26" t="n"/>
      <c r="C681" s="26" t="n"/>
      <c r="D681" s="26" t="n"/>
      <c r="E681" s="26" t="n"/>
      <c r="F681" s="26" t="n"/>
      <c r="G681" s="26" t="n"/>
      <c r="H681" s="26" t="n"/>
      <c r="I681" s="26">
        <f>IFERROR(SUMIF(A$6:A681,"&lt;&gt;""",G$6:G681)-SUMIF(A$6:A681,"&lt;&gt;""",H$6:H681),"")</f>
        <v/>
      </c>
      <c r="J681" s="26" t="n"/>
    </row>
    <row r="682" ht="15" customHeight="1">
      <c r="A682" s="26" t="n"/>
      <c r="B682" s="26" t="n"/>
      <c r="C682" s="26" t="n"/>
      <c r="D682" s="26" t="n"/>
      <c r="E682" s="26" t="n"/>
      <c r="F682" s="26" t="n"/>
      <c r="G682" s="26" t="n"/>
      <c r="H682" s="26" t="n"/>
      <c r="I682" s="26">
        <f>IFERROR(SUMIF(A$6:A682,"&lt;&gt;""",G$6:G682)-SUMIF(A$6:A682,"&lt;&gt;""",H$6:H682),"")</f>
        <v/>
      </c>
      <c r="J682" s="26" t="n"/>
    </row>
    <row r="683" ht="15" customHeight="1">
      <c r="A683" s="26" t="n"/>
      <c r="B683" s="26" t="n"/>
      <c r="C683" s="26" t="n"/>
      <c r="D683" s="26" t="n"/>
      <c r="E683" s="26" t="n"/>
      <c r="F683" s="26" t="n"/>
      <c r="G683" s="26" t="n"/>
      <c r="H683" s="26" t="n"/>
      <c r="I683" s="26">
        <f>IFERROR(SUMIF(A$6:A683,"&lt;&gt;""",G$6:G683)-SUMIF(A$6:A683,"&lt;&gt;""",H$6:H683),"")</f>
        <v/>
      </c>
      <c r="J683" s="26" t="n"/>
    </row>
    <row r="684" ht="15" customHeight="1">
      <c r="A684" s="26" t="n"/>
      <c r="B684" s="26" t="n"/>
      <c r="C684" s="26" t="n"/>
      <c r="D684" s="26" t="n"/>
      <c r="E684" s="26" t="n"/>
      <c r="F684" s="26" t="n"/>
      <c r="G684" s="26" t="n"/>
      <c r="H684" s="26" t="n"/>
      <c r="I684" s="26">
        <f>IFERROR(SUMIF(A$6:A684,"&lt;&gt;""",G$6:G684)-SUMIF(A$6:A684,"&lt;&gt;""",H$6:H684),"")</f>
        <v/>
      </c>
      <c r="J684" s="26" t="n"/>
    </row>
    <row r="685" ht="15" customHeight="1">
      <c r="A685" s="26" t="n"/>
      <c r="B685" s="26" t="n"/>
      <c r="C685" s="26" t="n"/>
      <c r="D685" s="26" t="n"/>
      <c r="E685" s="26" t="n"/>
      <c r="F685" s="26" t="n"/>
      <c r="G685" s="26" t="n"/>
      <c r="H685" s="26" t="n"/>
      <c r="I685" s="26">
        <f>IFERROR(SUMIF(A$6:A685,"&lt;&gt;""",G$6:G685)-SUMIF(A$6:A685,"&lt;&gt;""",H$6:H685),"")</f>
        <v/>
      </c>
      <c r="J685" s="26" t="n"/>
    </row>
    <row r="686" ht="15" customHeight="1">
      <c r="A686" s="26" t="n"/>
      <c r="B686" s="26" t="n"/>
      <c r="C686" s="26" t="n"/>
      <c r="D686" s="26" t="n"/>
      <c r="E686" s="26" t="n"/>
      <c r="F686" s="26" t="n"/>
      <c r="G686" s="26" t="n"/>
      <c r="H686" s="26" t="n"/>
      <c r="I686" s="26">
        <f>IFERROR(SUMIF(A$6:A686,"&lt;&gt;""",G$6:G686)-SUMIF(A$6:A686,"&lt;&gt;""",H$6:H686),"")</f>
        <v/>
      </c>
      <c r="J686" s="26" t="n"/>
    </row>
    <row r="687" ht="15" customHeight="1">
      <c r="A687" s="26" t="n"/>
      <c r="B687" s="26" t="n"/>
      <c r="C687" s="26" t="n"/>
      <c r="D687" s="26" t="n"/>
      <c r="E687" s="26" t="n"/>
      <c r="F687" s="26" t="n"/>
      <c r="G687" s="26" t="n"/>
      <c r="H687" s="26" t="n"/>
      <c r="I687" s="26">
        <f>IFERROR(SUMIF(A$6:A687,"&lt;&gt;""",G$6:G687)-SUMIF(A$6:A687,"&lt;&gt;""",H$6:H687),"")</f>
        <v/>
      </c>
      <c r="J687" s="26" t="n"/>
    </row>
    <row r="688" ht="15" customHeight="1">
      <c r="A688" s="26" t="n"/>
      <c r="B688" s="26" t="n"/>
      <c r="C688" s="26" t="n"/>
      <c r="D688" s="26" t="n"/>
      <c r="E688" s="26" t="n"/>
      <c r="F688" s="26" t="n"/>
      <c r="G688" s="26" t="n"/>
      <c r="H688" s="26" t="n"/>
      <c r="I688" s="26">
        <f>IFERROR(SUMIF(A$6:A688,"&lt;&gt;""",G$6:G688)-SUMIF(A$6:A688,"&lt;&gt;""",H$6:H688),"")</f>
        <v/>
      </c>
      <c r="J688" s="26" t="n"/>
    </row>
    <row r="689" ht="15" customHeight="1">
      <c r="A689" s="26" t="n"/>
      <c r="B689" s="26" t="n"/>
      <c r="C689" s="26" t="n"/>
      <c r="D689" s="26" t="n"/>
      <c r="E689" s="26" t="n"/>
      <c r="F689" s="26" t="n"/>
      <c r="G689" s="26" t="n"/>
      <c r="H689" s="26" t="n"/>
      <c r="I689" s="26">
        <f>IFERROR(SUMIF(A$6:A689,"&lt;&gt;""",G$6:G689)-SUMIF(A$6:A689,"&lt;&gt;""",H$6:H689),"")</f>
        <v/>
      </c>
      <c r="J689" s="26" t="n"/>
    </row>
    <row r="690" ht="15" customHeight="1">
      <c r="A690" s="26" t="n"/>
      <c r="B690" s="26" t="n"/>
      <c r="C690" s="26" t="n"/>
      <c r="D690" s="26" t="n"/>
      <c r="E690" s="26" t="n"/>
      <c r="F690" s="26" t="n"/>
      <c r="G690" s="26" t="n"/>
      <c r="H690" s="26" t="n"/>
      <c r="I690" s="26">
        <f>IFERROR(SUMIF(A$6:A690,"&lt;&gt;""",G$6:G690)-SUMIF(A$6:A690,"&lt;&gt;""",H$6:H690),"")</f>
        <v/>
      </c>
      <c r="J690" s="26" t="n"/>
    </row>
    <row r="691" ht="15" customHeight="1">
      <c r="A691" s="26" t="n"/>
      <c r="B691" s="26" t="n"/>
      <c r="C691" s="26" t="n"/>
      <c r="D691" s="26" t="n"/>
      <c r="E691" s="26" t="n"/>
      <c r="F691" s="26" t="n"/>
      <c r="G691" s="26" t="n"/>
      <c r="H691" s="26" t="n"/>
      <c r="I691" s="26">
        <f>IFERROR(SUMIF(A$6:A691,"&lt;&gt;""",G$6:G691)-SUMIF(A$6:A691,"&lt;&gt;""",H$6:H691),"")</f>
        <v/>
      </c>
      <c r="J691" s="26" t="n"/>
    </row>
    <row r="692" ht="15" customHeight="1">
      <c r="A692" s="26" t="n"/>
      <c r="B692" s="26" t="n"/>
      <c r="C692" s="26" t="n"/>
      <c r="D692" s="26" t="n"/>
      <c r="E692" s="26" t="n"/>
      <c r="F692" s="26" t="n"/>
      <c r="G692" s="26" t="n"/>
      <c r="H692" s="26" t="n"/>
      <c r="I692" s="26">
        <f>IFERROR(SUMIF(A$6:A692,"&lt;&gt;""",G$6:G692)-SUMIF(A$6:A692,"&lt;&gt;""",H$6:H692),"")</f>
        <v/>
      </c>
      <c r="J692" s="26" t="n"/>
    </row>
    <row r="693" ht="15" customHeight="1">
      <c r="A693" s="26" t="n"/>
      <c r="B693" s="26" t="n"/>
      <c r="C693" s="26" t="n"/>
      <c r="D693" s="26" t="n"/>
      <c r="E693" s="26" t="n"/>
      <c r="F693" s="26" t="n"/>
      <c r="G693" s="26" t="n"/>
      <c r="H693" s="26" t="n"/>
      <c r="I693" s="26">
        <f>IFERROR(SUMIF(A$6:A693,"&lt;&gt;""",G$6:G693)-SUMIF(A$6:A693,"&lt;&gt;""",H$6:H693),"")</f>
        <v/>
      </c>
      <c r="J693" s="26" t="n"/>
    </row>
    <row r="694" ht="15" customHeight="1">
      <c r="A694" s="26" t="n"/>
      <c r="B694" s="26" t="n"/>
      <c r="C694" s="26" t="n"/>
      <c r="D694" s="26" t="n"/>
      <c r="E694" s="26" t="n"/>
      <c r="F694" s="26" t="n"/>
      <c r="G694" s="26" t="n"/>
      <c r="H694" s="26" t="n"/>
      <c r="I694" s="26">
        <f>IFERROR(SUMIF(A$6:A694,"&lt;&gt;""",G$6:G694)-SUMIF(A$6:A694,"&lt;&gt;""",H$6:H694),"")</f>
        <v/>
      </c>
      <c r="J694" s="26" t="n"/>
    </row>
    <row r="695" ht="15" customHeight="1">
      <c r="A695" s="26" t="n"/>
      <c r="B695" s="26" t="n"/>
      <c r="C695" s="26" t="n"/>
      <c r="D695" s="26" t="n"/>
      <c r="E695" s="26" t="n"/>
      <c r="F695" s="26" t="n"/>
      <c r="G695" s="26" t="n"/>
      <c r="H695" s="26" t="n"/>
      <c r="I695" s="26">
        <f>IFERROR(SUMIF(A$6:A695,"&lt;&gt;""",G$6:G695)-SUMIF(A$6:A695,"&lt;&gt;""",H$6:H695),"")</f>
        <v/>
      </c>
      <c r="J695" s="26" t="n"/>
    </row>
    <row r="696" ht="15" customHeight="1">
      <c r="A696" s="26" t="n"/>
      <c r="B696" s="26" t="n"/>
      <c r="C696" s="26" t="n"/>
      <c r="D696" s="26" t="n"/>
      <c r="E696" s="26" t="n"/>
      <c r="F696" s="26" t="n"/>
      <c r="G696" s="26" t="n"/>
      <c r="H696" s="26" t="n"/>
      <c r="I696" s="26">
        <f>IFERROR(SUMIF(A$6:A696,"&lt;&gt;""",G$6:G696)-SUMIF(A$6:A696,"&lt;&gt;""",H$6:H696),"")</f>
        <v/>
      </c>
      <c r="J696" s="26" t="n"/>
    </row>
    <row r="697" ht="15" customHeight="1">
      <c r="A697" s="26" t="n"/>
      <c r="B697" s="26" t="n"/>
      <c r="C697" s="26" t="n"/>
      <c r="D697" s="26" t="n"/>
      <c r="E697" s="26" t="n"/>
      <c r="F697" s="26" t="n"/>
      <c r="G697" s="26" t="n"/>
      <c r="H697" s="26" t="n"/>
      <c r="I697" s="26">
        <f>IFERROR(SUMIF(A$6:A697,"&lt;&gt;""",G$6:G697)-SUMIF(A$6:A697,"&lt;&gt;""",H$6:H697),"")</f>
        <v/>
      </c>
      <c r="J697" s="26" t="n"/>
    </row>
    <row r="698" ht="15" customHeight="1">
      <c r="A698" s="26" t="n"/>
      <c r="B698" s="26" t="n"/>
      <c r="C698" s="26" t="n"/>
      <c r="D698" s="26" t="n"/>
      <c r="E698" s="26" t="n"/>
      <c r="F698" s="26" t="n"/>
      <c r="G698" s="26" t="n"/>
      <c r="H698" s="26" t="n"/>
      <c r="I698" s="26">
        <f>IFERROR(SUMIF(A$6:A698,"&lt;&gt;""",G$6:G698)-SUMIF(A$6:A698,"&lt;&gt;""",H$6:H698),"")</f>
        <v/>
      </c>
      <c r="J698" s="26" t="n"/>
    </row>
    <row r="699" ht="15" customHeight="1">
      <c r="A699" s="26" t="n"/>
      <c r="B699" s="26" t="n"/>
      <c r="C699" s="26" t="n"/>
      <c r="D699" s="26" t="n"/>
      <c r="E699" s="26" t="n"/>
      <c r="F699" s="26" t="n"/>
      <c r="G699" s="26" t="n"/>
      <c r="H699" s="26" t="n"/>
      <c r="I699" s="26">
        <f>IFERROR(SUMIF(A$6:A699,"&lt;&gt;""",G$6:G699)-SUMIF(A$6:A699,"&lt;&gt;""",H$6:H699),"")</f>
        <v/>
      </c>
      <c r="J699" s="26" t="n"/>
    </row>
    <row r="700" ht="15" customHeight="1">
      <c r="A700" s="26" t="n"/>
      <c r="B700" s="26" t="n"/>
      <c r="C700" s="26" t="n"/>
      <c r="D700" s="26" t="n"/>
      <c r="E700" s="26" t="n"/>
      <c r="F700" s="26" t="n"/>
      <c r="G700" s="26" t="n"/>
      <c r="H700" s="26" t="n"/>
      <c r="I700" s="26">
        <f>IFERROR(SUMIF(A$6:A700,"&lt;&gt;""",G$6:G700)-SUMIF(A$6:A700,"&lt;&gt;""",H$6:H700),"")</f>
        <v/>
      </c>
      <c r="J700" s="26" t="n"/>
    </row>
    <row r="701" ht="15" customHeight="1">
      <c r="A701" s="26" t="n"/>
      <c r="B701" s="26" t="n"/>
      <c r="C701" s="26" t="n"/>
      <c r="D701" s="26" t="n"/>
      <c r="E701" s="26" t="n"/>
      <c r="F701" s="26" t="n"/>
      <c r="G701" s="26" t="n"/>
      <c r="H701" s="26" t="n"/>
      <c r="I701" s="26">
        <f>IFERROR(SUMIF(A$6:A701,"&lt;&gt;""",G$6:G701)-SUMIF(A$6:A701,"&lt;&gt;""",H$6:H701),"")</f>
        <v/>
      </c>
      <c r="J701" s="26" t="n"/>
    </row>
    <row r="702" ht="15" customHeight="1">
      <c r="A702" s="26" t="n"/>
      <c r="B702" s="26" t="n"/>
      <c r="C702" s="26" t="n"/>
      <c r="D702" s="26" t="n"/>
      <c r="E702" s="26" t="n"/>
      <c r="F702" s="26" t="n"/>
      <c r="G702" s="26" t="n"/>
      <c r="H702" s="26" t="n"/>
      <c r="I702" s="26">
        <f>IFERROR(SUMIF(A$6:A702,"&lt;&gt;""",G$6:G702)-SUMIF(A$6:A702,"&lt;&gt;""",H$6:H702),"")</f>
        <v/>
      </c>
      <c r="J702" s="26" t="n"/>
    </row>
    <row r="703" ht="15" customHeight="1">
      <c r="A703" s="26" t="n"/>
      <c r="B703" s="26" t="n"/>
      <c r="C703" s="26" t="n"/>
      <c r="D703" s="26" t="n"/>
      <c r="E703" s="26" t="n"/>
      <c r="F703" s="26" t="n"/>
      <c r="G703" s="26" t="n"/>
      <c r="H703" s="26" t="n"/>
      <c r="I703" s="26">
        <f>IFERROR(SUMIF(A$6:A703,"&lt;&gt;""",G$6:G703)-SUMIF(A$6:A703,"&lt;&gt;""",H$6:H703),"")</f>
        <v/>
      </c>
      <c r="J703" s="26" t="n"/>
    </row>
    <row r="704" ht="15" customHeight="1">
      <c r="A704" s="26" t="n"/>
      <c r="B704" s="26" t="n"/>
      <c r="C704" s="26" t="n"/>
      <c r="D704" s="26" t="n"/>
      <c r="E704" s="26" t="n"/>
      <c r="F704" s="26" t="n"/>
      <c r="G704" s="26" t="n"/>
      <c r="H704" s="26" t="n"/>
      <c r="I704" s="26">
        <f>IFERROR(SUMIF(A$6:A704,"&lt;&gt;""",G$6:G704)-SUMIF(A$6:A704,"&lt;&gt;""",H$6:H704),"")</f>
        <v/>
      </c>
      <c r="J704" s="26" t="n"/>
    </row>
    <row r="705" ht="15" customHeight="1">
      <c r="A705" s="26" t="n"/>
      <c r="B705" s="26" t="n"/>
      <c r="C705" s="26" t="n"/>
      <c r="D705" s="26" t="n"/>
      <c r="E705" s="26" t="n"/>
      <c r="F705" s="26" t="n"/>
      <c r="G705" s="26" t="n"/>
      <c r="H705" s="26" t="n"/>
      <c r="I705" s="26">
        <f>IFERROR(SUMIF(A$6:A705,"&lt;&gt;""",G$6:G705)-SUMIF(A$6:A705,"&lt;&gt;""",H$6:H705),"")</f>
        <v/>
      </c>
      <c r="J705" s="26" t="n"/>
    </row>
    <row r="706" ht="15" customHeight="1">
      <c r="A706" s="26" t="n"/>
      <c r="B706" s="26" t="n"/>
      <c r="C706" s="26" t="n"/>
      <c r="D706" s="26" t="n"/>
      <c r="E706" s="26" t="n"/>
      <c r="F706" s="26" t="n"/>
      <c r="G706" s="26" t="n"/>
      <c r="H706" s="26" t="n"/>
      <c r="I706" s="26">
        <f>IFERROR(SUMIF(A$6:A706,"&lt;&gt;""",G$6:G706)-SUMIF(A$6:A706,"&lt;&gt;""",H$6:H706),"")</f>
        <v/>
      </c>
      <c r="J706" s="26" t="n"/>
    </row>
    <row r="707" ht="15" customHeight="1">
      <c r="A707" s="26" t="n"/>
      <c r="B707" s="26" t="n"/>
      <c r="C707" s="26" t="n"/>
      <c r="D707" s="26" t="n"/>
      <c r="E707" s="26" t="n"/>
      <c r="F707" s="26" t="n"/>
      <c r="G707" s="26" t="n"/>
      <c r="H707" s="26" t="n"/>
      <c r="I707" s="26">
        <f>IFERROR(SUMIF(A$6:A707,"&lt;&gt;""",G$6:G707)-SUMIF(A$6:A707,"&lt;&gt;""",H$6:H707),"")</f>
        <v/>
      </c>
      <c r="J707" s="26" t="n"/>
    </row>
    <row r="708" ht="15" customHeight="1">
      <c r="A708" s="26" t="n"/>
      <c r="B708" s="26" t="n"/>
      <c r="C708" s="26" t="n"/>
      <c r="D708" s="26" t="n"/>
      <c r="E708" s="26" t="n"/>
      <c r="F708" s="26" t="n"/>
      <c r="G708" s="26" t="n"/>
      <c r="H708" s="26" t="n"/>
      <c r="I708" s="26">
        <f>IFERROR(SUMIF(A$6:A708,"&lt;&gt;""",G$6:G708)-SUMIF(A$6:A708,"&lt;&gt;""",H$6:H708),"")</f>
        <v/>
      </c>
      <c r="J708" s="26" t="n"/>
    </row>
    <row r="709" ht="15" customHeight="1">
      <c r="A709" s="26" t="n"/>
      <c r="B709" s="26" t="n"/>
      <c r="C709" s="26" t="n"/>
      <c r="D709" s="26" t="n"/>
      <c r="E709" s="26" t="n"/>
      <c r="F709" s="26" t="n"/>
      <c r="G709" s="26" t="n"/>
      <c r="H709" s="26" t="n"/>
      <c r="I709" s="26">
        <f>IFERROR(SUMIF(A$6:A709,"&lt;&gt;""",G$6:G709)-SUMIF(A$6:A709,"&lt;&gt;""",H$6:H709),"")</f>
        <v/>
      </c>
      <c r="J709" s="26" t="n"/>
    </row>
    <row r="710" ht="15" customHeight="1">
      <c r="A710" s="26" t="n"/>
      <c r="B710" s="26" t="n"/>
      <c r="C710" s="26" t="n"/>
      <c r="D710" s="26" t="n"/>
      <c r="E710" s="26" t="n"/>
      <c r="F710" s="26" t="n"/>
      <c r="G710" s="26" t="n"/>
      <c r="H710" s="26" t="n"/>
      <c r="I710" s="26">
        <f>IFERROR(SUMIF(A$6:A710,"&lt;&gt;""",G$6:G710)-SUMIF(A$6:A710,"&lt;&gt;""",H$6:H710),"")</f>
        <v/>
      </c>
      <c r="J710" s="26" t="n"/>
    </row>
    <row r="711" ht="15" customHeight="1">
      <c r="A711" s="26" t="n"/>
      <c r="B711" s="26" t="n"/>
      <c r="C711" s="26" t="n"/>
      <c r="D711" s="26" t="n"/>
      <c r="E711" s="26" t="n"/>
      <c r="F711" s="26" t="n"/>
      <c r="G711" s="26" t="n"/>
      <c r="H711" s="26" t="n"/>
      <c r="I711" s="26">
        <f>IFERROR(SUMIF(A$6:A711,"&lt;&gt;""",G$6:G711)-SUMIF(A$6:A711,"&lt;&gt;""",H$6:H711),"")</f>
        <v/>
      </c>
      <c r="J711" s="26" t="n"/>
    </row>
    <row r="712" ht="15" customHeight="1">
      <c r="A712" s="26" t="n"/>
      <c r="B712" s="26" t="n"/>
      <c r="C712" s="26" t="n"/>
      <c r="D712" s="26" t="n"/>
      <c r="E712" s="26" t="n"/>
      <c r="F712" s="26" t="n"/>
      <c r="G712" s="26" t="n"/>
      <c r="H712" s="26" t="n"/>
      <c r="I712" s="26">
        <f>IFERROR(SUMIF(A$6:A712,"&lt;&gt;""",G$6:G712)-SUMIF(A$6:A712,"&lt;&gt;""",H$6:H712),"")</f>
        <v/>
      </c>
      <c r="J712" s="26" t="n"/>
    </row>
    <row r="713" ht="15" customHeight="1">
      <c r="A713" s="26" t="n"/>
      <c r="B713" s="26" t="n"/>
      <c r="C713" s="26" t="n"/>
      <c r="D713" s="26" t="n"/>
      <c r="E713" s="26" t="n"/>
      <c r="F713" s="26" t="n"/>
      <c r="G713" s="26" t="n"/>
      <c r="H713" s="26" t="n"/>
      <c r="I713" s="26">
        <f>IFERROR(SUMIF(A$6:A713,"&lt;&gt;""",G$6:G713)-SUMIF(A$6:A713,"&lt;&gt;""",H$6:H713),"")</f>
        <v/>
      </c>
      <c r="J713" s="26" t="n"/>
    </row>
    <row r="714" ht="15" customHeight="1">
      <c r="A714" s="26" t="n"/>
      <c r="B714" s="26" t="n"/>
      <c r="C714" s="26" t="n"/>
      <c r="D714" s="26" t="n"/>
      <c r="E714" s="26" t="n"/>
      <c r="F714" s="26" t="n"/>
      <c r="G714" s="26" t="n"/>
      <c r="H714" s="26" t="n"/>
      <c r="I714" s="26">
        <f>IFERROR(SUMIF(A$6:A714,"&lt;&gt;""",G$6:G714)-SUMIF(A$6:A714,"&lt;&gt;""",H$6:H714),"")</f>
        <v/>
      </c>
      <c r="J714" s="26" t="n"/>
    </row>
    <row r="715" ht="15" customHeight="1">
      <c r="A715" s="26" t="n"/>
      <c r="B715" s="26" t="n"/>
      <c r="C715" s="26" t="n"/>
      <c r="D715" s="26" t="n"/>
      <c r="E715" s="26" t="n"/>
      <c r="F715" s="26" t="n"/>
      <c r="G715" s="26" t="n"/>
      <c r="H715" s="26" t="n"/>
      <c r="I715" s="26">
        <f>IFERROR(SUMIF(A$6:A715,"&lt;&gt;""",G$6:G715)-SUMIF(A$6:A715,"&lt;&gt;""",H$6:H715),"")</f>
        <v/>
      </c>
      <c r="J715" s="26" t="n"/>
    </row>
    <row r="716" ht="15" customHeight="1">
      <c r="A716" s="26" t="n"/>
      <c r="B716" s="26" t="n"/>
      <c r="C716" s="26" t="n"/>
      <c r="D716" s="26" t="n"/>
      <c r="E716" s="26" t="n"/>
      <c r="F716" s="26" t="n"/>
      <c r="G716" s="26" t="n"/>
      <c r="H716" s="26" t="n"/>
      <c r="I716" s="26">
        <f>IFERROR(SUMIF(A$6:A716,"&lt;&gt;""",G$6:G716)-SUMIF(A$6:A716,"&lt;&gt;""",H$6:H716),"")</f>
        <v/>
      </c>
      <c r="J716" s="26" t="n"/>
    </row>
    <row r="717" ht="15" customHeight="1">
      <c r="A717" s="26" t="n"/>
      <c r="B717" s="26" t="n"/>
      <c r="C717" s="26" t="n"/>
      <c r="D717" s="26" t="n"/>
      <c r="E717" s="26" t="n"/>
      <c r="F717" s="26" t="n"/>
      <c r="G717" s="26" t="n"/>
      <c r="H717" s="26" t="n"/>
      <c r="I717" s="26">
        <f>IFERROR(SUMIF(A$6:A717,"&lt;&gt;""",G$6:G717)-SUMIF(A$6:A717,"&lt;&gt;""",H$6:H717),"")</f>
        <v/>
      </c>
      <c r="J717" s="26" t="n"/>
    </row>
    <row r="718" ht="15" customHeight="1">
      <c r="A718" s="26" t="n"/>
      <c r="B718" s="26" t="n"/>
      <c r="C718" s="26" t="n"/>
      <c r="D718" s="26" t="n"/>
      <c r="E718" s="26" t="n"/>
      <c r="F718" s="26" t="n"/>
      <c r="G718" s="26" t="n"/>
      <c r="H718" s="26" t="n"/>
      <c r="I718" s="26">
        <f>IFERROR(SUMIF(A$6:A718,"&lt;&gt;""",G$6:G718)-SUMIF(A$6:A718,"&lt;&gt;""",H$6:H718),"")</f>
        <v/>
      </c>
      <c r="J718" s="26" t="n"/>
    </row>
    <row r="719" ht="15" customHeight="1">
      <c r="A719" s="26" t="n"/>
      <c r="B719" s="26" t="n"/>
      <c r="C719" s="26" t="n"/>
      <c r="D719" s="26" t="n"/>
      <c r="E719" s="26" t="n"/>
      <c r="F719" s="26" t="n"/>
      <c r="G719" s="26" t="n"/>
      <c r="H719" s="26" t="n"/>
      <c r="I719" s="26">
        <f>IFERROR(SUMIF(A$6:A719,"&lt;&gt;""",G$6:G719)-SUMIF(A$6:A719,"&lt;&gt;""",H$6:H719),"")</f>
        <v/>
      </c>
      <c r="J719" s="26" t="n"/>
    </row>
    <row r="720" ht="15" customHeight="1">
      <c r="A720" s="26" t="n"/>
      <c r="B720" s="26" t="n"/>
      <c r="C720" s="26" t="n"/>
      <c r="D720" s="26" t="n"/>
      <c r="E720" s="26" t="n"/>
      <c r="F720" s="26" t="n"/>
      <c r="G720" s="26" t="n"/>
      <c r="H720" s="26" t="n"/>
      <c r="I720" s="26">
        <f>IFERROR(SUMIF(A$6:A720,"&lt;&gt;""",G$6:G720)-SUMIF(A$6:A720,"&lt;&gt;""",H$6:H720),"")</f>
        <v/>
      </c>
      <c r="J720" s="26" t="n"/>
    </row>
    <row r="721" ht="15" customHeight="1">
      <c r="A721" s="26" t="n"/>
      <c r="B721" s="26" t="n"/>
      <c r="C721" s="26" t="n"/>
      <c r="D721" s="26" t="n"/>
      <c r="E721" s="26" t="n"/>
      <c r="F721" s="26" t="n"/>
      <c r="G721" s="26" t="n"/>
      <c r="H721" s="26" t="n"/>
      <c r="I721" s="26">
        <f>IFERROR(SUMIF(A$6:A721,"&lt;&gt;""",G$6:G721)-SUMIF(A$6:A721,"&lt;&gt;""",H$6:H721),"")</f>
        <v/>
      </c>
      <c r="J721" s="26" t="n"/>
    </row>
    <row r="722" ht="15" customHeight="1">
      <c r="A722" s="26" t="n"/>
      <c r="B722" s="26" t="n"/>
      <c r="C722" s="26" t="n"/>
      <c r="D722" s="26" t="n"/>
      <c r="E722" s="26" t="n"/>
      <c r="F722" s="26" t="n"/>
      <c r="G722" s="26" t="n"/>
      <c r="H722" s="26" t="n"/>
      <c r="I722" s="26">
        <f>IFERROR(SUMIF(A$6:A722,"&lt;&gt;""",G$6:G722)-SUMIF(A$6:A722,"&lt;&gt;""",H$6:H722),"")</f>
        <v/>
      </c>
      <c r="J722" s="26" t="n"/>
    </row>
    <row r="723" ht="15" customHeight="1">
      <c r="A723" s="26" t="n"/>
      <c r="B723" s="26" t="n"/>
      <c r="C723" s="26" t="n"/>
      <c r="D723" s="26" t="n"/>
      <c r="E723" s="26" t="n"/>
      <c r="F723" s="26" t="n"/>
      <c r="G723" s="26" t="n"/>
      <c r="H723" s="26" t="n"/>
      <c r="I723" s="26">
        <f>IFERROR(SUMIF(A$6:A723,"&lt;&gt;""",G$6:G723)-SUMIF(A$6:A723,"&lt;&gt;""",H$6:H723),"")</f>
        <v/>
      </c>
      <c r="J723" s="26" t="n"/>
    </row>
    <row r="724" ht="15" customHeight="1">
      <c r="A724" s="26" t="n"/>
      <c r="B724" s="26" t="n"/>
      <c r="C724" s="26" t="n"/>
      <c r="D724" s="26" t="n"/>
      <c r="E724" s="26" t="n"/>
      <c r="F724" s="26" t="n"/>
      <c r="G724" s="26" t="n"/>
      <c r="H724" s="26" t="n"/>
      <c r="I724" s="26">
        <f>IFERROR(SUMIF(A$6:A724,"&lt;&gt;""",G$6:G724)-SUMIF(A$6:A724,"&lt;&gt;""",H$6:H724),"")</f>
        <v/>
      </c>
      <c r="J724" s="26" t="n"/>
    </row>
    <row r="725" ht="15" customHeight="1">
      <c r="A725" s="26" t="n"/>
      <c r="B725" s="26" t="n"/>
      <c r="C725" s="26" t="n"/>
      <c r="D725" s="26" t="n"/>
      <c r="E725" s="26" t="n"/>
      <c r="F725" s="26" t="n"/>
      <c r="G725" s="26" t="n"/>
      <c r="H725" s="26" t="n"/>
      <c r="I725" s="26">
        <f>IFERROR(SUMIF(A$6:A725,"&lt;&gt;""",G$6:G725)-SUMIF(A$6:A725,"&lt;&gt;""",H$6:H725),"")</f>
        <v/>
      </c>
      <c r="J725" s="26" t="n"/>
    </row>
    <row r="726" ht="15" customHeight="1">
      <c r="A726" s="26" t="n"/>
      <c r="B726" s="26" t="n"/>
      <c r="C726" s="26" t="n"/>
      <c r="D726" s="26" t="n"/>
      <c r="E726" s="26" t="n"/>
      <c r="F726" s="26" t="n"/>
      <c r="G726" s="26" t="n"/>
      <c r="H726" s="26" t="n"/>
      <c r="I726" s="26">
        <f>IFERROR(SUMIF(A$6:A726,"&lt;&gt;""",G$6:G726)-SUMIF(A$6:A726,"&lt;&gt;""",H$6:H726),"")</f>
        <v/>
      </c>
      <c r="J726" s="26" t="n"/>
    </row>
    <row r="727" ht="15" customHeight="1">
      <c r="A727" s="26" t="n"/>
      <c r="B727" s="26" t="n"/>
      <c r="C727" s="26" t="n"/>
      <c r="D727" s="26" t="n"/>
      <c r="E727" s="26" t="n"/>
      <c r="F727" s="26" t="n"/>
      <c r="G727" s="26" t="n"/>
      <c r="H727" s="26" t="n"/>
      <c r="I727" s="26">
        <f>IFERROR(SUMIF(A$6:A727,"&lt;&gt;""",G$6:G727)-SUMIF(A$6:A727,"&lt;&gt;""",H$6:H727),"")</f>
        <v/>
      </c>
      <c r="J727" s="26" t="n"/>
    </row>
    <row r="728" ht="15" customHeight="1">
      <c r="A728" s="26" t="n"/>
      <c r="B728" s="26" t="n"/>
      <c r="C728" s="26" t="n"/>
      <c r="D728" s="26" t="n"/>
      <c r="E728" s="26" t="n"/>
      <c r="F728" s="26" t="n"/>
      <c r="G728" s="26" t="n"/>
      <c r="H728" s="26" t="n"/>
      <c r="I728" s="26">
        <f>IFERROR(SUMIF(A$6:A728,"&lt;&gt;""",G$6:G728)-SUMIF(A$6:A728,"&lt;&gt;""",H$6:H728),"")</f>
        <v/>
      </c>
      <c r="J728" s="26" t="n"/>
    </row>
    <row r="729" ht="15" customHeight="1">
      <c r="A729" s="26" t="n"/>
      <c r="B729" s="26" t="n"/>
      <c r="C729" s="26" t="n"/>
      <c r="D729" s="26" t="n"/>
      <c r="E729" s="26" t="n"/>
      <c r="F729" s="26" t="n"/>
      <c r="G729" s="26" t="n"/>
      <c r="H729" s="26" t="n"/>
      <c r="I729" s="26">
        <f>IFERROR(SUMIF(A$6:A729,"&lt;&gt;""",G$6:G729)-SUMIF(A$6:A729,"&lt;&gt;""",H$6:H729),"")</f>
        <v/>
      </c>
      <c r="J729" s="26" t="n"/>
    </row>
    <row r="730" ht="15" customHeight="1">
      <c r="A730" s="26" t="n"/>
      <c r="B730" s="26" t="n"/>
      <c r="C730" s="26" t="n"/>
      <c r="D730" s="26" t="n"/>
      <c r="E730" s="26" t="n"/>
      <c r="F730" s="26" t="n"/>
      <c r="G730" s="26" t="n"/>
      <c r="H730" s="26" t="n"/>
      <c r="I730" s="26">
        <f>IFERROR(SUMIF(A$6:A730,"&lt;&gt;""",G$6:G730)-SUMIF(A$6:A730,"&lt;&gt;""",H$6:H730),"")</f>
        <v/>
      </c>
      <c r="J730" s="26" t="n"/>
    </row>
    <row r="731" ht="15" customHeight="1">
      <c r="A731" s="26" t="n"/>
      <c r="B731" s="26" t="n"/>
      <c r="C731" s="26" t="n"/>
      <c r="D731" s="26" t="n"/>
      <c r="E731" s="26" t="n"/>
      <c r="F731" s="26" t="n"/>
      <c r="G731" s="26" t="n"/>
      <c r="H731" s="26" t="n"/>
      <c r="I731" s="26">
        <f>IFERROR(SUMIF(A$6:A731,"&lt;&gt;""",G$6:G731)-SUMIF(A$6:A731,"&lt;&gt;""",H$6:H731),"")</f>
        <v/>
      </c>
      <c r="J731" s="26" t="n"/>
    </row>
    <row r="732" ht="15" customHeight="1">
      <c r="A732" s="26" t="n"/>
      <c r="B732" s="26" t="n"/>
      <c r="C732" s="26" t="n"/>
      <c r="D732" s="26" t="n"/>
      <c r="E732" s="26" t="n"/>
      <c r="F732" s="26" t="n"/>
      <c r="G732" s="26" t="n"/>
      <c r="H732" s="26" t="n"/>
      <c r="I732" s="26">
        <f>IFERROR(SUMIF(A$6:A732,"&lt;&gt;""",G$6:G732)-SUMIF(A$6:A732,"&lt;&gt;""",H$6:H732),"")</f>
        <v/>
      </c>
      <c r="J732" s="26" t="n"/>
    </row>
    <row r="733" ht="15" customHeight="1">
      <c r="A733" s="26" t="n"/>
      <c r="B733" s="26" t="n"/>
      <c r="C733" s="26" t="n"/>
      <c r="D733" s="26" t="n"/>
      <c r="E733" s="26" t="n"/>
      <c r="F733" s="26" t="n"/>
      <c r="G733" s="26" t="n"/>
      <c r="H733" s="26" t="n"/>
      <c r="I733" s="26">
        <f>IFERROR(SUMIF(A$6:A733,"&lt;&gt;""",G$6:G733)-SUMIF(A$6:A733,"&lt;&gt;""",H$6:H733),"")</f>
        <v/>
      </c>
      <c r="J733" s="26" t="n"/>
    </row>
    <row r="734" ht="15" customHeight="1">
      <c r="A734" s="26" t="n"/>
      <c r="B734" s="26" t="n"/>
      <c r="C734" s="26" t="n"/>
      <c r="D734" s="26" t="n"/>
      <c r="E734" s="26" t="n"/>
      <c r="F734" s="26" t="n"/>
      <c r="G734" s="26" t="n"/>
      <c r="H734" s="26" t="n"/>
      <c r="I734" s="26">
        <f>IFERROR(SUMIF(A$6:A734,"&lt;&gt;""",G$6:G734)-SUMIF(A$6:A734,"&lt;&gt;""",H$6:H734),"")</f>
        <v/>
      </c>
      <c r="J734" s="26" t="n"/>
    </row>
    <row r="735" ht="15" customHeight="1">
      <c r="A735" s="26" t="n"/>
      <c r="B735" s="26" t="n"/>
      <c r="C735" s="26" t="n"/>
      <c r="D735" s="26" t="n"/>
      <c r="E735" s="26" t="n"/>
      <c r="F735" s="26" t="n"/>
      <c r="G735" s="26" t="n"/>
      <c r="H735" s="26" t="n"/>
      <c r="I735" s="26">
        <f>IFERROR(SUMIF(A$6:A735,"&lt;&gt;""",G$6:G735)-SUMIF(A$6:A735,"&lt;&gt;""",H$6:H735),"")</f>
        <v/>
      </c>
      <c r="J735" s="26" t="n"/>
    </row>
    <row r="736" ht="15" customHeight="1">
      <c r="A736" s="26" t="n"/>
      <c r="B736" s="26" t="n"/>
      <c r="C736" s="26" t="n"/>
      <c r="D736" s="26" t="n"/>
      <c r="E736" s="26" t="n"/>
      <c r="F736" s="26" t="n"/>
      <c r="G736" s="26" t="n"/>
      <c r="H736" s="26" t="n"/>
      <c r="I736" s="26">
        <f>IFERROR(SUMIF(A$6:A736,"&lt;&gt;""",G$6:G736)-SUMIF(A$6:A736,"&lt;&gt;""",H$6:H736),"")</f>
        <v/>
      </c>
      <c r="J736" s="26" t="n"/>
    </row>
    <row r="737" ht="15" customHeight="1">
      <c r="A737" s="26" t="n"/>
      <c r="B737" s="26" t="n"/>
      <c r="C737" s="26" t="n"/>
      <c r="D737" s="26" t="n"/>
      <c r="E737" s="26" t="n"/>
      <c r="F737" s="26" t="n"/>
      <c r="G737" s="26" t="n"/>
      <c r="H737" s="26" t="n"/>
      <c r="I737" s="26">
        <f>IFERROR(SUMIF(A$6:A737,"&lt;&gt;""",G$6:G737)-SUMIF(A$6:A737,"&lt;&gt;""",H$6:H737),"")</f>
        <v/>
      </c>
      <c r="J737" s="26" t="n"/>
    </row>
    <row r="738" ht="15" customHeight="1">
      <c r="A738" s="26" t="n"/>
      <c r="B738" s="26" t="n"/>
      <c r="C738" s="26" t="n"/>
      <c r="D738" s="26" t="n"/>
      <c r="E738" s="26" t="n"/>
      <c r="F738" s="26" t="n"/>
      <c r="G738" s="26" t="n"/>
      <c r="H738" s="26" t="n"/>
      <c r="I738" s="26">
        <f>IFERROR(SUMIF(A$6:A738,"&lt;&gt;""",G$6:G738)-SUMIF(A$6:A738,"&lt;&gt;""",H$6:H738),"")</f>
        <v/>
      </c>
      <c r="J738" s="26" t="n"/>
    </row>
    <row r="739" ht="15" customHeight="1">
      <c r="A739" s="26" t="n"/>
      <c r="B739" s="26" t="n"/>
      <c r="C739" s="26" t="n"/>
      <c r="D739" s="26" t="n"/>
      <c r="E739" s="26" t="n"/>
      <c r="F739" s="26" t="n"/>
      <c r="G739" s="26" t="n"/>
      <c r="H739" s="26" t="n"/>
      <c r="I739" s="26">
        <f>IFERROR(SUMIF(A$6:A739,"&lt;&gt;""",G$6:G739)-SUMIF(A$6:A739,"&lt;&gt;""",H$6:H739),"")</f>
        <v/>
      </c>
      <c r="J739" s="26" t="n"/>
    </row>
    <row r="740" ht="15" customHeight="1">
      <c r="A740" s="26" t="n"/>
      <c r="B740" s="26" t="n"/>
      <c r="C740" s="26" t="n"/>
      <c r="D740" s="26" t="n"/>
      <c r="E740" s="26" t="n"/>
      <c r="F740" s="26" t="n"/>
      <c r="G740" s="26" t="n"/>
      <c r="H740" s="26" t="n"/>
      <c r="I740" s="26">
        <f>IFERROR(SUMIF(A$6:A740,"&lt;&gt;""",G$6:G740)-SUMIF(A$6:A740,"&lt;&gt;""",H$6:H740),"")</f>
        <v/>
      </c>
      <c r="J740" s="26" t="n"/>
    </row>
    <row r="741" ht="15" customHeight="1">
      <c r="A741" s="26" t="n"/>
      <c r="B741" s="26" t="n"/>
      <c r="C741" s="26" t="n"/>
      <c r="D741" s="26" t="n"/>
      <c r="E741" s="26" t="n"/>
      <c r="F741" s="26" t="n"/>
      <c r="G741" s="26" t="n"/>
      <c r="H741" s="26" t="n"/>
      <c r="I741" s="26">
        <f>IFERROR(SUMIF(A$6:A741,"&lt;&gt;""",G$6:G741)-SUMIF(A$6:A741,"&lt;&gt;""",H$6:H741),"")</f>
        <v/>
      </c>
      <c r="J741" s="26" t="n"/>
    </row>
    <row r="742" ht="15" customHeight="1">
      <c r="A742" s="26" t="n"/>
      <c r="B742" s="26" t="n"/>
      <c r="C742" s="26" t="n"/>
      <c r="D742" s="26" t="n"/>
      <c r="E742" s="26" t="n"/>
      <c r="F742" s="26" t="n"/>
      <c r="G742" s="26" t="n"/>
      <c r="H742" s="26" t="n"/>
      <c r="I742" s="26">
        <f>IFERROR(SUMIF(A$6:A742,"&lt;&gt;""",G$6:G742)-SUMIF(A$6:A742,"&lt;&gt;""",H$6:H742),"")</f>
        <v/>
      </c>
      <c r="J742" s="26" t="n"/>
    </row>
    <row r="743" ht="15" customHeight="1">
      <c r="A743" s="26" t="n"/>
      <c r="B743" s="26" t="n"/>
      <c r="C743" s="26" t="n"/>
      <c r="D743" s="26" t="n"/>
      <c r="E743" s="26" t="n"/>
      <c r="F743" s="26" t="n"/>
      <c r="G743" s="26" t="n"/>
      <c r="H743" s="26" t="n"/>
      <c r="I743" s="26">
        <f>IFERROR(SUMIF(A$6:A743,"&lt;&gt;""",G$6:G743)-SUMIF(A$6:A743,"&lt;&gt;""",H$6:H743),"")</f>
        <v/>
      </c>
      <c r="J743" s="26" t="n"/>
    </row>
    <row r="744" ht="15" customHeight="1">
      <c r="A744" s="26" t="n"/>
      <c r="B744" s="26" t="n"/>
      <c r="C744" s="26" t="n"/>
      <c r="D744" s="26" t="n"/>
      <c r="E744" s="26" t="n"/>
      <c r="F744" s="26" t="n"/>
      <c r="G744" s="26" t="n"/>
      <c r="H744" s="26" t="n"/>
      <c r="I744" s="26">
        <f>IFERROR(SUMIF(A$6:A744,"&lt;&gt;""",G$6:G744)-SUMIF(A$6:A744,"&lt;&gt;""",H$6:H744),"")</f>
        <v/>
      </c>
      <c r="J744" s="26" t="n"/>
    </row>
    <row r="745" ht="15" customHeight="1">
      <c r="A745" s="26" t="n"/>
      <c r="B745" s="26" t="n"/>
      <c r="C745" s="26" t="n"/>
      <c r="D745" s="26" t="n"/>
      <c r="E745" s="26" t="n"/>
      <c r="F745" s="26" t="n"/>
      <c r="G745" s="26" t="n"/>
      <c r="H745" s="26" t="n"/>
      <c r="I745" s="26">
        <f>IFERROR(SUMIF(A$6:A745,"&lt;&gt;""",G$6:G745)-SUMIF(A$6:A745,"&lt;&gt;""",H$6:H745),"")</f>
        <v/>
      </c>
      <c r="J745" s="26" t="n"/>
    </row>
    <row r="746" ht="15" customHeight="1">
      <c r="A746" s="26" t="n"/>
      <c r="B746" s="26" t="n"/>
      <c r="C746" s="26" t="n"/>
      <c r="D746" s="26" t="n"/>
      <c r="E746" s="26" t="n"/>
      <c r="F746" s="26" t="n"/>
      <c r="G746" s="26" t="n"/>
      <c r="H746" s="26" t="n"/>
      <c r="I746" s="26">
        <f>IFERROR(SUMIF(A$6:A746,"&lt;&gt;""",G$6:G746)-SUMIF(A$6:A746,"&lt;&gt;""",H$6:H746),"")</f>
        <v/>
      </c>
      <c r="J746" s="26" t="n"/>
    </row>
    <row r="747" ht="15" customHeight="1">
      <c r="A747" s="26" t="n"/>
      <c r="B747" s="26" t="n"/>
      <c r="C747" s="26" t="n"/>
      <c r="D747" s="26" t="n"/>
      <c r="E747" s="26" t="n"/>
      <c r="F747" s="26" t="n"/>
      <c r="G747" s="26" t="n"/>
      <c r="H747" s="26" t="n"/>
      <c r="I747" s="26">
        <f>IFERROR(SUMIF(A$6:A747,"&lt;&gt;""",G$6:G747)-SUMIF(A$6:A747,"&lt;&gt;""",H$6:H747),"")</f>
        <v/>
      </c>
      <c r="J747" s="26" t="n"/>
    </row>
    <row r="748" ht="15" customHeight="1">
      <c r="A748" s="26" t="n"/>
      <c r="B748" s="26" t="n"/>
      <c r="C748" s="26" t="n"/>
      <c r="D748" s="26" t="n"/>
      <c r="E748" s="26" t="n"/>
      <c r="F748" s="26" t="n"/>
      <c r="G748" s="26" t="n"/>
      <c r="H748" s="26" t="n"/>
      <c r="I748" s="26">
        <f>IFERROR(SUMIF(A$6:A748,"&lt;&gt;""",G$6:G748)-SUMIF(A$6:A748,"&lt;&gt;""",H$6:H748),"")</f>
        <v/>
      </c>
      <c r="J748" s="26" t="n"/>
    </row>
    <row r="749" ht="15" customHeight="1">
      <c r="A749" s="26" t="n"/>
      <c r="B749" s="26" t="n"/>
      <c r="C749" s="26" t="n"/>
      <c r="D749" s="26" t="n"/>
      <c r="E749" s="26" t="n"/>
      <c r="F749" s="26" t="n"/>
      <c r="G749" s="26" t="n"/>
      <c r="H749" s="26" t="n"/>
      <c r="I749" s="26">
        <f>IFERROR(SUMIF(A$6:A749,"&lt;&gt;""",G$6:G749)-SUMIF(A$6:A749,"&lt;&gt;""",H$6:H749),"")</f>
        <v/>
      </c>
      <c r="J749" s="26" t="n"/>
    </row>
    <row r="750" ht="15" customHeight="1">
      <c r="A750" s="26" t="n"/>
      <c r="B750" s="26" t="n"/>
      <c r="C750" s="26" t="n"/>
      <c r="D750" s="26" t="n"/>
      <c r="E750" s="26" t="n"/>
      <c r="F750" s="26" t="n"/>
      <c r="G750" s="26" t="n"/>
      <c r="H750" s="26" t="n"/>
      <c r="I750" s="26">
        <f>IFERROR(SUMIF(A$6:A750,"&lt;&gt;""",G$6:G750)-SUMIF(A$6:A750,"&lt;&gt;""",H$6:H750),"")</f>
        <v/>
      </c>
      <c r="J750" s="26" t="n"/>
    </row>
    <row r="751" ht="15" customHeight="1">
      <c r="A751" s="26" t="n"/>
      <c r="B751" s="26" t="n"/>
      <c r="C751" s="26" t="n"/>
      <c r="D751" s="26" t="n"/>
      <c r="E751" s="26" t="n"/>
      <c r="F751" s="26" t="n"/>
      <c r="G751" s="26" t="n"/>
      <c r="H751" s="26" t="n"/>
      <c r="I751" s="26">
        <f>IFERROR(SUMIF(A$6:A751,"&lt;&gt;""",G$6:G751)-SUMIF(A$6:A751,"&lt;&gt;""",H$6:H751),"")</f>
        <v/>
      </c>
      <c r="J751" s="26" t="n"/>
    </row>
    <row r="752" ht="15" customHeight="1">
      <c r="A752" s="26" t="n"/>
      <c r="B752" s="26" t="n"/>
      <c r="C752" s="26" t="n"/>
      <c r="D752" s="26" t="n"/>
      <c r="E752" s="26" t="n"/>
      <c r="F752" s="26" t="n"/>
      <c r="G752" s="26" t="n"/>
      <c r="H752" s="26" t="n"/>
      <c r="I752" s="26">
        <f>IFERROR(SUMIF(A$6:A752,"&lt;&gt;""",G$6:G752)-SUMIF(A$6:A752,"&lt;&gt;""",H$6:H752),"")</f>
        <v/>
      </c>
      <c r="J752" s="26" t="n"/>
    </row>
    <row r="753" ht="15" customHeight="1">
      <c r="A753" s="26" t="n"/>
      <c r="B753" s="26" t="n"/>
      <c r="C753" s="26" t="n"/>
      <c r="D753" s="26" t="n"/>
      <c r="E753" s="26" t="n"/>
      <c r="F753" s="26" t="n"/>
      <c r="G753" s="26" t="n"/>
      <c r="H753" s="26" t="n"/>
      <c r="I753" s="26">
        <f>IFERROR(SUMIF(A$6:A753,"&lt;&gt;""",G$6:G753)-SUMIF(A$6:A753,"&lt;&gt;""",H$6:H753),"")</f>
        <v/>
      </c>
      <c r="J753" s="26" t="n"/>
    </row>
    <row r="754" ht="15" customHeight="1">
      <c r="A754" s="26" t="n"/>
      <c r="B754" s="26" t="n"/>
      <c r="C754" s="26" t="n"/>
      <c r="D754" s="26" t="n"/>
      <c r="E754" s="26" t="n"/>
      <c r="F754" s="26" t="n"/>
      <c r="G754" s="26" t="n"/>
      <c r="H754" s="26" t="n"/>
      <c r="I754" s="26">
        <f>IFERROR(SUMIF(A$6:A754,"&lt;&gt;""",G$6:G754)-SUMIF(A$6:A754,"&lt;&gt;""",H$6:H754),"")</f>
        <v/>
      </c>
      <c r="J754" s="26" t="n"/>
    </row>
    <row r="755" ht="15" customHeight="1">
      <c r="A755" s="26" t="n"/>
      <c r="B755" s="26" t="n"/>
      <c r="C755" s="26" t="n"/>
      <c r="D755" s="26" t="n"/>
      <c r="E755" s="26" t="n"/>
      <c r="F755" s="26" t="n"/>
      <c r="G755" s="26" t="n"/>
      <c r="H755" s="26" t="n"/>
      <c r="I755" s="26">
        <f>IFERROR(SUMIF(A$6:A755,"&lt;&gt;""",G$6:G755)-SUMIF(A$6:A755,"&lt;&gt;""",H$6:H755),"")</f>
        <v/>
      </c>
      <c r="J755" s="26" t="n"/>
    </row>
    <row r="756" ht="15" customHeight="1">
      <c r="A756" s="26" t="n"/>
      <c r="B756" s="26" t="n"/>
      <c r="C756" s="26" t="n"/>
      <c r="D756" s="26" t="n"/>
      <c r="E756" s="26" t="n"/>
      <c r="F756" s="26" t="n"/>
      <c r="G756" s="26" t="n"/>
      <c r="H756" s="26" t="n"/>
      <c r="I756" s="26">
        <f>IFERROR(SUMIF(A$6:A756,"&lt;&gt;""",G$6:G756)-SUMIF(A$6:A756,"&lt;&gt;""",H$6:H756),"")</f>
        <v/>
      </c>
      <c r="J756" s="26" t="n"/>
    </row>
    <row r="757" ht="15" customHeight="1">
      <c r="A757" s="26" t="n"/>
      <c r="B757" s="26" t="n"/>
      <c r="C757" s="26" t="n"/>
      <c r="D757" s="26" t="n"/>
      <c r="E757" s="26" t="n"/>
      <c r="F757" s="26" t="n"/>
      <c r="G757" s="26" t="n"/>
      <c r="H757" s="26" t="n"/>
      <c r="I757" s="26">
        <f>IFERROR(SUMIF(A$6:A757,"&lt;&gt;""",G$6:G757)-SUMIF(A$6:A757,"&lt;&gt;""",H$6:H757),"")</f>
        <v/>
      </c>
      <c r="J757" s="26" t="n"/>
    </row>
    <row r="758" ht="15" customHeight="1">
      <c r="A758" s="26" t="n"/>
      <c r="B758" s="26" t="n"/>
      <c r="C758" s="26" t="n"/>
      <c r="D758" s="26" t="n"/>
      <c r="E758" s="26" t="n"/>
      <c r="F758" s="26" t="n"/>
      <c r="G758" s="26" t="n"/>
      <c r="H758" s="26" t="n"/>
      <c r="I758" s="26">
        <f>IFERROR(SUMIF(A$6:A758,"&lt;&gt;""",G$6:G758)-SUMIF(A$6:A758,"&lt;&gt;""",H$6:H758),"")</f>
        <v/>
      </c>
      <c r="J758" s="26" t="n"/>
    </row>
    <row r="759" ht="15" customHeight="1">
      <c r="A759" s="26" t="n"/>
      <c r="B759" s="26" t="n"/>
      <c r="C759" s="26" t="n"/>
      <c r="D759" s="26" t="n"/>
      <c r="E759" s="26" t="n"/>
      <c r="F759" s="26" t="n"/>
      <c r="G759" s="26" t="n"/>
      <c r="H759" s="26" t="n"/>
      <c r="I759" s="26">
        <f>IFERROR(SUMIF(A$6:A759,"&lt;&gt;""",G$6:G759)-SUMIF(A$6:A759,"&lt;&gt;""",H$6:H759),"")</f>
        <v/>
      </c>
      <c r="J759" s="26" t="n"/>
    </row>
    <row r="760" ht="15" customHeight="1">
      <c r="A760" s="26" t="n"/>
      <c r="B760" s="26" t="n"/>
      <c r="C760" s="26" t="n"/>
      <c r="D760" s="26" t="n"/>
      <c r="E760" s="26" t="n"/>
      <c r="F760" s="26" t="n"/>
      <c r="G760" s="26" t="n"/>
      <c r="H760" s="26" t="n"/>
      <c r="I760" s="26">
        <f>IFERROR(SUMIF(A$6:A760,"&lt;&gt;""",G$6:G760)-SUMIF(A$6:A760,"&lt;&gt;""",H$6:H760),"")</f>
        <v/>
      </c>
      <c r="J760" s="26" t="n"/>
    </row>
    <row r="761" ht="15" customHeight="1">
      <c r="A761" s="26" t="n"/>
      <c r="B761" s="26" t="n"/>
      <c r="C761" s="26" t="n"/>
      <c r="D761" s="26" t="n"/>
      <c r="E761" s="26" t="n"/>
      <c r="F761" s="26" t="n"/>
      <c r="G761" s="26" t="n"/>
      <c r="H761" s="26" t="n"/>
      <c r="I761" s="26">
        <f>IFERROR(SUMIF(A$6:A761,"&lt;&gt;""",G$6:G761)-SUMIF(A$6:A761,"&lt;&gt;""",H$6:H761),"")</f>
        <v/>
      </c>
      <c r="J761" s="26" t="n"/>
    </row>
    <row r="762" ht="15" customHeight="1">
      <c r="A762" s="26" t="n"/>
      <c r="B762" s="26" t="n"/>
      <c r="C762" s="26" t="n"/>
      <c r="D762" s="26" t="n"/>
      <c r="E762" s="26" t="n"/>
      <c r="F762" s="26" t="n"/>
      <c r="G762" s="26" t="n"/>
      <c r="H762" s="26" t="n"/>
      <c r="I762" s="26">
        <f>IFERROR(SUMIF(A$6:A762,"&lt;&gt;""",G$6:G762)-SUMIF(A$6:A762,"&lt;&gt;""",H$6:H762),"")</f>
        <v/>
      </c>
      <c r="J762" s="26" t="n"/>
    </row>
    <row r="763" ht="15" customHeight="1">
      <c r="A763" s="26" t="n"/>
      <c r="B763" s="26" t="n"/>
      <c r="C763" s="26" t="n"/>
      <c r="D763" s="26" t="n"/>
      <c r="E763" s="26" t="n"/>
      <c r="F763" s="26" t="n"/>
      <c r="G763" s="26" t="n"/>
      <c r="H763" s="26" t="n"/>
      <c r="I763" s="26">
        <f>IFERROR(SUMIF(A$6:A763,"&lt;&gt;""",G$6:G763)-SUMIF(A$6:A763,"&lt;&gt;""",H$6:H763),"")</f>
        <v/>
      </c>
      <c r="J763" s="26" t="n"/>
    </row>
    <row r="764" ht="15" customHeight="1">
      <c r="A764" s="26" t="n"/>
      <c r="B764" s="26" t="n"/>
      <c r="C764" s="26" t="n"/>
      <c r="D764" s="26" t="n"/>
      <c r="E764" s="26" t="n"/>
      <c r="F764" s="26" t="n"/>
      <c r="G764" s="26" t="n"/>
      <c r="H764" s="26" t="n"/>
      <c r="I764" s="26">
        <f>IFERROR(SUMIF(A$6:A764,"&lt;&gt;""",G$6:G764)-SUMIF(A$6:A764,"&lt;&gt;""",H$6:H764),"")</f>
        <v/>
      </c>
      <c r="J764" s="26" t="n"/>
    </row>
    <row r="765" ht="15" customHeight="1">
      <c r="A765" s="26" t="n"/>
      <c r="B765" s="26" t="n"/>
      <c r="C765" s="26" t="n"/>
      <c r="D765" s="26" t="n"/>
      <c r="E765" s="26" t="n"/>
      <c r="F765" s="26" t="n"/>
      <c r="G765" s="26" t="n"/>
      <c r="H765" s="26" t="n"/>
      <c r="I765" s="26">
        <f>IFERROR(SUMIF(A$6:A765,"&lt;&gt;""",G$6:G765)-SUMIF(A$6:A765,"&lt;&gt;""",H$6:H765),"")</f>
        <v/>
      </c>
      <c r="J765" s="26" t="n"/>
    </row>
    <row r="766" ht="15" customHeight="1">
      <c r="A766" s="26" t="n"/>
      <c r="B766" s="26" t="n"/>
      <c r="C766" s="26" t="n"/>
      <c r="D766" s="26" t="n"/>
      <c r="E766" s="26" t="n"/>
      <c r="F766" s="26" t="n"/>
      <c r="G766" s="26" t="n"/>
      <c r="H766" s="26" t="n"/>
      <c r="I766" s="26">
        <f>IFERROR(SUMIF(A$6:A766,"&lt;&gt;""",G$6:G766)-SUMIF(A$6:A766,"&lt;&gt;""",H$6:H766),"")</f>
        <v/>
      </c>
      <c r="J766" s="26" t="n"/>
    </row>
    <row r="767" ht="15" customHeight="1">
      <c r="A767" s="26" t="n"/>
      <c r="B767" s="26" t="n"/>
      <c r="C767" s="26" t="n"/>
      <c r="D767" s="26" t="n"/>
      <c r="E767" s="26" t="n"/>
      <c r="F767" s="26" t="n"/>
      <c r="G767" s="26" t="n"/>
      <c r="H767" s="26" t="n"/>
      <c r="I767" s="26">
        <f>IFERROR(SUMIF(A$6:A767,"&lt;&gt;""",G$6:G767)-SUMIF(A$6:A767,"&lt;&gt;""",H$6:H767),"")</f>
        <v/>
      </c>
      <c r="J767" s="26" t="n"/>
    </row>
    <row r="768" ht="15" customHeight="1">
      <c r="A768" s="26" t="n"/>
      <c r="B768" s="26" t="n"/>
      <c r="C768" s="26" t="n"/>
      <c r="D768" s="26" t="n"/>
      <c r="E768" s="26" t="n"/>
      <c r="F768" s="26" t="n"/>
      <c r="G768" s="26" t="n"/>
      <c r="H768" s="26" t="n"/>
      <c r="I768" s="26">
        <f>IFERROR(SUMIF(A$6:A768,"&lt;&gt;""",G$6:G768)-SUMIF(A$6:A768,"&lt;&gt;""",H$6:H768),"")</f>
        <v/>
      </c>
      <c r="J768" s="26" t="n"/>
    </row>
    <row r="769" ht="15" customHeight="1">
      <c r="A769" s="26" t="n"/>
      <c r="B769" s="26" t="n"/>
      <c r="C769" s="26" t="n"/>
      <c r="D769" s="26" t="n"/>
      <c r="E769" s="26" t="n"/>
      <c r="F769" s="26" t="n"/>
      <c r="G769" s="26" t="n"/>
      <c r="H769" s="26" t="n"/>
      <c r="I769" s="26">
        <f>IFERROR(SUMIF(A$6:A769,"&lt;&gt;""",G$6:G769)-SUMIF(A$6:A769,"&lt;&gt;""",H$6:H769),"")</f>
        <v/>
      </c>
      <c r="J769" s="26" t="n"/>
    </row>
    <row r="770" ht="15" customHeight="1">
      <c r="A770" s="26" t="n"/>
      <c r="B770" s="26" t="n"/>
      <c r="C770" s="26" t="n"/>
      <c r="D770" s="26" t="n"/>
      <c r="E770" s="26" t="n"/>
      <c r="F770" s="26" t="n"/>
      <c r="G770" s="26" t="n"/>
      <c r="H770" s="26" t="n"/>
      <c r="I770" s="26">
        <f>IFERROR(SUMIF(A$6:A770,"&lt;&gt;""",G$6:G770)-SUMIF(A$6:A770,"&lt;&gt;""",H$6:H770),"")</f>
        <v/>
      </c>
      <c r="J770" s="26" t="n"/>
    </row>
    <row r="771" ht="15" customHeight="1">
      <c r="A771" s="26" t="n"/>
      <c r="B771" s="26" t="n"/>
      <c r="C771" s="26" t="n"/>
      <c r="D771" s="26" t="n"/>
      <c r="E771" s="26" t="n"/>
      <c r="F771" s="26" t="n"/>
      <c r="G771" s="26" t="n"/>
      <c r="H771" s="26" t="n"/>
      <c r="I771" s="26">
        <f>IFERROR(SUMIF(A$6:A771,"&lt;&gt;""",G$6:G771)-SUMIF(A$6:A771,"&lt;&gt;""",H$6:H771),"")</f>
        <v/>
      </c>
      <c r="J771" s="26" t="n"/>
    </row>
    <row r="772" ht="15" customHeight="1">
      <c r="A772" s="26" t="n"/>
      <c r="B772" s="26" t="n"/>
      <c r="C772" s="26" t="n"/>
      <c r="D772" s="26" t="n"/>
      <c r="E772" s="26" t="n"/>
      <c r="F772" s="26" t="n"/>
      <c r="G772" s="26" t="n"/>
      <c r="H772" s="26" t="n"/>
      <c r="I772" s="26">
        <f>IFERROR(SUMIF(A$6:A772,"&lt;&gt;""",G$6:G772)-SUMIF(A$6:A772,"&lt;&gt;""",H$6:H772),"")</f>
        <v/>
      </c>
      <c r="J772" s="26" t="n"/>
    </row>
    <row r="773" ht="15" customHeight="1">
      <c r="A773" s="26" t="n"/>
      <c r="B773" s="26" t="n"/>
      <c r="C773" s="26" t="n"/>
      <c r="D773" s="26" t="n"/>
      <c r="E773" s="26" t="n"/>
      <c r="F773" s="26" t="n"/>
      <c r="G773" s="26" t="n"/>
      <c r="H773" s="26" t="n"/>
      <c r="I773" s="26">
        <f>IFERROR(SUMIF(A$6:A773,"&lt;&gt;""",G$6:G773)-SUMIF(A$6:A773,"&lt;&gt;""",H$6:H773),"")</f>
        <v/>
      </c>
      <c r="J773" s="26" t="n"/>
    </row>
    <row r="774" ht="15" customHeight="1">
      <c r="A774" s="26" t="n"/>
      <c r="B774" s="26" t="n"/>
      <c r="C774" s="26" t="n"/>
      <c r="D774" s="26" t="n"/>
      <c r="E774" s="26" t="n"/>
      <c r="F774" s="26" t="n"/>
      <c r="G774" s="26" t="n"/>
      <c r="H774" s="26" t="n"/>
      <c r="I774" s="26">
        <f>IFERROR(SUMIF(A$6:A774,"&lt;&gt;""",G$6:G774)-SUMIF(A$6:A774,"&lt;&gt;""",H$6:H774),"")</f>
        <v/>
      </c>
      <c r="J774" s="26" t="n"/>
    </row>
    <row r="775" ht="15" customHeight="1">
      <c r="A775" s="26" t="n"/>
      <c r="B775" s="26" t="n"/>
      <c r="C775" s="26" t="n"/>
      <c r="D775" s="26" t="n"/>
      <c r="E775" s="26" t="n"/>
      <c r="F775" s="26" t="n"/>
      <c r="G775" s="26" t="n"/>
      <c r="H775" s="26" t="n"/>
      <c r="I775" s="26">
        <f>IFERROR(SUMIF(A$6:A775,"&lt;&gt;""",G$6:G775)-SUMIF(A$6:A775,"&lt;&gt;""",H$6:H775),"")</f>
        <v/>
      </c>
      <c r="J775" s="26" t="n"/>
    </row>
    <row r="776" ht="15" customHeight="1">
      <c r="A776" s="26" t="n"/>
      <c r="B776" s="26" t="n"/>
      <c r="C776" s="26" t="n"/>
      <c r="D776" s="26" t="n"/>
      <c r="E776" s="26" t="n"/>
      <c r="F776" s="26" t="n"/>
      <c r="G776" s="26" t="n"/>
      <c r="H776" s="26" t="n"/>
      <c r="I776" s="26">
        <f>IFERROR(SUMIF(A$6:A776,"&lt;&gt;""",G$6:G776)-SUMIF(A$6:A776,"&lt;&gt;""",H$6:H776),"")</f>
        <v/>
      </c>
      <c r="J776" s="26" t="n"/>
    </row>
    <row r="777" ht="15" customHeight="1">
      <c r="A777" s="26" t="n"/>
      <c r="B777" s="26" t="n"/>
      <c r="C777" s="26" t="n"/>
      <c r="D777" s="26" t="n"/>
      <c r="E777" s="26" t="n"/>
      <c r="F777" s="26" t="n"/>
      <c r="G777" s="26" t="n"/>
      <c r="H777" s="26" t="n"/>
      <c r="I777" s="26">
        <f>IFERROR(SUMIF(A$6:A777,"&lt;&gt;""",G$6:G777)-SUMIF(A$6:A777,"&lt;&gt;""",H$6:H777),"")</f>
        <v/>
      </c>
      <c r="J777" s="26" t="n"/>
    </row>
    <row r="778" ht="15" customHeight="1">
      <c r="A778" s="26" t="n"/>
      <c r="B778" s="26" t="n"/>
      <c r="C778" s="26" t="n"/>
      <c r="D778" s="26" t="n"/>
      <c r="E778" s="26" t="n"/>
      <c r="F778" s="26" t="n"/>
      <c r="G778" s="26" t="n"/>
      <c r="H778" s="26" t="n"/>
      <c r="I778" s="26">
        <f>IFERROR(SUMIF(A$6:A778,"&lt;&gt;""",G$6:G778)-SUMIF(A$6:A778,"&lt;&gt;""",H$6:H778),"")</f>
        <v/>
      </c>
      <c r="J778" s="26" t="n"/>
    </row>
    <row r="779" ht="15" customHeight="1">
      <c r="A779" s="26" t="n"/>
      <c r="B779" s="26" t="n"/>
      <c r="C779" s="26" t="n"/>
      <c r="D779" s="26" t="n"/>
      <c r="E779" s="26" t="n"/>
      <c r="F779" s="26" t="n"/>
      <c r="G779" s="26" t="n"/>
      <c r="H779" s="26" t="n"/>
      <c r="I779" s="26">
        <f>IFERROR(SUMIF(A$6:A779,"&lt;&gt;""",G$6:G779)-SUMIF(A$6:A779,"&lt;&gt;""",H$6:H779),"")</f>
        <v/>
      </c>
      <c r="J779" s="26" t="n"/>
    </row>
    <row r="780" ht="15" customHeight="1">
      <c r="A780" s="26" t="n"/>
      <c r="B780" s="26" t="n"/>
      <c r="C780" s="26" t="n"/>
      <c r="D780" s="26" t="n"/>
      <c r="E780" s="26" t="n"/>
      <c r="F780" s="26" t="n"/>
      <c r="G780" s="26" t="n"/>
      <c r="H780" s="26" t="n"/>
      <c r="I780" s="26">
        <f>IFERROR(SUMIF(A$6:A780,"&lt;&gt;""",G$6:G780)-SUMIF(A$6:A780,"&lt;&gt;""",H$6:H780),"")</f>
        <v/>
      </c>
      <c r="J780" s="26" t="n"/>
    </row>
    <row r="781" ht="15" customHeight="1">
      <c r="A781" s="26" t="n"/>
      <c r="B781" s="26" t="n"/>
      <c r="C781" s="26" t="n"/>
      <c r="D781" s="26" t="n"/>
      <c r="E781" s="26" t="n"/>
      <c r="F781" s="26" t="n"/>
      <c r="G781" s="26" t="n"/>
      <c r="H781" s="26" t="n"/>
      <c r="I781" s="26">
        <f>IFERROR(SUMIF(A$6:A781,"&lt;&gt;""",G$6:G781)-SUMIF(A$6:A781,"&lt;&gt;""",H$6:H781),"")</f>
        <v/>
      </c>
      <c r="J781" s="26" t="n"/>
    </row>
    <row r="782" ht="15" customHeight="1">
      <c r="A782" s="26" t="n"/>
      <c r="B782" s="26" t="n"/>
      <c r="C782" s="26" t="n"/>
      <c r="D782" s="26" t="n"/>
      <c r="E782" s="26" t="n"/>
      <c r="F782" s="26" t="n"/>
      <c r="G782" s="26" t="n"/>
      <c r="H782" s="26" t="n"/>
      <c r="I782" s="26">
        <f>IFERROR(SUMIF(A$6:A782,"&lt;&gt;""",G$6:G782)-SUMIF(A$6:A782,"&lt;&gt;""",H$6:H782),"")</f>
        <v/>
      </c>
      <c r="J782" s="26" t="n"/>
    </row>
    <row r="783" ht="15" customHeight="1">
      <c r="A783" s="26" t="n"/>
      <c r="B783" s="26" t="n"/>
      <c r="C783" s="26" t="n"/>
      <c r="D783" s="26" t="n"/>
      <c r="E783" s="26" t="n"/>
      <c r="F783" s="26" t="n"/>
      <c r="G783" s="26" t="n"/>
      <c r="H783" s="26" t="n"/>
      <c r="I783" s="26">
        <f>IFERROR(SUMIF(A$6:A783,"&lt;&gt;""",G$6:G783)-SUMIF(A$6:A783,"&lt;&gt;""",H$6:H783),"")</f>
        <v/>
      </c>
      <c r="J783" s="26" t="n"/>
    </row>
    <row r="784" ht="15" customHeight="1">
      <c r="A784" s="26" t="n"/>
      <c r="B784" s="26" t="n"/>
      <c r="C784" s="26" t="n"/>
      <c r="D784" s="26" t="n"/>
      <c r="E784" s="26" t="n"/>
      <c r="F784" s="26" t="n"/>
      <c r="G784" s="26" t="n"/>
      <c r="H784" s="26" t="n"/>
      <c r="I784" s="26">
        <f>IFERROR(SUMIF(A$6:A784,"&lt;&gt;""",G$6:G784)-SUMIF(A$6:A784,"&lt;&gt;""",H$6:H784),"")</f>
        <v/>
      </c>
      <c r="J784" s="26" t="n"/>
    </row>
    <row r="785" ht="15" customHeight="1">
      <c r="A785" s="26" t="n"/>
      <c r="B785" s="26" t="n"/>
      <c r="C785" s="26" t="n"/>
      <c r="D785" s="26" t="n"/>
      <c r="E785" s="26" t="n"/>
      <c r="F785" s="26" t="n"/>
      <c r="G785" s="26" t="n"/>
      <c r="H785" s="26" t="n"/>
      <c r="I785" s="26">
        <f>IFERROR(SUMIF(A$6:A785,"&lt;&gt;""",G$6:G785)-SUMIF(A$6:A785,"&lt;&gt;""",H$6:H785),"")</f>
        <v/>
      </c>
      <c r="J785" s="26" t="n"/>
    </row>
    <row r="786" ht="15" customHeight="1">
      <c r="A786" s="26" t="n"/>
      <c r="B786" s="26" t="n"/>
      <c r="C786" s="26" t="n"/>
      <c r="D786" s="26" t="n"/>
      <c r="E786" s="26" t="n"/>
      <c r="F786" s="26" t="n"/>
      <c r="G786" s="26" t="n"/>
      <c r="H786" s="26" t="n"/>
      <c r="I786" s="26">
        <f>IFERROR(SUMIF(A$6:A786,"&lt;&gt;""",G$6:G786)-SUMIF(A$6:A786,"&lt;&gt;""",H$6:H786),"")</f>
        <v/>
      </c>
      <c r="J786" s="26" t="n"/>
    </row>
    <row r="787" ht="15" customHeight="1">
      <c r="A787" s="26" t="n"/>
      <c r="B787" s="26" t="n"/>
      <c r="C787" s="26" t="n"/>
      <c r="D787" s="26" t="n"/>
      <c r="E787" s="26" t="n"/>
      <c r="F787" s="26" t="n"/>
      <c r="G787" s="26" t="n"/>
      <c r="H787" s="26" t="n"/>
      <c r="I787" s="26">
        <f>IFERROR(SUMIF(A$6:A787,"&lt;&gt;""",G$6:G787)-SUMIF(A$6:A787,"&lt;&gt;""",H$6:H787),"")</f>
        <v/>
      </c>
      <c r="J787" s="26" t="n"/>
    </row>
    <row r="788" ht="15" customHeight="1">
      <c r="A788" s="26" t="n"/>
      <c r="B788" s="26" t="n"/>
      <c r="C788" s="26" t="n"/>
      <c r="D788" s="26" t="n"/>
      <c r="E788" s="26" t="n"/>
      <c r="F788" s="26" t="n"/>
      <c r="G788" s="26" t="n"/>
      <c r="H788" s="26" t="n"/>
      <c r="I788" s="26">
        <f>IFERROR(SUMIF(A$6:A788,"&lt;&gt;""",G$6:G788)-SUMIF(A$6:A788,"&lt;&gt;""",H$6:H788),"")</f>
        <v/>
      </c>
      <c r="J788" s="26" t="n"/>
    </row>
    <row r="789" ht="15" customHeight="1">
      <c r="A789" s="26" t="n"/>
      <c r="B789" s="26" t="n"/>
      <c r="C789" s="26" t="n"/>
      <c r="D789" s="26" t="n"/>
      <c r="E789" s="26" t="n"/>
      <c r="F789" s="26" t="n"/>
      <c r="G789" s="26" t="n"/>
      <c r="H789" s="26" t="n"/>
      <c r="I789" s="26">
        <f>IFERROR(SUMIF(A$6:A789,"&lt;&gt;""",G$6:G789)-SUMIF(A$6:A789,"&lt;&gt;""",H$6:H789),"")</f>
        <v/>
      </c>
      <c r="J789" s="26" t="n"/>
    </row>
    <row r="790" ht="15" customHeight="1">
      <c r="A790" s="26" t="n"/>
      <c r="B790" s="26" t="n"/>
      <c r="C790" s="26" t="n"/>
      <c r="D790" s="26" t="n"/>
      <c r="E790" s="26" t="n"/>
      <c r="F790" s="26" t="n"/>
      <c r="G790" s="26" t="n"/>
      <c r="H790" s="26" t="n"/>
      <c r="I790" s="26">
        <f>IFERROR(SUMIF(A$6:A790,"&lt;&gt;""",G$6:G790)-SUMIF(A$6:A790,"&lt;&gt;""",H$6:H790),"")</f>
        <v/>
      </c>
      <c r="J790" s="26" t="n"/>
    </row>
    <row r="791" ht="15" customHeight="1">
      <c r="A791" s="26" t="n"/>
      <c r="B791" s="26" t="n"/>
      <c r="C791" s="26" t="n"/>
      <c r="D791" s="26" t="n"/>
      <c r="E791" s="26" t="n"/>
      <c r="F791" s="26" t="n"/>
      <c r="G791" s="26" t="n"/>
      <c r="H791" s="26" t="n"/>
      <c r="I791" s="26">
        <f>IFERROR(SUMIF(A$6:A791,"&lt;&gt;""",G$6:G791)-SUMIF(A$6:A791,"&lt;&gt;""",H$6:H791),"")</f>
        <v/>
      </c>
      <c r="J791" s="26" t="n"/>
    </row>
    <row r="792" ht="15" customHeight="1">
      <c r="A792" s="26" t="n"/>
      <c r="B792" s="26" t="n"/>
      <c r="C792" s="26" t="n"/>
      <c r="D792" s="26" t="n"/>
      <c r="E792" s="26" t="n"/>
      <c r="F792" s="26" t="n"/>
      <c r="G792" s="26" t="n"/>
      <c r="H792" s="26" t="n"/>
      <c r="I792" s="26">
        <f>IFERROR(SUMIF(A$6:A792,"&lt;&gt;""",G$6:G792)-SUMIF(A$6:A792,"&lt;&gt;""",H$6:H792),"")</f>
        <v/>
      </c>
      <c r="J792" s="26" t="n"/>
    </row>
    <row r="793" ht="15" customHeight="1">
      <c r="A793" s="26" t="n"/>
      <c r="B793" s="26" t="n"/>
      <c r="C793" s="26" t="n"/>
      <c r="D793" s="26" t="n"/>
      <c r="E793" s="26" t="n"/>
      <c r="F793" s="26" t="n"/>
      <c r="G793" s="26" t="n"/>
      <c r="H793" s="26" t="n"/>
      <c r="I793" s="26">
        <f>IFERROR(SUMIF(A$6:A793,"&lt;&gt;""",G$6:G793)-SUMIF(A$6:A793,"&lt;&gt;""",H$6:H793),"")</f>
        <v/>
      </c>
      <c r="J793" s="26" t="n"/>
    </row>
    <row r="794" ht="15" customHeight="1">
      <c r="A794" s="26" t="n"/>
      <c r="B794" s="26" t="n"/>
      <c r="C794" s="26" t="n"/>
      <c r="D794" s="26" t="n"/>
      <c r="E794" s="26" t="n"/>
      <c r="F794" s="26" t="n"/>
      <c r="G794" s="26" t="n"/>
      <c r="H794" s="26" t="n"/>
      <c r="I794" s="26">
        <f>IFERROR(SUMIF(A$6:A794,"&lt;&gt;""",G$6:G794)-SUMIF(A$6:A794,"&lt;&gt;""",H$6:H794),"")</f>
        <v/>
      </c>
      <c r="J794" s="26" t="n"/>
    </row>
    <row r="795" ht="15" customHeight="1">
      <c r="A795" s="26" t="n"/>
      <c r="B795" s="26" t="n"/>
      <c r="C795" s="26" t="n"/>
      <c r="D795" s="26" t="n"/>
      <c r="E795" s="26" t="n"/>
      <c r="F795" s="26" t="n"/>
      <c r="G795" s="26" t="n"/>
      <c r="H795" s="26" t="n"/>
      <c r="I795" s="26">
        <f>IFERROR(SUMIF(A$6:A795,"&lt;&gt;""",G$6:G795)-SUMIF(A$6:A795,"&lt;&gt;""",H$6:H795),"")</f>
        <v/>
      </c>
      <c r="J795" s="26" t="n"/>
    </row>
    <row r="796" ht="15" customHeight="1">
      <c r="A796" s="26" t="n"/>
      <c r="B796" s="26" t="n"/>
      <c r="C796" s="26" t="n"/>
      <c r="D796" s="26" t="n"/>
      <c r="E796" s="26" t="n"/>
      <c r="F796" s="26" t="n"/>
      <c r="G796" s="26" t="n"/>
      <c r="H796" s="26" t="n"/>
      <c r="I796" s="26">
        <f>IFERROR(SUMIF(A$6:A796,"&lt;&gt;""",G$6:G796)-SUMIF(A$6:A796,"&lt;&gt;""",H$6:H796),"")</f>
        <v/>
      </c>
      <c r="J796" s="26" t="n"/>
    </row>
    <row r="797" ht="15" customHeight="1">
      <c r="A797" s="26" t="n"/>
      <c r="B797" s="26" t="n"/>
      <c r="C797" s="26" t="n"/>
      <c r="D797" s="26" t="n"/>
      <c r="E797" s="26" t="n"/>
      <c r="F797" s="26" t="n"/>
      <c r="G797" s="26" t="n"/>
      <c r="H797" s="26" t="n"/>
      <c r="I797" s="26">
        <f>IFERROR(SUMIF(A$6:A797,"&lt;&gt;""",G$6:G797)-SUMIF(A$6:A797,"&lt;&gt;""",H$6:H797),"")</f>
        <v/>
      </c>
      <c r="J797" s="26" t="n"/>
    </row>
    <row r="798" ht="15" customHeight="1">
      <c r="A798" s="26" t="n"/>
      <c r="B798" s="26" t="n"/>
      <c r="C798" s="26" t="n"/>
      <c r="D798" s="26" t="n"/>
      <c r="E798" s="26" t="n"/>
      <c r="F798" s="26" t="n"/>
      <c r="G798" s="26" t="n"/>
      <c r="H798" s="26" t="n"/>
      <c r="I798" s="26">
        <f>IFERROR(SUMIF(A$6:A798,"&lt;&gt;""",G$6:G798)-SUMIF(A$6:A798,"&lt;&gt;""",H$6:H798),"")</f>
        <v/>
      </c>
      <c r="J798" s="26" t="n"/>
    </row>
    <row r="799" ht="15" customHeight="1">
      <c r="A799" s="26" t="n"/>
      <c r="B799" s="26" t="n"/>
      <c r="C799" s="26" t="n"/>
      <c r="D799" s="26" t="n"/>
      <c r="E799" s="26" t="n"/>
      <c r="F799" s="26" t="n"/>
      <c r="G799" s="26" t="n"/>
      <c r="H799" s="26" t="n"/>
      <c r="I799" s="26">
        <f>IFERROR(SUMIF(A$6:A799,"&lt;&gt;""",G$6:G799)-SUMIF(A$6:A799,"&lt;&gt;""",H$6:H799),"")</f>
        <v/>
      </c>
      <c r="J799" s="26" t="n"/>
    </row>
    <row r="800" ht="15" customHeight="1">
      <c r="A800" s="26" t="n"/>
      <c r="B800" s="26" t="n"/>
      <c r="C800" s="26" t="n"/>
      <c r="D800" s="26" t="n"/>
      <c r="E800" s="26" t="n"/>
      <c r="F800" s="26" t="n"/>
      <c r="G800" s="26" t="n"/>
      <c r="H800" s="26" t="n"/>
      <c r="I800" s="26">
        <f>IFERROR(SUMIF(A$6:A800,"&lt;&gt;""",G$6:G800)-SUMIF(A$6:A800,"&lt;&gt;""",H$6:H800),"")</f>
        <v/>
      </c>
      <c r="J800" s="26" t="n"/>
    </row>
    <row r="801" ht="15" customHeight="1">
      <c r="A801" s="26" t="n"/>
      <c r="B801" s="26" t="n"/>
      <c r="C801" s="26" t="n"/>
      <c r="D801" s="26" t="n"/>
      <c r="E801" s="26" t="n"/>
      <c r="F801" s="26" t="n"/>
      <c r="G801" s="26" t="n"/>
      <c r="H801" s="26" t="n"/>
      <c r="I801" s="26">
        <f>IFERROR(SUMIF(A$6:A801,"&lt;&gt;""",G$6:G801)-SUMIF(A$6:A801,"&lt;&gt;""",H$6:H801),"")</f>
        <v/>
      </c>
      <c r="J801" s="26" t="n"/>
    </row>
    <row r="802" ht="15" customHeight="1">
      <c r="A802" s="26" t="n"/>
      <c r="B802" s="26" t="n"/>
      <c r="C802" s="26" t="n"/>
      <c r="D802" s="26" t="n"/>
      <c r="E802" s="26" t="n"/>
      <c r="F802" s="26" t="n"/>
      <c r="G802" s="26" t="n"/>
      <c r="H802" s="26" t="n"/>
      <c r="I802" s="26">
        <f>IFERROR(SUMIF(A$6:A802,"&lt;&gt;""",G$6:G802)-SUMIF(A$6:A802,"&lt;&gt;""",H$6:H802),"")</f>
        <v/>
      </c>
      <c r="J802" s="26" t="n"/>
    </row>
    <row r="803" ht="15" customHeight="1">
      <c r="A803" s="26" t="n"/>
      <c r="B803" s="26" t="n"/>
      <c r="C803" s="26" t="n"/>
      <c r="D803" s="26" t="n"/>
      <c r="E803" s="26" t="n"/>
      <c r="F803" s="26" t="n"/>
      <c r="G803" s="26" t="n"/>
      <c r="H803" s="26" t="n"/>
      <c r="I803" s="26">
        <f>IFERROR(SUMIF(A$6:A803,"&lt;&gt;""",G$6:G803)-SUMIF(A$6:A803,"&lt;&gt;""",H$6:H803),"")</f>
        <v/>
      </c>
      <c r="J803" s="26" t="n"/>
    </row>
    <row r="804" ht="15" customHeight="1">
      <c r="A804" s="26" t="n"/>
      <c r="B804" s="26" t="n"/>
      <c r="C804" s="26" t="n"/>
      <c r="D804" s="26" t="n"/>
      <c r="E804" s="26" t="n"/>
      <c r="F804" s="26" t="n"/>
      <c r="G804" s="26" t="n"/>
      <c r="H804" s="26" t="n"/>
      <c r="I804" s="26">
        <f>IFERROR(SUMIF(A$6:A804,"&lt;&gt;""",G$6:G804)-SUMIF(A$6:A804,"&lt;&gt;""",H$6:H804),"")</f>
        <v/>
      </c>
      <c r="J804" s="26" t="n"/>
    </row>
    <row r="805" ht="15" customHeight="1">
      <c r="A805" s="26" t="n"/>
      <c r="B805" s="26" t="n"/>
      <c r="C805" s="26" t="n"/>
      <c r="D805" s="26" t="n"/>
      <c r="E805" s="26" t="n"/>
      <c r="F805" s="26" t="n"/>
      <c r="G805" s="26" t="n"/>
      <c r="H805" s="26" t="n"/>
      <c r="I805" s="26">
        <f>IFERROR(SUMIF(A$6:A805,"&lt;&gt;""",G$6:G805)-SUMIF(A$6:A805,"&lt;&gt;""",H$6:H805),"")</f>
        <v/>
      </c>
      <c r="J805" s="26" t="n"/>
    </row>
    <row r="806" ht="15" customHeight="1">
      <c r="A806" s="26" t="n"/>
      <c r="B806" s="26" t="n"/>
      <c r="C806" s="26" t="n"/>
      <c r="D806" s="26" t="n"/>
      <c r="E806" s="26" t="n"/>
      <c r="F806" s="26" t="n"/>
      <c r="G806" s="26" t="n"/>
      <c r="H806" s="26" t="n"/>
      <c r="I806" s="26">
        <f>IFERROR(SUMIF(A$6:A806,"&lt;&gt;""",G$6:G806)-SUMIF(A$6:A806,"&lt;&gt;""",H$6:H806),"")</f>
        <v/>
      </c>
      <c r="J806" s="26" t="n"/>
    </row>
    <row r="807" ht="15" customHeight="1">
      <c r="A807" s="26" t="n"/>
      <c r="B807" s="26" t="n"/>
      <c r="C807" s="26" t="n"/>
      <c r="D807" s="26" t="n"/>
      <c r="E807" s="26" t="n"/>
      <c r="F807" s="26" t="n"/>
      <c r="G807" s="26" t="n"/>
      <c r="H807" s="26" t="n"/>
      <c r="I807" s="26">
        <f>IFERROR(SUMIF(A$6:A807,"&lt;&gt;""",G$6:G807)-SUMIF(A$6:A807,"&lt;&gt;""",H$6:H807),"")</f>
        <v/>
      </c>
      <c r="J807" s="26" t="n"/>
    </row>
    <row r="808" ht="15" customHeight="1">
      <c r="A808" s="26" t="n"/>
      <c r="B808" s="26" t="n"/>
      <c r="C808" s="26" t="n"/>
      <c r="D808" s="26" t="n"/>
      <c r="E808" s="26" t="n"/>
      <c r="F808" s="26" t="n"/>
      <c r="G808" s="26" t="n"/>
      <c r="H808" s="26" t="n"/>
      <c r="I808" s="26">
        <f>IFERROR(SUMIF(A$6:A808,"&lt;&gt;""",G$6:G808)-SUMIF(A$6:A808,"&lt;&gt;""",H$6:H808),"")</f>
        <v/>
      </c>
      <c r="J808" s="26" t="n"/>
    </row>
    <row r="809" ht="15" customHeight="1">
      <c r="A809" s="26" t="n"/>
      <c r="B809" s="26" t="n"/>
      <c r="C809" s="26" t="n"/>
      <c r="D809" s="26" t="n"/>
      <c r="E809" s="26" t="n"/>
      <c r="F809" s="26" t="n"/>
      <c r="G809" s="26" t="n"/>
      <c r="H809" s="26" t="n"/>
      <c r="I809" s="26">
        <f>IFERROR(SUMIF(A$6:A809,"&lt;&gt;""",G$6:G809)-SUMIF(A$6:A809,"&lt;&gt;""",H$6:H809),"")</f>
        <v/>
      </c>
      <c r="J809" s="26" t="n"/>
    </row>
    <row r="810" ht="15" customHeight="1">
      <c r="A810" s="26" t="n"/>
      <c r="B810" s="26" t="n"/>
      <c r="C810" s="26" t="n"/>
      <c r="D810" s="26" t="n"/>
      <c r="E810" s="26" t="n"/>
      <c r="F810" s="26" t="n"/>
      <c r="G810" s="26" t="n"/>
      <c r="H810" s="26" t="n"/>
      <c r="I810" s="26">
        <f>IFERROR(SUMIF(A$6:A810,"&lt;&gt;""",G$6:G810)-SUMIF(A$6:A810,"&lt;&gt;""",H$6:H810),"")</f>
        <v/>
      </c>
      <c r="J810" s="26" t="n"/>
    </row>
    <row r="811" ht="15" customHeight="1">
      <c r="A811" s="26" t="n"/>
      <c r="B811" s="26" t="n"/>
      <c r="C811" s="26" t="n"/>
      <c r="D811" s="26" t="n"/>
      <c r="E811" s="26" t="n"/>
      <c r="F811" s="26" t="n"/>
      <c r="G811" s="26" t="n"/>
      <c r="H811" s="26" t="n"/>
      <c r="I811" s="26">
        <f>IFERROR(SUMIF(A$6:A811,"&lt;&gt;""",G$6:G811)-SUMIF(A$6:A811,"&lt;&gt;""",H$6:H811),"")</f>
        <v/>
      </c>
      <c r="J811" s="26" t="n"/>
    </row>
    <row r="812" ht="15" customHeight="1">
      <c r="A812" s="26" t="n"/>
      <c r="B812" s="26" t="n"/>
      <c r="C812" s="26" t="n"/>
      <c r="D812" s="26" t="n"/>
      <c r="E812" s="26" t="n"/>
      <c r="F812" s="26" t="n"/>
      <c r="G812" s="26" t="n"/>
      <c r="H812" s="26" t="n"/>
      <c r="I812" s="26">
        <f>IFERROR(SUMIF(A$6:A812,"&lt;&gt;""",G$6:G812)-SUMIF(A$6:A812,"&lt;&gt;""",H$6:H812),"")</f>
        <v/>
      </c>
      <c r="J812" s="26" t="n"/>
    </row>
    <row r="813" ht="15" customHeight="1">
      <c r="A813" s="26" t="n"/>
      <c r="B813" s="26" t="n"/>
      <c r="C813" s="26" t="n"/>
      <c r="D813" s="26" t="n"/>
      <c r="E813" s="26" t="n"/>
      <c r="F813" s="26" t="n"/>
      <c r="G813" s="26" t="n"/>
      <c r="H813" s="26" t="n"/>
      <c r="I813" s="26">
        <f>IFERROR(SUMIF(A$6:A813,"&lt;&gt;""",G$6:G813)-SUMIF(A$6:A813,"&lt;&gt;""",H$6:H813),"")</f>
        <v/>
      </c>
      <c r="J813" s="26" t="n"/>
    </row>
    <row r="814" ht="15" customHeight="1">
      <c r="A814" s="26" t="n"/>
      <c r="B814" s="26" t="n"/>
      <c r="C814" s="26" t="n"/>
      <c r="D814" s="26" t="n"/>
      <c r="E814" s="26" t="n"/>
      <c r="F814" s="26" t="n"/>
      <c r="G814" s="26" t="n"/>
      <c r="H814" s="26" t="n"/>
      <c r="I814" s="26">
        <f>IFERROR(SUMIF(A$6:A814,"&lt;&gt;""",G$6:G814)-SUMIF(A$6:A814,"&lt;&gt;""",H$6:H814),"")</f>
        <v/>
      </c>
      <c r="J814" s="26" t="n"/>
    </row>
    <row r="815" ht="15" customHeight="1">
      <c r="A815" s="26" t="n"/>
      <c r="B815" s="26" t="n"/>
      <c r="C815" s="26" t="n"/>
      <c r="D815" s="26" t="n"/>
      <c r="E815" s="26" t="n"/>
      <c r="F815" s="26" t="n"/>
      <c r="G815" s="26" t="n"/>
      <c r="H815" s="26" t="n"/>
      <c r="I815" s="26">
        <f>IFERROR(SUMIF(A$6:A815,"&lt;&gt;""",G$6:G815)-SUMIF(A$6:A815,"&lt;&gt;""",H$6:H815),"")</f>
        <v/>
      </c>
      <c r="J815" s="26" t="n"/>
    </row>
    <row r="816" ht="15" customHeight="1">
      <c r="A816" s="26" t="n"/>
      <c r="B816" s="26" t="n"/>
      <c r="C816" s="26" t="n"/>
      <c r="D816" s="26" t="n"/>
      <c r="E816" s="26" t="n"/>
      <c r="F816" s="26" t="n"/>
      <c r="G816" s="26" t="n"/>
      <c r="H816" s="26" t="n"/>
      <c r="I816" s="26">
        <f>IFERROR(SUMIF(A$6:A816,"&lt;&gt;""",G$6:G816)-SUMIF(A$6:A816,"&lt;&gt;""",H$6:H816),"")</f>
        <v/>
      </c>
      <c r="J816" s="26" t="n"/>
    </row>
    <row r="817" ht="15" customHeight="1">
      <c r="A817" s="26" t="n"/>
      <c r="B817" s="26" t="n"/>
      <c r="C817" s="26" t="n"/>
      <c r="D817" s="26" t="n"/>
      <c r="E817" s="26" t="n"/>
      <c r="F817" s="26" t="n"/>
      <c r="G817" s="26" t="n"/>
      <c r="H817" s="26" t="n"/>
      <c r="I817" s="26">
        <f>IFERROR(SUMIF(A$6:A817,"&lt;&gt;""",G$6:G817)-SUMIF(A$6:A817,"&lt;&gt;""",H$6:H817),"")</f>
        <v/>
      </c>
      <c r="J817" s="26" t="n"/>
    </row>
    <row r="818" ht="15" customHeight="1">
      <c r="A818" s="26" t="n"/>
      <c r="B818" s="26" t="n"/>
      <c r="C818" s="26" t="n"/>
      <c r="D818" s="26" t="n"/>
      <c r="E818" s="26" t="n"/>
      <c r="F818" s="26" t="n"/>
      <c r="G818" s="26" t="n"/>
      <c r="H818" s="26" t="n"/>
      <c r="I818" s="26">
        <f>IFERROR(SUMIF(A$6:A818,"&lt;&gt;""",G$6:G818)-SUMIF(A$6:A818,"&lt;&gt;""",H$6:H818),"")</f>
        <v/>
      </c>
      <c r="J818" s="26" t="n"/>
    </row>
    <row r="819" ht="15" customHeight="1">
      <c r="A819" s="26" t="n"/>
      <c r="B819" s="26" t="n"/>
      <c r="C819" s="26" t="n"/>
      <c r="D819" s="26" t="n"/>
      <c r="E819" s="26" t="n"/>
      <c r="F819" s="26" t="n"/>
      <c r="G819" s="26" t="n"/>
      <c r="H819" s="26" t="n"/>
      <c r="I819" s="26">
        <f>IFERROR(SUMIF(A$6:A819,"&lt;&gt;""",G$6:G819)-SUMIF(A$6:A819,"&lt;&gt;""",H$6:H819),"")</f>
        <v/>
      </c>
      <c r="J819" s="26" t="n"/>
    </row>
    <row r="820" ht="15" customHeight="1">
      <c r="A820" s="26" t="n"/>
      <c r="B820" s="26" t="n"/>
      <c r="C820" s="26" t="n"/>
      <c r="D820" s="26" t="n"/>
      <c r="E820" s="26" t="n"/>
      <c r="F820" s="26" t="n"/>
      <c r="G820" s="26" t="n"/>
      <c r="H820" s="26" t="n"/>
      <c r="I820" s="26">
        <f>IFERROR(SUMIF(A$6:A820,"&lt;&gt;""",G$6:G820)-SUMIF(A$6:A820,"&lt;&gt;""",H$6:H820),"")</f>
        <v/>
      </c>
      <c r="J820" s="26" t="n"/>
    </row>
    <row r="821" ht="15" customHeight="1">
      <c r="A821" s="26" t="n"/>
      <c r="B821" s="26" t="n"/>
      <c r="C821" s="26" t="n"/>
      <c r="D821" s="26" t="n"/>
      <c r="E821" s="26" t="n"/>
      <c r="F821" s="26" t="n"/>
      <c r="G821" s="26" t="n"/>
      <c r="H821" s="26" t="n"/>
      <c r="I821" s="26">
        <f>IFERROR(SUMIF(A$6:A821,"&lt;&gt;""",G$6:G821)-SUMIF(A$6:A821,"&lt;&gt;""",H$6:H821),"")</f>
        <v/>
      </c>
      <c r="J821" s="26" t="n"/>
    </row>
    <row r="822" ht="15" customHeight="1">
      <c r="A822" s="26" t="n"/>
      <c r="B822" s="26" t="n"/>
      <c r="C822" s="26" t="n"/>
      <c r="D822" s="26" t="n"/>
      <c r="E822" s="26" t="n"/>
      <c r="F822" s="26" t="n"/>
      <c r="G822" s="26" t="n"/>
      <c r="H822" s="26" t="n"/>
      <c r="I822" s="26">
        <f>IFERROR(SUMIF(A$6:A822,"&lt;&gt;""",G$6:G822)-SUMIF(A$6:A822,"&lt;&gt;""",H$6:H822),"")</f>
        <v/>
      </c>
      <c r="J822" s="26" t="n"/>
    </row>
    <row r="823" ht="15" customHeight="1">
      <c r="A823" s="26" t="n"/>
      <c r="B823" s="26" t="n"/>
      <c r="C823" s="26" t="n"/>
      <c r="D823" s="26" t="n"/>
      <c r="E823" s="26" t="n"/>
      <c r="F823" s="26" t="n"/>
      <c r="G823" s="26" t="n"/>
      <c r="H823" s="26" t="n"/>
      <c r="I823" s="26">
        <f>IFERROR(SUMIF(A$6:A823,"&lt;&gt;""",G$6:G823)-SUMIF(A$6:A823,"&lt;&gt;""",H$6:H823),"")</f>
        <v/>
      </c>
      <c r="J823" s="26" t="n"/>
    </row>
    <row r="824" ht="15" customHeight="1">
      <c r="A824" s="26" t="n"/>
      <c r="B824" s="26" t="n"/>
      <c r="C824" s="26" t="n"/>
      <c r="D824" s="26" t="n"/>
      <c r="E824" s="26" t="n"/>
      <c r="F824" s="26" t="n"/>
      <c r="G824" s="26" t="n"/>
      <c r="H824" s="26" t="n"/>
      <c r="I824" s="26">
        <f>IFERROR(SUMIF(A$6:A824,"&lt;&gt;""",G$6:G824)-SUMIF(A$6:A824,"&lt;&gt;""",H$6:H824),"")</f>
        <v/>
      </c>
      <c r="J824" s="26" t="n"/>
    </row>
    <row r="825" ht="15" customHeight="1">
      <c r="A825" s="26" t="n"/>
      <c r="B825" s="26" t="n"/>
      <c r="C825" s="26" t="n"/>
      <c r="D825" s="26" t="n"/>
      <c r="E825" s="26" t="n"/>
      <c r="F825" s="26" t="n"/>
      <c r="G825" s="26" t="n"/>
      <c r="H825" s="26" t="n"/>
      <c r="I825" s="26">
        <f>IFERROR(SUMIF(A$6:A825,"&lt;&gt;""",G$6:G825)-SUMIF(A$6:A825,"&lt;&gt;""",H$6:H825),"")</f>
        <v/>
      </c>
      <c r="J825" s="26" t="n"/>
    </row>
    <row r="826" ht="15" customHeight="1">
      <c r="A826" s="26" t="n"/>
      <c r="B826" s="26" t="n"/>
      <c r="C826" s="26" t="n"/>
      <c r="D826" s="26" t="n"/>
      <c r="E826" s="26" t="n"/>
      <c r="F826" s="26" t="n"/>
      <c r="G826" s="26" t="n"/>
      <c r="H826" s="26" t="n"/>
      <c r="I826" s="26">
        <f>IFERROR(SUMIF(A$6:A826,"&lt;&gt;""",G$6:G826)-SUMIF(A$6:A826,"&lt;&gt;""",H$6:H826),"")</f>
        <v/>
      </c>
      <c r="J826" s="26" t="n"/>
    </row>
    <row r="827" ht="15" customHeight="1">
      <c r="A827" s="26" t="n"/>
      <c r="B827" s="26" t="n"/>
      <c r="C827" s="26" t="n"/>
      <c r="D827" s="26" t="n"/>
      <c r="E827" s="26" t="n"/>
      <c r="F827" s="26" t="n"/>
      <c r="G827" s="26" t="n"/>
      <c r="H827" s="26" t="n"/>
      <c r="I827" s="26">
        <f>IFERROR(SUMIF(A$6:A827,"&lt;&gt;""",G$6:G827)-SUMIF(A$6:A827,"&lt;&gt;""",H$6:H827),"")</f>
        <v/>
      </c>
      <c r="J827" s="26" t="n"/>
    </row>
    <row r="828" ht="15" customHeight="1">
      <c r="A828" s="26" t="n"/>
      <c r="B828" s="26" t="n"/>
      <c r="C828" s="26" t="n"/>
      <c r="D828" s="26" t="n"/>
      <c r="E828" s="26" t="n"/>
      <c r="F828" s="26" t="n"/>
      <c r="G828" s="26" t="n"/>
      <c r="H828" s="26" t="n"/>
      <c r="I828" s="26">
        <f>IFERROR(SUMIF(A$6:A828,"&lt;&gt;""",G$6:G828)-SUMIF(A$6:A828,"&lt;&gt;""",H$6:H828),"")</f>
        <v/>
      </c>
      <c r="J828" s="26" t="n"/>
    </row>
    <row r="829" ht="15" customHeight="1">
      <c r="A829" s="26" t="n"/>
      <c r="B829" s="26" t="n"/>
      <c r="C829" s="26" t="n"/>
      <c r="D829" s="26" t="n"/>
      <c r="E829" s="26" t="n"/>
      <c r="F829" s="26" t="n"/>
      <c r="G829" s="26" t="n"/>
      <c r="H829" s="26" t="n"/>
      <c r="I829" s="26">
        <f>IFERROR(SUMIF(A$6:A829,"&lt;&gt;""",G$6:G829)-SUMIF(A$6:A829,"&lt;&gt;""",H$6:H829),"")</f>
        <v/>
      </c>
      <c r="J829" s="26" t="n"/>
    </row>
    <row r="830" ht="15" customHeight="1">
      <c r="A830" s="26" t="n"/>
      <c r="B830" s="26" t="n"/>
      <c r="C830" s="26" t="n"/>
      <c r="D830" s="26" t="n"/>
      <c r="E830" s="26" t="n"/>
      <c r="F830" s="26" t="n"/>
      <c r="G830" s="26" t="n"/>
      <c r="H830" s="26" t="n"/>
      <c r="I830" s="26">
        <f>IFERROR(SUMIF(A$6:A830,"&lt;&gt;""",G$6:G830)-SUMIF(A$6:A830,"&lt;&gt;""",H$6:H830),"")</f>
        <v/>
      </c>
      <c r="J830" s="26" t="n"/>
    </row>
    <row r="831" ht="15" customHeight="1">
      <c r="A831" s="26" t="n"/>
      <c r="B831" s="26" t="n"/>
      <c r="C831" s="26" t="n"/>
      <c r="D831" s="26" t="n"/>
      <c r="E831" s="26" t="n"/>
      <c r="F831" s="26" t="n"/>
      <c r="G831" s="26" t="n"/>
      <c r="H831" s="26" t="n"/>
      <c r="I831" s="26">
        <f>IFERROR(SUMIF(A$6:A831,"&lt;&gt;""",G$6:G831)-SUMIF(A$6:A831,"&lt;&gt;""",H$6:H831),"")</f>
        <v/>
      </c>
      <c r="J831" s="26" t="n"/>
    </row>
    <row r="832" ht="15" customHeight="1">
      <c r="A832" s="26" t="n"/>
      <c r="B832" s="26" t="n"/>
      <c r="C832" s="26" t="n"/>
      <c r="D832" s="26" t="n"/>
      <c r="E832" s="26" t="n"/>
      <c r="F832" s="26" t="n"/>
      <c r="G832" s="26" t="n"/>
      <c r="H832" s="26" t="n"/>
      <c r="I832" s="26">
        <f>IFERROR(SUMIF(A$6:A832,"&lt;&gt;""",G$6:G832)-SUMIF(A$6:A832,"&lt;&gt;""",H$6:H832),"")</f>
        <v/>
      </c>
      <c r="J832" s="26" t="n"/>
    </row>
    <row r="833" ht="15" customHeight="1">
      <c r="A833" s="26" t="n"/>
      <c r="B833" s="26" t="n"/>
      <c r="C833" s="26" t="n"/>
      <c r="D833" s="26" t="n"/>
      <c r="E833" s="26" t="n"/>
      <c r="F833" s="26" t="n"/>
      <c r="G833" s="26" t="n"/>
      <c r="H833" s="26" t="n"/>
      <c r="I833" s="26">
        <f>IFERROR(SUMIF(A$6:A833,"&lt;&gt;""",G$6:G833)-SUMIF(A$6:A833,"&lt;&gt;""",H$6:H833),"")</f>
        <v/>
      </c>
      <c r="J833" s="26" t="n"/>
    </row>
    <row r="834" ht="15" customHeight="1">
      <c r="A834" s="26" t="n"/>
      <c r="B834" s="26" t="n"/>
      <c r="C834" s="26" t="n"/>
      <c r="D834" s="26" t="n"/>
      <c r="E834" s="26" t="n"/>
      <c r="F834" s="26" t="n"/>
      <c r="G834" s="26" t="n"/>
      <c r="H834" s="26" t="n"/>
      <c r="I834" s="26">
        <f>IFERROR(SUMIF(A$6:A834,"&lt;&gt;""",G$6:G834)-SUMIF(A$6:A834,"&lt;&gt;""",H$6:H834),"")</f>
        <v/>
      </c>
      <c r="J834" s="26" t="n"/>
    </row>
    <row r="835" ht="15" customHeight="1">
      <c r="A835" s="26" t="n"/>
      <c r="B835" s="26" t="n"/>
      <c r="C835" s="26" t="n"/>
      <c r="D835" s="26" t="n"/>
      <c r="E835" s="26" t="n"/>
      <c r="F835" s="26" t="n"/>
      <c r="G835" s="26" t="n"/>
      <c r="H835" s="26" t="n"/>
      <c r="I835" s="26">
        <f>IFERROR(SUMIF(A$6:A835,"&lt;&gt;""",G$6:G835)-SUMIF(A$6:A835,"&lt;&gt;""",H$6:H835),"")</f>
        <v/>
      </c>
      <c r="J835" s="26" t="n"/>
    </row>
    <row r="836" ht="15" customHeight="1">
      <c r="A836" s="26" t="n"/>
      <c r="B836" s="26" t="n"/>
      <c r="C836" s="26" t="n"/>
      <c r="D836" s="26" t="n"/>
      <c r="E836" s="26" t="n"/>
      <c r="F836" s="26" t="n"/>
      <c r="G836" s="26" t="n"/>
      <c r="H836" s="26" t="n"/>
      <c r="I836" s="26">
        <f>IFERROR(SUMIF(A$6:A836,"&lt;&gt;""",G$6:G836)-SUMIF(A$6:A836,"&lt;&gt;""",H$6:H836),"")</f>
        <v/>
      </c>
      <c r="J836" s="26" t="n"/>
    </row>
    <row r="837" ht="15" customHeight="1">
      <c r="A837" s="26" t="n"/>
      <c r="B837" s="26" t="n"/>
      <c r="C837" s="26" t="n"/>
      <c r="D837" s="26" t="n"/>
      <c r="E837" s="26" t="n"/>
      <c r="F837" s="26" t="n"/>
      <c r="G837" s="26" t="n"/>
      <c r="H837" s="26" t="n"/>
      <c r="I837" s="26">
        <f>IFERROR(SUMIF(A$6:A837,"&lt;&gt;""",G$6:G837)-SUMIF(A$6:A837,"&lt;&gt;""",H$6:H837),"")</f>
        <v/>
      </c>
      <c r="J837" s="26" t="n"/>
    </row>
    <row r="838" ht="15" customHeight="1">
      <c r="A838" s="26" t="n"/>
      <c r="B838" s="26" t="n"/>
      <c r="C838" s="26" t="n"/>
      <c r="D838" s="26" t="n"/>
      <c r="E838" s="26" t="n"/>
      <c r="F838" s="26" t="n"/>
      <c r="G838" s="26" t="n"/>
      <c r="H838" s="26" t="n"/>
      <c r="I838" s="26">
        <f>IFERROR(SUMIF(A$6:A838,"&lt;&gt;""",G$6:G838)-SUMIF(A$6:A838,"&lt;&gt;""",H$6:H838),"")</f>
        <v/>
      </c>
      <c r="J838" s="26" t="n"/>
    </row>
    <row r="839" ht="15" customHeight="1">
      <c r="A839" s="26" t="n"/>
      <c r="B839" s="26" t="n"/>
      <c r="C839" s="26" t="n"/>
      <c r="D839" s="26" t="n"/>
      <c r="E839" s="26" t="n"/>
      <c r="F839" s="26" t="n"/>
      <c r="G839" s="26" t="n"/>
      <c r="H839" s="26" t="n"/>
      <c r="I839" s="26">
        <f>IFERROR(SUMIF(A$6:A839,"&lt;&gt;""",G$6:G839)-SUMIF(A$6:A839,"&lt;&gt;""",H$6:H839),"")</f>
        <v/>
      </c>
      <c r="J839" s="26" t="n"/>
    </row>
    <row r="840" ht="15" customHeight="1">
      <c r="A840" s="26" t="n"/>
      <c r="B840" s="26" t="n"/>
      <c r="C840" s="26" t="n"/>
      <c r="D840" s="26" t="n"/>
      <c r="E840" s="26" t="n"/>
      <c r="F840" s="26" t="n"/>
      <c r="G840" s="26" t="n"/>
      <c r="H840" s="26" t="n"/>
      <c r="I840" s="26">
        <f>IFERROR(SUMIF(A$6:A840,"&lt;&gt;""",G$6:G840)-SUMIF(A$6:A840,"&lt;&gt;""",H$6:H840),"")</f>
        <v/>
      </c>
      <c r="J840" s="26" t="n"/>
    </row>
    <row r="841" ht="15" customHeight="1">
      <c r="A841" s="26" t="n"/>
      <c r="B841" s="26" t="n"/>
      <c r="C841" s="26" t="n"/>
      <c r="D841" s="26" t="n"/>
      <c r="E841" s="26" t="n"/>
      <c r="F841" s="26" t="n"/>
      <c r="G841" s="26" t="n"/>
      <c r="H841" s="26" t="n"/>
      <c r="I841" s="26">
        <f>IFERROR(SUMIF(A$6:A841,"&lt;&gt;""",G$6:G841)-SUMIF(A$6:A841,"&lt;&gt;""",H$6:H841),"")</f>
        <v/>
      </c>
      <c r="J841" s="26" t="n"/>
    </row>
    <row r="842" ht="15" customHeight="1">
      <c r="A842" s="26" t="n"/>
      <c r="B842" s="26" t="n"/>
      <c r="C842" s="26" t="n"/>
      <c r="D842" s="26" t="n"/>
      <c r="E842" s="26" t="n"/>
      <c r="F842" s="26" t="n"/>
      <c r="G842" s="26" t="n"/>
      <c r="H842" s="26" t="n"/>
      <c r="I842" s="26">
        <f>IFERROR(SUMIF(A$6:A842,"&lt;&gt;""",G$6:G842)-SUMIF(A$6:A842,"&lt;&gt;""",H$6:H842),"")</f>
        <v/>
      </c>
      <c r="J842" s="26" t="n"/>
    </row>
    <row r="843" ht="15" customHeight="1">
      <c r="A843" s="26" t="n"/>
      <c r="B843" s="26" t="n"/>
      <c r="C843" s="26" t="n"/>
      <c r="D843" s="26" t="n"/>
      <c r="E843" s="26" t="n"/>
      <c r="F843" s="26" t="n"/>
      <c r="G843" s="26" t="n"/>
      <c r="H843" s="26" t="n"/>
      <c r="I843" s="26">
        <f>IFERROR(SUMIF(A$6:A843,"&lt;&gt;""",G$6:G843)-SUMIF(A$6:A843,"&lt;&gt;""",H$6:H843),"")</f>
        <v/>
      </c>
      <c r="J843" s="26" t="n"/>
    </row>
    <row r="844" ht="15" customHeight="1">
      <c r="A844" s="26" t="n"/>
      <c r="B844" s="26" t="n"/>
      <c r="C844" s="26" t="n"/>
      <c r="D844" s="26" t="n"/>
      <c r="E844" s="26" t="n"/>
      <c r="F844" s="26" t="n"/>
      <c r="G844" s="26" t="n"/>
      <c r="H844" s="26" t="n"/>
      <c r="I844" s="26">
        <f>IFERROR(SUMIF(A$6:A844,"&lt;&gt;""",G$6:G844)-SUMIF(A$6:A844,"&lt;&gt;""",H$6:H844),"")</f>
        <v/>
      </c>
      <c r="J844" s="26" t="n"/>
    </row>
    <row r="845" ht="15" customHeight="1">
      <c r="A845" s="26" t="n"/>
      <c r="B845" s="26" t="n"/>
      <c r="C845" s="26" t="n"/>
      <c r="D845" s="26" t="n"/>
      <c r="E845" s="26" t="n"/>
      <c r="F845" s="26" t="n"/>
      <c r="G845" s="26" t="n"/>
      <c r="H845" s="26" t="n"/>
      <c r="I845" s="26">
        <f>IFERROR(SUMIF(A$6:A845,"&lt;&gt;""",G$6:G845)-SUMIF(A$6:A845,"&lt;&gt;""",H$6:H845),"")</f>
        <v/>
      </c>
      <c r="J845" s="26" t="n"/>
    </row>
    <row r="846" ht="15" customHeight="1">
      <c r="A846" s="26" t="n"/>
      <c r="B846" s="26" t="n"/>
      <c r="C846" s="26" t="n"/>
      <c r="D846" s="26" t="n"/>
      <c r="E846" s="26" t="n"/>
      <c r="F846" s="26" t="n"/>
      <c r="G846" s="26" t="n"/>
      <c r="H846" s="26" t="n"/>
      <c r="I846" s="26">
        <f>IFERROR(SUMIF(A$6:A846,"&lt;&gt;""",G$6:G846)-SUMIF(A$6:A846,"&lt;&gt;""",H$6:H846),"")</f>
        <v/>
      </c>
      <c r="J846" s="26" t="n"/>
    </row>
    <row r="847" ht="15" customHeight="1">
      <c r="A847" s="26" t="n"/>
      <c r="B847" s="26" t="n"/>
      <c r="C847" s="26" t="n"/>
      <c r="D847" s="26" t="n"/>
      <c r="E847" s="26" t="n"/>
      <c r="F847" s="26" t="n"/>
      <c r="G847" s="26" t="n"/>
      <c r="H847" s="26" t="n"/>
      <c r="I847" s="26">
        <f>IFERROR(SUMIF(A$6:A847,"&lt;&gt;""",G$6:G847)-SUMIF(A$6:A847,"&lt;&gt;""",H$6:H847),"")</f>
        <v/>
      </c>
      <c r="J847" s="26" t="n"/>
    </row>
    <row r="848" ht="15" customHeight="1">
      <c r="A848" s="26" t="n"/>
      <c r="B848" s="26" t="n"/>
      <c r="C848" s="26" t="n"/>
      <c r="D848" s="26" t="n"/>
      <c r="E848" s="26" t="n"/>
      <c r="F848" s="26" t="n"/>
      <c r="G848" s="26" t="n"/>
      <c r="H848" s="26" t="n"/>
      <c r="I848" s="26">
        <f>IFERROR(SUMIF(A$6:A848,"&lt;&gt;""",G$6:G848)-SUMIF(A$6:A848,"&lt;&gt;""",H$6:H848),"")</f>
        <v/>
      </c>
      <c r="J848" s="26" t="n"/>
    </row>
    <row r="849" ht="15" customHeight="1">
      <c r="A849" s="26" t="n"/>
      <c r="B849" s="26" t="n"/>
      <c r="C849" s="26" t="n"/>
      <c r="D849" s="26" t="n"/>
      <c r="E849" s="26" t="n"/>
      <c r="F849" s="26" t="n"/>
      <c r="G849" s="26" t="n"/>
      <c r="H849" s="26" t="n"/>
      <c r="I849" s="26">
        <f>IFERROR(SUMIF(A$6:A849,"&lt;&gt;""",G$6:G849)-SUMIF(A$6:A849,"&lt;&gt;""",H$6:H849),"")</f>
        <v/>
      </c>
      <c r="J849" s="26" t="n"/>
    </row>
    <row r="850" ht="15" customHeight="1">
      <c r="A850" s="26" t="n"/>
      <c r="B850" s="26" t="n"/>
      <c r="C850" s="26" t="n"/>
      <c r="D850" s="26" t="n"/>
      <c r="E850" s="26" t="n"/>
      <c r="F850" s="26" t="n"/>
      <c r="G850" s="26" t="n"/>
      <c r="H850" s="26" t="n"/>
      <c r="I850" s="26">
        <f>IFERROR(SUMIF(A$6:A850,"&lt;&gt;""",G$6:G850)-SUMIF(A$6:A850,"&lt;&gt;""",H$6:H850),"")</f>
        <v/>
      </c>
      <c r="J850" s="26" t="n"/>
    </row>
    <row r="851" ht="15" customHeight="1">
      <c r="A851" s="26" t="n"/>
      <c r="B851" s="26" t="n"/>
      <c r="C851" s="26" t="n"/>
      <c r="D851" s="26" t="n"/>
      <c r="E851" s="26" t="n"/>
      <c r="F851" s="26" t="n"/>
      <c r="G851" s="26" t="n"/>
      <c r="H851" s="26" t="n"/>
      <c r="I851" s="26">
        <f>IFERROR(SUMIF(A$6:A851,"&lt;&gt;""",G$6:G851)-SUMIF(A$6:A851,"&lt;&gt;""",H$6:H851),"")</f>
        <v/>
      </c>
      <c r="J851" s="26" t="n"/>
    </row>
    <row r="852" ht="15" customHeight="1">
      <c r="A852" s="26" t="n"/>
      <c r="B852" s="26" t="n"/>
      <c r="C852" s="26" t="n"/>
      <c r="D852" s="26" t="n"/>
      <c r="E852" s="26" t="n"/>
      <c r="F852" s="26" t="n"/>
      <c r="G852" s="26" t="n"/>
      <c r="H852" s="26" t="n"/>
      <c r="I852" s="26">
        <f>IFERROR(SUMIF(A$6:A852,"&lt;&gt;""",G$6:G852)-SUMIF(A$6:A852,"&lt;&gt;""",H$6:H852),"")</f>
        <v/>
      </c>
      <c r="J852" s="26" t="n"/>
    </row>
    <row r="853" ht="15" customHeight="1">
      <c r="A853" s="26" t="n"/>
      <c r="B853" s="26" t="n"/>
      <c r="C853" s="26" t="n"/>
      <c r="D853" s="26" t="n"/>
      <c r="E853" s="26" t="n"/>
      <c r="F853" s="26" t="n"/>
      <c r="G853" s="26" t="n"/>
      <c r="H853" s="26" t="n"/>
      <c r="I853" s="26">
        <f>IFERROR(SUMIF(A$6:A853,"&lt;&gt;""",G$6:G853)-SUMIF(A$6:A853,"&lt;&gt;""",H$6:H853),"")</f>
        <v/>
      </c>
      <c r="J853" s="26" t="n"/>
    </row>
    <row r="854" ht="15" customHeight="1">
      <c r="A854" s="26" t="n"/>
      <c r="B854" s="26" t="n"/>
      <c r="C854" s="26" t="n"/>
      <c r="D854" s="26" t="n"/>
      <c r="E854" s="26" t="n"/>
      <c r="F854" s="26" t="n"/>
      <c r="G854" s="26" t="n"/>
      <c r="H854" s="26" t="n"/>
      <c r="I854" s="26">
        <f>IFERROR(SUMIF(A$6:A854,"&lt;&gt;""",G$6:G854)-SUMIF(A$6:A854,"&lt;&gt;""",H$6:H854),"")</f>
        <v/>
      </c>
      <c r="J854" s="26" t="n"/>
    </row>
    <row r="855" ht="15" customHeight="1">
      <c r="A855" s="26" t="n"/>
      <c r="B855" s="26" t="n"/>
      <c r="C855" s="26" t="n"/>
      <c r="D855" s="26" t="n"/>
      <c r="E855" s="26" t="n"/>
      <c r="F855" s="26" t="n"/>
      <c r="G855" s="26" t="n"/>
      <c r="H855" s="26" t="n"/>
      <c r="I855" s="26">
        <f>IFERROR(SUMIF(A$6:A855,"&lt;&gt;""",G$6:G855)-SUMIF(A$6:A855,"&lt;&gt;""",H$6:H855),"")</f>
        <v/>
      </c>
      <c r="J855" s="26" t="n"/>
    </row>
    <row r="856" ht="15" customHeight="1">
      <c r="A856" s="26" t="n"/>
      <c r="B856" s="26" t="n"/>
      <c r="C856" s="26" t="n"/>
      <c r="D856" s="26" t="n"/>
      <c r="E856" s="26" t="n"/>
      <c r="F856" s="26" t="n"/>
      <c r="G856" s="26" t="n"/>
      <c r="H856" s="26" t="n"/>
      <c r="I856" s="26">
        <f>IFERROR(SUMIF(A$6:A856,"&lt;&gt;""",G$6:G856)-SUMIF(A$6:A856,"&lt;&gt;""",H$6:H856),"")</f>
        <v/>
      </c>
      <c r="J856" s="26" t="n"/>
    </row>
    <row r="857" ht="15" customHeight="1">
      <c r="A857" s="26" t="n"/>
      <c r="B857" s="26" t="n"/>
      <c r="C857" s="26" t="n"/>
      <c r="D857" s="26" t="n"/>
      <c r="E857" s="26" t="n"/>
      <c r="F857" s="26" t="n"/>
      <c r="G857" s="26" t="n"/>
      <c r="H857" s="26" t="n"/>
      <c r="I857" s="26">
        <f>IFERROR(SUMIF(A$6:A857,"&lt;&gt;""",G$6:G857)-SUMIF(A$6:A857,"&lt;&gt;""",H$6:H857),"")</f>
        <v/>
      </c>
      <c r="J857" s="26" t="n"/>
    </row>
    <row r="858" ht="15" customHeight="1">
      <c r="A858" s="26" t="n"/>
      <c r="B858" s="26" t="n"/>
      <c r="C858" s="26" t="n"/>
      <c r="D858" s="26" t="n"/>
      <c r="E858" s="26" t="n"/>
      <c r="F858" s="26" t="n"/>
      <c r="G858" s="26" t="n"/>
      <c r="H858" s="26" t="n"/>
      <c r="I858" s="26">
        <f>IFERROR(SUMIF(A$6:A858,"&lt;&gt;""",G$6:G858)-SUMIF(A$6:A858,"&lt;&gt;""",H$6:H858),"")</f>
        <v/>
      </c>
      <c r="J858" s="26" t="n"/>
    </row>
    <row r="859" ht="15" customHeight="1">
      <c r="A859" s="26" t="n"/>
      <c r="B859" s="26" t="n"/>
      <c r="C859" s="26" t="n"/>
      <c r="D859" s="26" t="n"/>
      <c r="E859" s="26" t="n"/>
      <c r="F859" s="26" t="n"/>
      <c r="G859" s="26" t="n"/>
      <c r="H859" s="26" t="n"/>
      <c r="I859" s="26">
        <f>IFERROR(SUMIF(A$6:A859,"&lt;&gt;""",G$6:G859)-SUMIF(A$6:A859,"&lt;&gt;""",H$6:H859),"")</f>
        <v/>
      </c>
      <c r="J859" s="26" t="n"/>
    </row>
    <row r="860" ht="15" customHeight="1">
      <c r="A860" s="26" t="n"/>
      <c r="B860" s="26" t="n"/>
      <c r="C860" s="26" t="n"/>
      <c r="D860" s="26" t="n"/>
      <c r="E860" s="26" t="n"/>
      <c r="F860" s="26" t="n"/>
      <c r="G860" s="26" t="n"/>
      <c r="H860" s="26" t="n"/>
      <c r="I860" s="26">
        <f>IFERROR(SUMIF(A$6:A860,"&lt;&gt;""",G$6:G860)-SUMIF(A$6:A860,"&lt;&gt;""",H$6:H860),"")</f>
        <v/>
      </c>
      <c r="J860" s="26" t="n"/>
    </row>
    <row r="861" ht="15" customHeight="1">
      <c r="A861" s="26" t="n"/>
      <c r="B861" s="26" t="n"/>
      <c r="C861" s="26" t="n"/>
      <c r="D861" s="26" t="n"/>
      <c r="E861" s="26" t="n"/>
      <c r="F861" s="26" t="n"/>
      <c r="G861" s="26" t="n"/>
      <c r="H861" s="26" t="n"/>
      <c r="I861" s="26">
        <f>IFERROR(SUMIF(A$6:A861,"&lt;&gt;""",G$6:G861)-SUMIF(A$6:A861,"&lt;&gt;""",H$6:H861),"")</f>
        <v/>
      </c>
      <c r="J861" s="26" t="n"/>
    </row>
    <row r="862" ht="15" customHeight="1">
      <c r="A862" s="26" t="n"/>
      <c r="B862" s="26" t="n"/>
      <c r="C862" s="26" t="n"/>
      <c r="D862" s="26" t="n"/>
      <c r="E862" s="26" t="n"/>
      <c r="F862" s="26" t="n"/>
      <c r="G862" s="26" t="n"/>
      <c r="H862" s="26" t="n"/>
      <c r="I862" s="26">
        <f>IFERROR(SUMIF(A$6:A862,"&lt;&gt;""",G$6:G862)-SUMIF(A$6:A862,"&lt;&gt;""",H$6:H862),"")</f>
        <v/>
      </c>
      <c r="J862" s="26" t="n"/>
    </row>
    <row r="863" ht="15" customHeight="1">
      <c r="A863" s="26" t="n"/>
      <c r="B863" s="26" t="n"/>
      <c r="C863" s="26" t="n"/>
      <c r="D863" s="26" t="n"/>
      <c r="E863" s="26" t="n"/>
      <c r="F863" s="26" t="n"/>
      <c r="G863" s="26" t="n"/>
      <c r="H863" s="26" t="n"/>
      <c r="I863" s="26">
        <f>IFERROR(SUMIF(A$6:A863,"&lt;&gt;""",G$6:G863)-SUMIF(A$6:A863,"&lt;&gt;""",H$6:H863),"")</f>
        <v/>
      </c>
      <c r="J863" s="26" t="n"/>
    </row>
    <row r="864" ht="15" customHeight="1">
      <c r="A864" s="26" t="n"/>
      <c r="B864" s="26" t="n"/>
      <c r="C864" s="26" t="n"/>
      <c r="D864" s="26" t="n"/>
      <c r="E864" s="26" t="n"/>
      <c r="F864" s="26" t="n"/>
      <c r="G864" s="26" t="n"/>
      <c r="H864" s="26" t="n"/>
      <c r="I864" s="26">
        <f>IFERROR(SUMIF(A$6:A864,"&lt;&gt;""",G$6:G864)-SUMIF(A$6:A864,"&lt;&gt;""",H$6:H864),"")</f>
        <v/>
      </c>
      <c r="J864" s="26" t="n"/>
    </row>
    <row r="865" ht="15" customHeight="1">
      <c r="A865" s="26" t="n"/>
      <c r="B865" s="26" t="n"/>
      <c r="C865" s="26" t="n"/>
      <c r="D865" s="26" t="n"/>
      <c r="E865" s="26" t="n"/>
      <c r="F865" s="26" t="n"/>
      <c r="G865" s="26" t="n"/>
      <c r="H865" s="26" t="n"/>
      <c r="I865" s="26">
        <f>IFERROR(SUMIF(A$6:A865,"&lt;&gt;""",G$6:G865)-SUMIF(A$6:A865,"&lt;&gt;""",H$6:H865),"")</f>
        <v/>
      </c>
      <c r="J865" s="26" t="n"/>
    </row>
    <row r="866" ht="15" customHeight="1">
      <c r="A866" s="26" t="n"/>
      <c r="B866" s="26" t="n"/>
      <c r="C866" s="26" t="n"/>
      <c r="D866" s="26" t="n"/>
      <c r="E866" s="26" t="n"/>
      <c r="F866" s="26" t="n"/>
      <c r="G866" s="26" t="n"/>
      <c r="H866" s="26" t="n"/>
      <c r="I866" s="26">
        <f>IFERROR(SUMIF(A$6:A866,"&lt;&gt;""",G$6:G866)-SUMIF(A$6:A866,"&lt;&gt;""",H$6:H866),"")</f>
        <v/>
      </c>
      <c r="J866" s="26" t="n"/>
    </row>
    <row r="867" ht="15" customHeight="1">
      <c r="A867" s="26" t="n"/>
      <c r="B867" s="26" t="n"/>
      <c r="C867" s="26" t="n"/>
      <c r="D867" s="26" t="n"/>
      <c r="E867" s="26" t="n"/>
      <c r="F867" s="26" t="n"/>
      <c r="G867" s="26" t="n"/>
      <c r="H867" s="26" t="n"/>
      <c r="I867" s="26">
        <f>IFERROR(SUMIF(A$6:A867,"&lt;&gt;""",G$6:G867)-SUMIF(A$6:A867,"&lt;&gt;""",H$6:H867),"")</f>
        <v/>
      </c>
      <c r="J867" s="26" t="n"/>
    </row>
    <row r="868" ht="15" customHeight="1">
      <c r="A868" s="26" t="n"/>
      <c r="B868" s="26" t="n"/>
      <c r="C868" s="26" t="n"/>
      <c r="D868" s="26" t="n"/>
      <c r="E868" s="26" t="n"/>
      <c r="F868" s="26" t="n"/>
      <c r="G868" s="26" t="n"/>
      <c r="H868" s="26" t="n"/>
      <c r="I868" s="26">
        <f>IFERROR(SUMIF(A$6:A868,"&lt;&gt;""",G$6:G868)-SUMIF(A$6:A868,"&lt;&gt;""",H$6:H868),"")</f>
        <v/>
      </c>
      <c r="J868" s="26" t="n"/>
    </row>
    <row r="869" ht="15" customHeight="1">
      <c r="A869" s="26" t="n"/>
      <c r="B869" s="26" t="n"/>
      <c r="C869" s="26" t="n"/>
      <c r="D869" s="26" t="n"/>
      <c r="E869" s="26" t="n"/>
      <c r="F869" s="26" t="n"/>
      <c r="G869" s="26" t="n"/>
      <c r="H869" s="26" t="n"/>
      <c r="I869" s="26">
        <f>IFERROR(SUMIF(A$6:A869,"&lt;&gt;""",G$6:G869)-SUMIF(A$6:A869,"&lt;&gt;""",H$6:H869),"")</f>
        <v/>
      </c>
      <c r="J869" s="26" t="n"/>
    </row>
    <row r="870" ht="15" customHeight="1">
      <c r="A870" s="26" t="n"/>
      <c r="B870" s="26" t="n"/>
      <c r="C870" s="26" t="n"/>
      <c r="D870" s="26" t="n"/>
      <c r="E870" s="26" t="n"/>
      <c r="F870" s="26" t="n"/>
      <c r="G870" s="26" t="n"/>
      <c r="H870" s="26" t="n"/>
      <c r="I870" s="26">
        <f>IFERROR(SUMIF(A$6:A870,"&lt;&gt;""",G$6:G870)-SUMIF(A$6:A870,"&lt;&gt;""",H$6:H870),"")</f>
        <v/>
      </c>
      <c r="J870" s="26" t="n"/>
    </row>
    <row r="871" ht="15" customHeight="1">
      <c r="A871" s="26" t="n"/>
      <c r="B871" s="26" t="n"/>
      <c r="C871" s="26" t="n"/>
      <c r="D871" s="26" t="n"/>
      <c r="E871" s="26" t="n"/>
      <c r="F871" s="26" t="n"/>
      <c r="G871" s="26" t="n"/>
      <c r="H871" s="26" t="n"/>
      <c r="I871" s="26">
        <f>IFERROR(SUMIF(A$6:A871,"&lt;&gt;""",G$6:G871)-SUMIF(A$6:A871,"&lt;&gt;""",H$6:H871),"")</f>
        <v/>
      </c>
      <c r="J871" s="26" t="n"/>
    </row>
    <row r="872" ht="15" customHeight="1">
      <c r="A872" s="26" t="n"/>
      <c r="B872" s="26" t="n"/>
      <c r="C872" s="26" t="n"/>
      <c r="D872" s="26" t="n"/>
      <c r="E872" s="26" t="n"/>
      <c r="F872" s="26" t="n"/>
      <c r="G872" s="26" t="n"/>
      <c r="H872" s="26" t="n"/>
      <c r="I872" s="26">
        <f>IFERROR(SUMIF(A$6:A872,"&lt;&gt;""",G$6:G872)-SUMIF(A$6:A872,"&lt;&gt;""",H$6:H872),"")</f>
        <v/>
      </c>
      <c r="J872" s="26" t="n"/>
    </row>
    <row r="873" ht="15" customHeight="1">
      <c r="A873" s="26" t="n"/>
      <c r="B873" s="26" t="n"/>
      <c r="C873" s="26" t="n"/>
      <c r="D873" s="26" t="n"/>
      <c r="E873" s="26" t="n"/>
      <c r="F873" s="26" t="n"/>
      <c r="G873" s="26" t="n"/>
      <c r="H873" s="26" t="n"/>
      <c r="I873" s="26">
        <f>IFERROR(SUMIF(A$6:A873,"&lt;&gt;""",G$6:G873)-SUMIF(A$6:A873,"&lt;&gt;""",H$6:H873),"")</f>
        <v/>
      </c>
      <c r="J873" s="26" t="n"/>
    </row>
    <row r="874" ht="15" customHeight="1">
      <c r="A874" s="26" t="n"/>
      <c r="B874" s="26" t="n"/>
      <c r="C874" s="26" t="n"/>
      <c r="D874" s="26" t="n"/>
      <c r="E874" s="26" t="n"/>
      <c r="F874" s="26" t="n"/>
      <c r="G874" s="26" t="n"/>
      <c r="H874" s="26" t="n"/>
      <c r="I874" s="26">
        <f>IFERROR(SUMIF(A$6:A874,"&lt;&gt;""",G$6:G874)-SUMIF(A$6:A874,"&lt;&gt;""",H$6:H874),"")</f>
        <v/>
      </c>
      <c r="J874" s="26" t="n"/>
    </row>
    <row r="875" ht="15" customHeight="1">
      <c r="A875" s="26" t="n"/>
      <c r="B875" s="26" t="n"/>
      <c r="C875" s="26" t="n"/>
      <c r="D875" s="26" t="n"/>
      <c r="E875" s="26" t="n"/>
      <c r="F875" s="26" t="n"/>
      <c r="G875" s="26" t="n"/>
      <c r="H875" s="26" t="n"/>
      <c r="I875" s="26">
        <f>IFERROR(SUMIF(A$6:A875,"&lt;&gt;""",G$6:G875)-SUMIF(A$6:A875,"&lt;&gt;""",H$6:H875),"")</f>
        <v/>
      </c>
      <c r="J875" s="26" t="n"/>
    </row>
    <row r="876" ht="15" customHeight="1">
      <c r="A876" s="26" t="n"/>
      <c r="B876" s="26" t="n"/>
      <c r="C876" s="26" t="n"/>
      <c r="D876" s="26" t="n"/>
      <c r="E876" s="26" t="n"/>
      <c r="F876" s="26" t="n"/>
      <c r="G876" s="26" t="n"/>
      <c r="H876" s="26" t="n"/>
      <c r="I876" s="26">
        <f>IFERROR(SUMIF(A$6:A876,"&lt;&gt;""",G$6:G876)-SUMIF(A$6:A876,"&lt;&gt;""",H$6:H876),"")</f>
        <v/>
      </c>
      <c r="J876" s="26" t="n"/>
    </row>
    <row r="877" ht="15" customHeight="1">
      <c r="A877" s="26" t="n"/>
      <c r="B877" s="26" t="n"/>
      <c r="C877" s="26" t="n"/>
      <c r="D877" s="26" t="n"/>
      <c r="E877" s="26" t="n"/>
      <c r="F877" s="26" t="n"/>
      <c r="G877" s="26" t="n"/>
      <c r="H877" s="26" t="n"/>
      <c r="I877" s="26">
        <f>IFERROR(SUMIF(A$6:A877,"&lt;&gt;""",G$6:G877)-SUMIF(A$6:A877,"&lt;&gt;""",H$6:H877),"")</f>
        <v/>
      </c>
      <c r="J877" s="26" t="n"/>
    </row>
    <row r="878" ht="15" customHeight="1">
      <c r="A878" s="26" t="n"/>
      <c r="B878" s="26" t="n"/>
      <c r="C878" s="26" t="n"/>
      <c r="D878" s="26" t="n"/>
      <c r="E878" s="26" t="n"/>
      <c r="F878" s="26" t="n"/>
      <c r="G878" s="26" t="n"/>
      <c r="H878" s="26" t="n"/>
      <c r="I878" s="26">
        <f>IFERROR(SUMIF(A$6:A878,"&lt;&gt;""",G$6:G878)-SUMIF(A$6:A878,"&lt;&gt;""",H$6:H878),"")</f>
        <v/>
      </c>
      <c r="J878" s="26" t="n"/>
    </row>
    <row r="879" ht="15" customHeight="1">
      <c r="A879" s="26" t="n"/>
      <c r="B879" s="26" t="n"/>
      <c r="C879" s="26" t="n"/>
      <c r="D879" s="26" t="n"/>
      <c r="E879" s="26" t="n"/>
      <c r="F879" s="26" t="n"/>
      <c r="G879" s="26" t="n"/>
      <c r="H879" s="26" t="n"/>
      <c r="I879" s="26">
        <f>IFERROR(SUMIF(A$6:A879,"&lt;&gt;""",G$6:G879)-SUMIF(A$6:A879,"&lt;&gt;""",H$6:H879),"")</f>
        <v/>
      </c>
      <c r="J879" s="26" t="n"/>
    </row>
    <row r="880" ht="15" customHeight="1">
      <c r="A880" s="26" t="n"/>
      <c r="B880" s="26" t="n"/>
      <c r="C880" s="26" t="n"/>
      <c r="D880" s="26" t="n"/>
      <c r="E880" s="26" t="n"/>
      <c r="F880" s="26" t="n"/>
      <c r="G880" s="26" t="n"/>
      <c r="H880" s="26" t="n"/>
      <c r="I880" s="26">
        <f>IFERROR(SUMIF(A$6:A880,"&lt;&gt;""",G$6:G880)-SUMIF(A$6:A880,"&lt;&gt;""",H$6:H880),"")</f>
        <v/>
      </c>
      <c r="J880" s="26" t="n"/>
    </row>
    <row r="881" ht="15" customHeight="1">
      <c r="A881" s="26" t="n"/>
      <c r="B881" s="26" t="n"/>
      <c r="C881" s="26" t="n"/>
      <c r="D881" s="26" t="n"/>
      <c r="E881" s="26" t="n"/>
      <c r="F881" s="26" t="n"/>
      <c r="G881" s="26" t="n"/>
      <c r="H881" s="26" t="n"/>
      <c r="I881" s="26">
        <f>IFERROR(SUMIF(A$6:A881,"&lt;&gt;""",G$6:G881)-SUMIF(A$6:A881,"&lt;&gt;""",H$6:H881),"")</f>
        <v/>
      </c>
      <c r="J881" s="26" t="n"/>
    </row>
    <row r="882" ht="15" customHeight="1">
      <c r="A882" s="26" t="n"/>
      <c r="B882" s="26" t="n"/>
      <c r="C882" s="26" t="n"/>
      <c r="D882" s="26" t="n"/>
      <c r="E882" s="26" t="n"/>
      <c r="F882" s="26" t="n"/>
      <c r="G882" s="26" t="n"/>
      <c r="H882" s="26" t="n"/>
      <c r="I882" s="26">
        <f>IFERROR(SUMIF(A$6:A882,"&lt;&gt;""",G$6:G882)-SUMIF(A$6:A882,"&lt;&gt;""",H$6:H882),"")</f>
        <v/>
      </c>
      <c r="J882" s="26" t="n"/>
    </row>
    <row r="883" ht="15" customHeight="1">
      <c r="A883" s="26" t="n"/>
      <c r="B883" s="26" t="n"/>
      <c r="C883" s="26" t="n"/>
      <c r="D883" s="26" t="n"/>
      <c r="E883" s="26" t="n"/>
      <c r="F883" s="26" t="n"/>
      <c r="G883" s="26" t="n"/>
      <c r="H883" s="26" t="n"/>
      <c r="I883" s="26">
        <f>IFERROR(SUMIF(A$6:A883,"&lt;&gt;""",G$6:G883)-SUMIF(A$6:A883,"&lt;&gt;""",H$6:H883),"")</f>
        <v/>
      </c>
      <c r="J883" s="26" t="n"/>
    </row>
    <row r="884" ht="15" customHeight="1">
      <c r="A884" s="26" t="n"/>
      <c r="B884" s="26" t="n"/>
      <c r="C884" s="26" t="n"/>
      <c r="D884" s="26" t="n"/>
      <c r="E884" s="26" t="n"/>
      <c r="F884" s="26" t="n"/>
      <c r="G884" s="26" t="n"/>
      <c r="H884" s="26" t="n"/>
      <c r="I884" s="26">
        <f>IFERROR(SUMIF(A$6:A884,"&lt;&gt;""",G$6:G884)-SUMIF(A$6:A884,"&lt;&gt;""",H$6:H884),"")</f>
        <v/>
      </c>
      <c r="J884" s="26" t="n"/>
    </row>
    <row r="885" ht="15" customHeight="1">
      <c r="A885" s="26" t="n"/>
      <c r="B885" s="26" t="n"/>
      <c r="C885" s="26" t="n"/>
      <c r="D885" s="26" t="n"/>
      <c r="E885" s="26" t="n"/>
      <c r="F885" s="26" t="n"/>
      <c r="G885" s="26" t="n"/>
      <c r="H885" s="26" t="n"/>
      <c r="I885" s="26">
        <f>IFERROR(SUMIF(A$6:A885,"&lt;&gt;""",G$6:G885)-SUMIF(A$6:A885,"&lt;&gt;""",H$6:H885),"")</f>
        <v/>
      </c>
      <c r="J885" s="26" t="n"/>
    </row>
    <row r="886" ht="15" customHeight="1">
      <c r="A886" s="26" t="n"/>
      <c r="B886" s="26" t="n"/>
      <c r="C886" s="26" t="n"/>
      <c r="D886" s="26" t="n"/>
      <c r="E886" s="26" t="n"/>
      <c r="F886" s="26" t="n"/>
      <c r="G886" s="26" t="n"/>
      <c r="H886" s="26" t="n"/>
      <c r="I886" s="26">
        <f>IFERROR(SUMIF(A$6:A886,"&lt;&gt;""",G$6:G886)-SUMIF(A$6:A886,"&lt;&gt;""",H$6:H886),"")</f>
        <v/>
      </c>
      <c r="J886" s="26" t="n"/>
    </row>
    <row r="887" ht="15" customHeight="1">
      <c r="A887" s="26" t="n"/>
      <c r="B887" s="26" t="n"/>
      <c r="C887" s="26" t="n"/>
      <c r="D887" s="26" t="n"/>
      <c r="E887" s="26" t="n"/>
      <c r="F887" s="26" t="n"/>
      <c r="G887" s="26" t="n"/>
      <c r="H887" s="26" t="n"/>
      <c r="I887" s="26">
        <f>IFERROR(SUMIF(A$6:A887,"&lt;&gt;""",G$6:G887)-SUMIF(A$6:A887,"&lt;&gt;""",H$6:H887),"")</f>
        <v/>
      </c>
      <c r="J887" s="26" t="n"/>
    </row>
    <row r="888" ht="15" customHeight="1">
      <c r="A888" s="26" t="n"/>
      <c r="B888" s="26" t="n"/>
      <c r="C888" s="26" t="n"/>
      <c r="D888" s="26" t="n"/>
      <c r="E888" s="26" t="n"/>
      <c r="F888" s="26" t="n"/>
      <c r="G888" s="26" t="n"/>
      <c r="H888" s="26" t="n"/>
      <c r="I888" s="26">
        <f>IFERROR(SUMIF(A$6:A888,"&lt;&gt;""",G$6:G888)-SUMIF(A$6:A888,"&lt;&gt;""",H$6:H888),"")</f>
        <v/>
      </c>
      <c r="J888" s="26" t="n"/>
    </row>
    <row r="889" ht="15" customHeight="1">
      <c r="A889" s="26" t="n"/>
      <c r="B889" s="26" t="n"/>
      <c r="C889" s="26" t="n"/>
      <c r="D889" s="26" t="n"/>
      <c r="E889" s="26" t="n"/>
      <c r="F889" s="26" t="n"/>
      <c r="G889" s="26" t="n"/>
      <c r="H889" s="26" t="n"/>
      <c r="I889" s="26">
        <f>IFERROR(SUMIF(A$6:A889,"&lt;&gt;""",G$6:G889)-SUMIF(A$6:A889,"&lt;&gt;""",H$6:H889),"")</f>
        <v/>
      </c>
      <c r="J889" s="26" t="n"/>
    </row>
    <row r="890" ht="15" customHeight="1">
      <c r="A890" s="26" t="n"/>
      <c r="B890" s="26" t="n"/>
      <c r="C890" s="26" t="n"/>
      <c r="D890" s="26" t="n"/>
      <c r="E890" s="26" t="n"/>
      <c r="F890" s="26" t="n"/>
      <c r="G890" s="26" t="n"/>
      <c r="H890" s="26" t="n"/>
      <c r="I890" s="26">
        <f>IFERROR(SUMIF(A$6:A890,"&lt;&gt;""",G$6:G890)-SUMIF(A$6:A890,"&lt;&gt;""",H$6:H890),"")</f>
        <v/>
      </c>
      <c r="J890" s="26" t="n"/>
    </row>
    <row r="891" ht="15" customHeight="1">
      <c r="A891" s="26" t="n"/>
      <c r="B891" s="26" t="n"/>
      <c r="C891" s="26" t="n"/>
      <c r="D891" s="26" t="n"/>
      <c r="E891" s="26" t="n"/>
      <c r="F891" s="26" t="n"/>
      <c r="G891" s="26" t="n"/>
      <c r="H891" s="26" t="n"/>
      <c r="I891" s="26">
        <f>IFERROR(SUMIF(A$6:A891,"&lt;&gt;""",G$6:G891)-SUMIF(A$6:A891,"&lt;&gt;""",H$6:H891),"")</f>
        <v/>
      </c>
      <c r="J891" s="26" t="n"/>
    </row>
    <row r="892" ht="15" customHeight="1">
      <c r="A892" s="26" t="n"/>
      <c r="B892" s="26" t="n"/>
      <c r="C892" s="26" t="n"/>
      <c r="D892" s="26" t="n"/>
      <c r="E892" s="26" t="n"/>
      <c r="F892" s="26" t="n"/>
      <c r="G892" s="26" t="n"/>
      <c r="H892" s="26" t="n"/>
      <c r="I892" s="26">
        <f>IFERROR(SUMIF(A$6:A892,"&lt;&gt;""",G$6:G892)-SUMIF(A$6:A892,"&lt;&gt;""",H$6:H892),"")</f>
        <v/>
      </c>
      <c r="J892" s="26" t="n"/>
    </row>
    <row r="893" ht="15" customHeight="1">
      <c r="A893" s="26" t="n"/>
      <c r="B893" s="26" t="n"/>
      <c r="C893" s="26" t="n"/>
      <c r="D893" s="26" t="n"/>
      <c r="E893" s="26" t="n"/>
      <c r="F893" s="26" t="n"/>
      <c r="G893" s="26" t="n"/>
      <c r="H893" s="26" t="n"/>
      <c r="I893" s="26">
        <f>IFERROR(SUMIF(A$6:A893,"&lt;&gt;""",G$6:G893)-SUMIF(A$6:A893,"&lt;&gt;""",H$6:H893),"")</f>
        <v/>
      </c>
      <c r="J893" s="26" t="n"/>
    </row>
    <row r="894" ht="15" customHeight="1">
      <c r="A894" s="26" t="n"/>
      <c r="B894" s="26" t="n"/>
      <c r="C894" s="26" t="n"/>
      <c r="D894" s="26" t="n"/>
      <c r="E894" s="26" t="n"/>
      <c r="F894" s="26" t="n"/>
      <c r="G894" s="26" t="n"/>
      <c r="H894" s="26" t="n"/>
      <c r="I894" s="26">
        <f>IFERROR(SUMIF(A$6:A894,"&lt;&gt;""",G$6:G894)-SUMIF(A$6:A894,"&lt;&gt;""",H$6:H894),"")</f>
        <v/>
      </c>
      <c r="J894" s="26" t="n"/>
    </row>
    <row r="895" ht="15" customHeight="1">
      <c r="A895" s="26" t="n"/>
      <c r="B895" s="26" t="n"/>
      <c r="C895" s="26" t="n"/>
      <c r="D895" s="26" t="n"/>
      <c r="E895" s="26" t="n"/>
      <c r="F895" s="26" t="n"/>
      <c r="G895" s="26" t="n"/>
      <c r="H895" s="26" t="n"/>
      <c r="I895" s="26">
        <f>IFERROR(SUMIF(A$6:A895,"&lt;&gt;""",G$6:G895)-SUMIF(A$6:A895,"&lt;&gt;""",H$6:H895),"")</f>
        <v/>
      </c>
      <c r="J895" s="26" t="n"/>
    </row>
    <row r="896" ht="15" customHeight="1">
      <c r="A896" s="26" t="n"/>
      <c r="B896" s="26" t="n"/>
      <c r="C896" s="26" t="n"/>
      <c r="D896" s="26" t="n"/>
      <c r="E896" s="26" t="n"/>
      <c r="F896" s="26" t="n"/>
      <c r="G896" s="26" t="n"/>
      <c r="H896" s="26" t="n"/>
      <c r="I896" s="26">
        <f>IFERROR(SUMIF(A$6:A896,"&lt;&gt;""",G$6:G896)-SUMIF(A$6:A896,"&lt;&gt;""",H$6:H896),"")</f>
        <v/>
      </c>
      <c r="J896" s="26" t="n"/>
    </row>
    <row r="897" ht="15" customHeight="1">
      <c r="A897" s="26" t="n"/>
      <c r="B897" s="26" t="n"/>
      <c r="C897" s="26" t="n"/>
      <c r="D897" s="26" t="n"/>
      <c r="E897" s="26" t="n"/>
      <c r="F897" s="26" t="n"/>
      <c r="G897" s="26" t="n"/>
      <c r="H897" s="26" t="n"/>
      <c r="I897" s="26">
        <f>IFERROR(SUMIF(A$6:A897,"&lt;&gt;""",G$6:G897)-SUMIF(A$6:A897,"&lt;&gt;""",H$6:H897),"")</f>
        <v/>
      </c>
      <c r="J897" s="26" t="n"/>
    </row>
    <row r="898" ht="15" customHeight="1">
      <c r="A898" s="26" t="n"/>
      <c r="B898" s="26" t="n"/>
      <c r="C898" s="26" t="n"/>
      <c r="D898" s="26" t="n"/>
      <c r="E898" s="26" t="n"/>
      <c r="F898" s="26" t="n"/>
      <c r="G898" s="26" t="n"/>
      <c r="H898" s="26" t="n"/>
      <c r="I898" s="26">
        <f>IFERROR(SUMIF(A$6:A898,"&lt;&gt;""",G$6:G898)-SUMIF(A$6:A898,"&lt;&gt;""",H$6:H898),"")</f>
        <v/>
      </c>
      <c r="J898" s="26" t="n"/>
    </row>
    <row r="899" ht="15" customHeight="1">
      <c r="A899" s="26" t="n"/>
      <c r="B899" s="26" t="n"/>
      <c r="C899" s="26" t="n"/>
      <c r="D899" s="26" t="n"/>
      <c r="E899" s="26" t="n"/>
      <c r="F899" s="26" t="n"/>
      <c r="G899" s="26" t="n"/>
      <c r="H899" s="26" t="n"/>
      <c r="I899" s="26">
        <f>IFERROR(SUMIF(A$6:A899,"&lt;&gt;""",G$6:G899)-SUMIF(A$6:A899,"&lt;&gt;""",H$6:H899),"")</f>
        <v/>
      </c>
      <c r="J899" s="26" t="n"/>
    </row>
    <row r="900" ht="15" customHeight="1">
      <c r="A900" s="26" t="n"/>
      <c r="B900" s="26" t="n"/>
      <c r="C900" s="26" t="n"/>
      <c r="D900" s="26" t="n"/>
      <c r="E900" s="26" t="n"/>
      <c r="F900" s="26" t="n"/>
      <c r="G900" s="26" t="n"/>
      <c r="H900" s="26" t="n"/>
      <c r="I900" s="26">
        <f>IFERROR(SUMIF(A$6:A900,"&lt;&gt;""",G$6:G900)-SUMIF(A$6:A900,"&lt;&gt;""",H$6:H900),"")</f>
        <v/>
      </c>
      <c r="J900" s="26" t="n"/>
    </row>
    <row r="901" ht="15" customHeight="1">
      <c r="A901" s="26" t="n"/>
      <c r="B901" s="26" t="n"/>
      <c r="C901" s="26" t="n"/>
      <c r="D901" s="26" t="n"/>
      <c r="E901" s="26" t="n"/>
      <c r="F901" s="26" t="n"/>
      <c r="G901" s="26" t="n"/>
      <c r="H901" s="26" t="n"/>
      <c r="I901" s="26">
        <f>IFERROR(SUMIF(A$6:A901,"&lt;&gt;""",G$6:G901)-SUMIF(A$6:A901,"&lt;&gt;""",H$6:H901),"")</f>
        <v/>
      </c>
      <c r="J901" s="26" t="n"/>
    </row>
    <row r="902" ht="15" customHeight="1">
      <c r="A902" s="26" t="n"/>
      <c r="B902" s="26" t="n"/>
      <c r="C902" s="26" t="n"/>
      <c r="D902" s="26" t="n"/>
      <c r="E902" s="26" t="n"/>
      <c r="F902" s="26" t="n"/>
      <c r="G902" s="26" t="n"/>
      <c r="H902" s="26" t="n"/>
      <c r="I902" s="26">
        <f>IFERROR(SUMIF(A$6:A902,"&lt;&gt;""",G$6:G902)-SUMIF(A$6:A902,"&lt;&gt;""",H$6:H902),"")</f>
        <v/>
      </c>
      <c r="J902" s="26" t="n"/>
    </row>
    <row r="903" ht="15" customHeight="1">
      <c r="A903" s="26" t="n"/>
      <c r="B903" s="26" t="n"/>
      <c r="C903" s="26" t="n"/>
      <c r="D903" s="26" t="n"/>
      <c r="E903" s="26" t="n"/>
      <c r="F903" s="26" t="n"/>
      <c r="G903" s="26" t="n"/>
      <c r="H903" s="26" t="n"/>
      <c r="I903" s="26">
        <f>IFERROR(SUMIF(A$6:A903,"&lt;&gt;""",G$6:G903)-SUMIF(A$6:A903,"&lt;&gt;""",H$6:H903),"")</f>
        <v/>
      </c>
      <c r="J903" s="26" t="n"/>
    </row>
    <row r="904" ht="15" customHeight="1">
      <c r="A904" s="26" t="n"/>
      <c r="B904" s="26" t="n"/>
      <c r="C904" s="26" t="n"/>
      <c r="D904" s="26" t="n"/>
      <c r="E904" s="26" t="n"/>
      <c r="F904" s="26" t="n"/>
      <c r="G904" s="26" t="n"/>
      <c r="H904" s="26" t="n"/>
      <c r="I904" s="26">
        <f>IFERROR(SUMIF(A$6:A904,"&lt;&gt;""",G$6:G904)-SUMIF(A$6:A904,"&lt;&gt;""",H$6:H904),"")</f>
        <v/>
      </c>
      <c r="J904" s="26" t="n"/>
    </row>
    <row r="905" ht="15" customHeight="1">
      <c r="A905" s="26" t="n"/>
      <c r="B905" s="26" t="n"/>
      <c r="C905" s="26" t="n"/>
      <c r="D905" s="26" t="n"/>
      <c r="E905" s="26" t="n"/>
      <c r="F905" s="26" t="n"/>
      <c r="G905" s="26" t="n"/>
      <c r="H905" s="26" t="n"/>
      <c r="I905" s="26">
        <f>IFERROR(SUMIF(A$6:A905,"&lt;&gt;""",G$6:G905)-SUMIF(A$6:A905,"&lt;&gt;""",H$6:H905),"")</f>
        <v/>
      </c>
      <c r="J905" s="26" t="n"/>
    </row>
    <row r="906" ht="15" customHeight="1">
      <c r="A906" s="26" t="n"/>
      <c r="B906" s="26" t="n"/>
      <c r="C906" s="26" t="n"/>
      <c r="D906" s="26" t="n"/>
      <c r="E906" s="26" t="n"/>
      <c r="F906" s="26" t="n"/>
      <c r="G906" s="26" t="n"/>
      <c r="H906" s="26" t="n"/>
      <c r="I906" s="26">
        <f>IFERROR(SUMIF(A$6:A906,"&lt;&gt;""",G$6:G906)-SUMIF(A$6:A906,"&lt;&gt;""",H$6:H906),"")</f>
        <v/>
      </c>
      <c r="J906" s="26" t="n"/>
    </row>
    <row r="907" ht="15" customHeight="1">
      <c r="A907" s="26" t="n"/>
      <c r="B907" s="26" t="n"/>
      <c r="C907" s="26" t="n"/>
      <c r="D907" s="26" t="n"/>
      <c r="E907" s="26" t="n"/>
      <c r="F907" s="26" t="n"/>
      <c r="G907" s="26" t="n"/>
      <c r="H907" s="26" t="n"/>
      <c r="I907" s="26">
        <f>IFERROR(SUMIF(A$6:A907,"&lt;&gt;""",G$6:G907)-SUMIF(A$6:A907,"&lt;&gt;""",H$6:H907),"")</f>
        <v/>
      </c>
      <c r="J907" s="26" t="n"/>
    </row>
    <row r="908" ht="15" customHeight="1">
      <c r="A908" s="26" t="n"/>
      <c r="B908" s="26" t="n"/>
      <c r="C908" s="26" t="n"/>
      <c r="D908" s="26" t="n"/>
      <c r="E908" s="26" t="n"/>
      <c r="F908" s="26" t="n"/>
      <c r="G908" s="26" t="n"/>
      <c r="H908" s="26" t="n"/>
      <c r="I908" s="26">
        <f>IFERROR(SUMIF(A$6:A908,"&lt;&gt;""",G$6:G908)-SUMIF(A$6:A908,"&lt;&gt;""",H$6:H908),"")</f>
        <v/>
      </c>
      <c r="J908" s="26" t="n"/>
    </row>
    <row r="909" ht="15" customHeight="1">
      <c r="A909" s="26" t="n"/>
      <c r="B909" s="26" t="n"/>
      <c r="C909" s="26" t="n"/>
      <c r="D909" s="26" t="n"/>
      <c r="E909" s="26" t="n"/>
      <c r="F909" s="26" t="n"/>
      <c r="G909" s="26" t="n"/>
      <c r="H909" s="26" t="n"/>
      <c r="I909" s="26">
        <f>IFERROR(SUMIF(A$6:A909,"&lt;&gt;""",G$6:G909)-SUMIF(A$6:A909,"&lt;&gt;""",H$6:H909),"")</f>
        <v/>
      </c>
      <c r="J909" s="26" t="n"/>
    </row>
    <row r="910" ht="15" customHeight="1">
      <c r="A910" s="26" t="n"/>
      <c r="B910" s="26" t="n"/>
      <c r="C910" s="26" t="n"/>
      <c r="D910" s="26" t="n"/>
      <c r="E910" s="26" t="n"/>
      <c r="F910" s="26" t="n"/>
      <c r="G910" s="26" t="n"/>
      <c r="H910" s="26" t="n"/>
      <c r="I910" s="26">
        <f>IFERROR(SUMIF(A$6:A910,"&lt;&gt;""",G$6:G910)-SUMIF(A$6:A910,"&lt;&gt;""",H$6:H910),"")</f>
        <v/>
      </c>
      <c r="J910" s="26" t="n"/>
    </row>
    <row r="911" ht="15" customHeight="1">
      <c r="A911" s="26" t="n"/>
      <c r="B911" s="26" t="n"/>
      <c r="C911" s="26" t="n"/>
      <c r="D911" s="26" t="n"/>
      <c r="E911" s="26" t="n"/>
      <c r="F911" s="26" t="n"/>
      <c r="G911" s="26" t="n"/>
      <c r="H911" s="26" t="n"/>
      <c r="I911" s="26">
        <f>IFERROR(SUMIF(A$6:A911,"&lt;&gt;""",G$6:G911)-SUMIF(A$6:A911,"&lt;&gt;""",H$6:H911),"")</f>
        <v/>
      </c>
      <c r="J911" s="26" t="n"/>
    </row>
    <row r="912" ht="15" customHeight="1">
      <c r="A912" s="26" t="n"/>
      <c r="B912" s="26" t="n"/>
      <c r="C912" s="26" t="n"/>
      <c r="D912" s="26" t="n"/>
      <c r="E912" s="26" t="n"/>
      <c r="F912" s="26" t="n"/>
      <c r="G912" s="26" t="n"/>
      <c r="H912" s="26" t="n"/>
      <c r="I912" s="26">
        <f>IFERROR(SUMIF(A$6:A912,"&lt;&gt;""",G$6:G912)-SUMIF(A$6:A912,"&lt;&gt;""",H$6:H912),"")</f>
        <v/>
      </c>
      <c r="J912" s="26" t="n"/>
    </row>
    <row r="913" ht="15" customHeight="1">
      <c r="A913" s="26" t="n"/>
      <c r="B913" s="26" t="n"/>
      <c r="C913" s="26" t="n"/>
      <c r="D913" s="26" t="n"/>
      <c r="E913" s="26" t="n"/>
      <c r="F913" s="26" t="n"/>
      <c r="G913" s="26" t="n"/>
      <c r="H913" s="26" t="n"/>
      <c r="I913" s="26">
        <f>IFERROR(SUMIF(A$6:A913,"&lt;&gt;""",G$6:G913)-SUMIF(A$6:A913,"&lt;&gt;""",H$6:H913),"")</f>
        <v/>
      </c>
      <c r="J913" s="26" t="n"/>
    </row>
    <row r="914" ht="15" customHeight="1">
      <c r="A914" s="26" t="n"/>
      <c r="B914" s="26" t="n"/>
      <c r="C914" s="26" t="n"/>
      <c r="D914" s="26" t="n"/>
      <c r="E914" s="26" t="n"/>
      <c r="F914" s="26" t="n"/>
      <c r="G914" s="26" t="n"/>
      <c r="H914" s="26" t="n"/>
      <c r="I914" s="26">
        <f>IFERROR(SUMIF(A$6:A914,"&lt;&gt;""",G$6:G914)-SUMIF(A$6:A914,"&lt;&gt;""",H$6:H914),"")</f>
        <v/>
      </c>
      <c r="J914" s="26" t="n"/>
    </row>
    <row r="915" ht="15" customHeight="1">
      <c r="A915" s="26" t="n"/>
      <c r="B915" s="26" t="n"/>
      <c r="C915" s="26" t="n"/>
      <c r="D915" s="26" t="n"/>
      <c r="E915" s="26" t="n"/>
      <c r="F915" s="26" t="n"/>
      <c r="G915" s="26" t="n"/>
      <c r="H915" s="26" t="n"/>
      <c r="I915" s="26">
        <f>IFERROR(SUMIF(A$6:A915,"&lt;&gt;""",G$6:G915)-SUMIF(A$6:A915,"&lt;&gt;""",H$6:H915),"")</f>
        <v/>
      </c>
      <c r="J915" s="26" t="n"/>
    </row>
    <row r="916" ht="15" customHeight="1">
      <c r="A916" s="26" t="n"/>
      <c r="B916" s="26" t="n"/>
      <c r="C916" s="26" t="n"/>
      <c r="D916" s="26" t="n"/>
      <c r="E916" s="26" t="n"/>
      <c r="F916" s="26" t="n"/>
      <c r="G916" s="26" t="n"/>
      <c r="H916" s="26" t="n"/>
      <c r="I916" s="26">
        <f>IFERROR(SUMIF(A$6:A916,"&lt;&gt;""",G$6:G916)-SUMIF(A$6:A916,"&lt;&gt;""",H$6:H916),"")</f>
        <v/>
      </c>
      <c r="J916" s="26" t="n"/>
    </row>
    <row r="917" ht="15" customHeight="1">
      <c r="A917" s="26" t="n"/>
      <c r="B917" s="26" t="n"/>
      <c r="C917" s="26" t="n"/>
      <c r="D917" s="26" t="n"/>
      <c r="E917" s="26" t="n"/>
      <c r="F917" s="26" t="n"/>
      <c r="G917" s="26" t="n"/>
      <c r="H917" s="26" t="n"/>
      <c r="I917" s="26">
        <f>IFERROR(SUMIF(A$6:A917,"&lt;&gt;""",G$6:G917)-SUMIF(A$6:A917,"&lt;&gt;""",H$6:H917),"")</f>
        <v/>
      </c>
      <c r="J917" s="26" t="n"/>
    </row>
    <row r="918" ht="15" customHeight="1">
      <c r="A918" s="26" t="n"/>
      <c r="B918" s="26" t="n"/>
      <c r="C918" s="26" t="n"/>
      <c r="D918" s="26" t="n"/>
      <c r="E918" s="26" t="n"/>
      <c r="F918" s="26" t="n"/>
      <c r="G918" s="26" t="n"/>
      <c r="H918" s="26" t="n"/>
      <c r="I918" s="26">
        <f>IFERROR(SUMIF(A$6:A918,"&lt;&gt;""",G$6:G918)-SUMIF(A$6:A918,"&lt;&gt;""",H$6:H918),"")</f>
        <v/>
      </c>
      <c r="J918" s="26" t="n"/>
    </row>
    <row r="919" ht="15" customHeight="1">
      <c r="A919" s="26" t="n"/>
      <c r="B919" s="26" t="n"/>
      <c r="C919" s="26" t="n"/>
      <c r="D919" s="26" t="n"/>
      <c r="E919" s="26" t="n"/>
      <c r="F919" s="26" t="n"/>
      <c r="G919" s="26" t="n"/>
      <c r="H919" s="26" t="n"/>
      <c r="I919" s="26">
        <f>IFERROR(SUMIF(A$6:A919,"&lt;&gt;""",G$6:G919)-SUMIF(A$6:A919,"&lt;&gt;""",H$6:H919),"")</f>
        <v/>
      </c>
      <c r="J919" s="26" t="n"/>
    </row>
    <row r="920" ht="15" customHeight="1">
      <c r="A920" s="26" t="n"/>
      <c r="B920" s="26" t="n"/>
      <c r="C920" s="26" t="n"/>
      <c r="D920" s="26" t="n"/>
      <c r="E920" s="26" t="n"/>
      <c r="F920" s="26" t="n"/>
      <c r="G920" s="26" t="n"/>
      <c r="H920" s="26" t="n"/>
      <c r="I920" s="26">
        <f>IFERROR(SUMIF(A$6:A920,"&lt;&gt;""",G$6:G920)-SUMIF(A$6:A920,"&lt;&gt;""",H$6:H920),"")</f>
        <v/>
      </c>
      <c r="J920" s="26" t="n"/>
    </row>
    <row r="921" ht="15" customHeight="1">
      <c r="A921" s="26" t="n"/>
      <c r="B921" s="26" t="n"/>
      <c r="C921" s="26" t="n"/>
      <c r="D921" s="26" t="n"/>
      <c r="E921" s="26" t="n"/>
      <c r="F921" s="26" t="n"/>
      <c r="G921" s="26" t="n"/>
      <c r="H921" s="26" t="n"/>
      <c r="I921" s="26">
        <f>IFERROR(SUMIF(A$6:A921,"&lt;&gt;""",G$6:G921)-SUMIF(A$6:A921,"&lt;&gt;""",H$6:H921),"")</f>
        <v/>
      </c>
      <c r="J921" s="26" t="n"/>
    </row>
    <row r="922" ht="15" customHeight="1">
      <c r="A922" s="26" t="n"/>
      <c r="B922" s="26" t="n"/>
      <c r="C922" s="26" t="n"/>
      <c r="D922" s="26" t="n"/>
      <c r="E922" s="26" t="n"/>
      <c r="F922" s="26" t="n"/>
      <c r="G922" s="26" t="n"/>
      <c r="H922" s="26" t="n"/>
      <c r="I922" s="26">
        <f>IFERROR(SUMIF(A$6:A922,"&lt;&gt;""",G$6:G922)-SUMIF(A$6:A922,"&lt;&gt;""",H$6:H922),"")</f>
        <v/>
      </c>
      <c r="J922" s="26" t="n"/>
    </row>
    <row r="923" ht="15" customHeight="1">
      <c r="A923" s="26" t="n"/>
      <c r="B923" s="26" t="n"/>
      <c r="C923" s="26" t="n"/>
      <c r="D923" s="26" t="n"/>
      <c r="E923" s="26" t="n"/>
      <c r="F923" s="26" t="n"/>
      <c r="G923" s="26" t="n"/>
      <c r="H923" s="26" t="n"/>
      <c r="I923" s="26">
        <f>IFERROR(SUMIF(A$6:A923,"&lt;&gt;""",G$6:G923)-SUMIF(A$6:A923,"&lt;&gt;""",H$6:H923),"")</f>
        <v/>
      </c>
      <c r="J923" s="26" t="n"/>
    </row>
    <row r="924" ht="15" customHeight="1">
      <c r="A924" s="26" t="n"/>
      <c r="B924" s="26" t="n"/>
      <c r="C924" s="26" t="n"/>
      <c r="D924" s="26" t="n"/>
      <c r="E924" s="26" t="n"/>
      <c r="F924" s="26" t="n"/>
      <c r="G924" s="26" t="n"/>
      <c r="H924" s="26" t="n"/>
      <c r="I924" s="26">
        <f>IFERROR(SUMIF(A$6:A924,"&lt;&gt;""",G$6:G924)-SUMIF(A$6:A924,"&lt;&gt;""",H$6:H924),"")</f>
        <v/>
      </c>
      <c r="J924" s="26" t="n"/>
    </row>
    <row r="925" ht="15" customHeight="1">
      <c r="A925" s="26" t="n"/>
      <c r="B925" s="26" t="n"/>
      <c r="C925" s="26" t="n"/>
      <c r="D925" s="26" t="n"/>
      <c r="E925" s="26" t="n"/>
      <c r="F925" s="26" t="n"/>
      <c r="G925" s="26" t="n"/>
      <c r="H925" s="26" t="n"/>
      <c r="I925" s="26">
        <f>IFERROR(SUMIF(A$6:A925,"&lt;&gt;""",G$6:G925)-SUMIF(A$6:A925,"&lt;&gt;""",H$6:H925),"")</f>
        <v/>
      </c>
      <c r="J925" s="26" t="n"/>
    </row>
    <row r="926" ht="15" customHeight="1">
      <c r="A926" s="26" t="n"/>
      <c r="B926" s="26" t="n"/>
      <c r="C926" s="26" t="n"/>
      <c r="D926" s="26" t="n"/>
      <c r="E926" s="26" t="n"/>
      <c r="F926" s="26" t="n"/>
      <c r="G926" s="26" t="n"/>
      <c r="H926" s="26" t="n"/>
      <c r="I926" s="26">
        <f>IFERROR(SUMIF(A$6:A926,"&lt;&gt;""",G$6:G926)-SUMIF(A$6:A926,"&lt;&gt;""",H$6:H926),"")</f>
        <v/>
      </c>
      <c r="J926" s="26" t="n"/>
    </row>
    <row r="927" ht="15" customHeight="1">
      <c r="A927" s="26" t="n"/>
      <c r="B927" s="26" t="n"/>
      <c r="C927" s="26" t="n"/>
      <c r="D927" s="26" t="n"/>
      <c r="E927" s="26" t="n"/>
      <c r="F927" s="26" t="n"/>
      <c r="G927" s="26" t="n"/>
      <c r="H927" s="26" t="n"/>
      <c r="I927" s="26">
        <f>IFERROR(SUMIF(A$6:A927,"&lt;&gt;""",G$6:G927)-SUMIF(A$6:A927,"&lt;&gt;""",H$6:H927),"")</f>
        <v/>
      </c>
      <c r="J927" s="26" t="n"/>
    </row>
    <row r="928" ht="15" customHeight="1">
      <c r="A928" s="26" t="n"/>
      <c r="B928" s="26" t="n"/>
      <c r="C928" s="26" t="n"/>
      <c r="D928" s="26" t="n"/>
      <c r="E928" s="26" t="n"/>
      <c r="F928" s="26" t="n"/>
      <c r="G928" s="26" t="n"/>
      <c r="H928" s="26" t="n"/>
      <c r="I928" s="26">
        <f>IFERROR(SUMIF(A$6:A928,"&lt;&gt;""",G$6:G928)-SUMIF(A$6:A928,"&lt;&gt;""",H$6:H928),"")</f>
        <v/>
      </c>
      <c r="J928" s="26" t="n"/>
    </row>
    <row r="929" ht="15" customHeight="1">
      <c r="A929" s="26" t="n"/>
      <c r="B929" s="26" t="n"/>
      <c r="C929" s="26" t="n"/>
      <c r="D929" s="26" t="n"/>
      <c r="E929" s="26" t="n"/>
      <c r="F929" s="26" t="n"/>
      <c r="G929" s="26" t="n"/>
      <c r="H929" s="26" t="n"/>
      <c r="I929" s="26">
        <f>IFERROR(SUMIF(A$6:A929,"&lt;&gt;""",G$6:G929)-SUMIF(A$6:A929,"&lt;&gt;""",H$6:H929),"")</f>
        <v/>
      </c>
      <c r="J929" s="26" t="n"/>
    </row>
    <row r="930" ht="15" customHeight="1">
      <c r="A930" s="26" t="n"/>
      <c r="B930" s="26" t="n"/>
      <c r="C930" s="26" t="n"/>
      <c r="D930" s="26" t="n"/>
      <c r="E930" s="26" t="n"/>
      <c r="F930" s="26" t="n"/>
      <c r="G930" s="26" t="n"/>
      <c r="H930" s="26" t="n"/>
      <c r="I930" s="26">
        <f>IFERROR(SUMIF(A$6:A930,"&lt;&gt;""",G$6:G930)-SUMIF(A$6:A930,"&lt;&gt;""",H$6:H930),"")</f>
        <v/>
      </c>
      <c r="J930" s="26" t="n"/>
    </row>
    <row r="931" ht="15" customHeight="1">
      <c r="A931" s="26" t="n"/>
      <c r="B931" s="26" t="n"/>
      <c r="C931" s="26" t="n"/>
      <c r="D931" s="26" t="n"/>
      <c r="E931" s="26" t="n"/>
      <c r="F931" s="26" t="n"/>
      <c r="G931" s="26" t="n"/>
      <c r="H931" s="26" t="n"/>
      <c r="I931" s="26">
        <f>IFERROR(SUMIF(A$6:A931,"&lt;&gt;""",G$6:G931)-SUMIF(A$6:A931,"&lt;&gt;""",H$6:H931),"")</f>
        <v/>
      </c>
      <c r="J931" s="26" t="n"/>
    </row>
    <row r="932" ht="15" customHeight="1">
      <c r="A932" s="26" t="n"/>
      <c r="B932" s="26" t="n"/>
      <c r="C932" s="26" t="n"/>
      <c r="D932" s="26" t="n"/>
      <c r="E932" s="26" t="n"/>
      <c r="F932" s="26" t="n"/>
      <c r="G932" s="26" t="n"/>
      <c r="H932" s="26" t="n"/>
      <c r="I932" s="26">
        <f>IFERROR(SUMIF(A$6:A932,"&lt;&gt;""",G$6:G932)-SUMIF(A$6:A932,"&lt;&gt;""",H$6:H932),"")</f>
        <v/>
      </c>
      <c r="J932" s="26" t="n"/>
    </row>
    <row r="933" ht="15" customHeight="1">
      <c r="A933" s="26" t="n"/>
      <c r="B933" s="26" t="n"/>
      <c r="C933" s="26" t="n"/>
      <c r="D933" s="26" t="n"/>
      <c r="E933" s="26" t="n"/>
      <c r="F933" s="26" t="n"/>
      <c r="G933" s="26" t="n"/>
      <c r="H933" s="26" t="n"/>
      <c r="I933" s="26">
        <f>IFERROR(SUMIF(A$6:A933,"&lt;&gt;""",G$6:G933)-SUMIF(A$6:A933,"&lt;&gt;""",H$6:H933),"")</f>
        <v/>
      </c>
      <c r="J933" s="26" t="n"/>
    </row>
    <row r="934" ht="15" customHeight="1">
      <c r="A934" s="26" t="n"/>
      <c r="B934" s="26" t="n"/>
      <c r="C934" s="26" t="n"/>
      <c r="D934" s="26" t="n"/>
      <c r="E934" s="26" t="n"/>
      <c r="F934" s="26" t="n"/>
      <c r="G934" s="26" t="n"/>
      <c r="H934" s="26" t="n"/>
      <c r="I934" s="26">
        <f>IFERROR(SUMIF(A$6:A934,"&lt;&gt;""",G$6:G934)-SUMIF(A$6:A934,"&lt;&gt;""",H$6:H934),"")</f>
        <v/>
      </c>
      <c r="J934" s="26" t="n"/>
    </row>
    <row r="935" ht="15" customHeight="1">
      <c r="A935" s="26" t="n"/>
      <c r="B935" s="26" t="n"/>
      <c r="C935" s="26" t="n"/>
      <c r="D935" s="26" t="n"/>
      <c r="E935" s="26" t="n"/>
      <c r="F935" s="26" t="n"/>
      <c r="G935" s="26" t="n"/>
      <c r="H935" s="26" t="n"/>
      <c r="I935" s="26">
        <f>IFERROR(SUMIF(A$6:A935,"&lt;&gt;""",G$6:G935)-SUMIF(A$6:A935,"&lt;&gt;""",H$6:H935),"")</f>
        <v/>
      </c>
      <c r="J935" s="26" t="n"/>
    </row>
    <row r="936" ht="15" customHeight="1">
      <c r="A936" s="26" t="n"/>
      <c r="B936" s="26" t="n"/>
      <c r="C936" s="26" t="n"/>
      <c r="D936" s="26" t="n"/>
      <c r="E936" s="26" t="n"/>
      <c r="F936" s="26" t="n"/>
      <c r="G936" s="26" t="n"/>
      <c r="H936" s="26" t="n"/>
      <c r="I936" s="26">
        <f>IFERROR(SUMIF(A$6:A936,"&lt;&gt;""",G$6:G936)-SUMIF(A$6:A936,"&lt;&gt;""",H$6:H936),"")</f>
        <v/>
      </c>
      <c r="J936" s="26" t="n"/>
    </row>
    <row r="937" ht="15" customHeight="1">
      <c r="A937" s="26" t="n"/>
      <c r="B937" s="26" t="n"/>
      <c r="C937" s="26" t="n"/>
      <c r="D937" s="26" t="n"/>
      <c r="E937" s="26" t="n"/>
      <c r="F937" s="26" t="n"/>
      <c r="G937" s="26" t="n"/>
      <c r="H937" s="26" t="n"/>
      <c r="I937" s="26">
        <f>IFERROR(SUMIF(A$6:A937,"&lt;&gt;""",G$6:G937)-SUMIF(A$6:A937,"&lt;&gt;""",H$6:H937),"")</f>
        <v/>
      </c>
      <c r="J937" s="26" t="n"/>
    </row>
    <row r="938" ht="15" customHeight="1">
      <c r="A938" s="26" t="n"/>
      <c r="B938" s="26" t="n"/>
      <c r="C938" s="26" t="n"/>
      <c r="D938" s="26" t="n"/>
      <c r="E938" s="26" t="n"/>
      <c r="F938" s="26" t="n"/>
      <c r="G938" s="26" t="n"/>
      <c r="H938" s="26" t="n"/>
      <c r="I938" s="26">
        <f>IFERROR(SUMIF(A$6:A938,"&lt;&gt;""",G$6:G938)-SUMIF(A$6:A938,"&lt;&gt;""",H$6:H938),"")</f>
        <v/>
      </c>
      <c r="J938" s="26" t="n"/>
    </row>
    <row r="939" ht="15" customHeight="1">
      <c r="A939" s="26" t="n"/>
      <c r="B939" s="26" t="n"/>
      <c r="C939" s="26" t="n"/>
      <c r="D939" s="26" t="n"/>
      <c r="E939" s="26" t="n"/>
      <c r="F939" s="26" t="n"/>
      <c r="G939" s="26" t="n"/>
      <c r="H939" s="26" t="n"/>
      <c r="I939" s="26">
        <f>IFERROR(SUMIF(A$6:A939,"&lt;&gt;""",G$6:G939)-SUMIF(A$6:A939,"&lt;&gt;""",H$6:H939),"")</f>
        <v/>
      </c>
      <c r="J939" s="26" t="n"/>
    </row>
    <row r="940" ht="15" customHeight="1">
      <c r="A940" s="26" t="n"/>
      <c r="B940" s="26" t="n"/>
      <c r="C940" s="26" t="n"/>
      <c r="D940" s="26" t="n"/>
      <c r="E940" s="26" t="n"/>
      <c r="F940" s="26" t="n"/>
      <c r="G940" s="26" t="n"/>
      <c r="H940" s="26" t="n"/>
      <c r="I940" s="26">
        <f>IFERROR(SUMIF(A$6:A940,"&lt;&gt;""",G$6:G940)-SUMIF(A$6:A940,"&lt;&gt;""",H$6:H940),"")</f>
        <v/>
      </c>
      <c r="J940" s="26" t="n"/>
    </row>
    <row r="941" ht="15" customHeight="1">
      <c r="A941" s="26" t="n"/>
      <c r="B941" s="26" t="n"/>
      <c r="C941" s="26" t="n"/>
      <c r="D941" s="26" t="n"/>
      <c r="E941" s="26" t="n"/>
      <c r="F941" s="26" t="n"/>
      <c r="G941" s="26" t="n"/>
      <c r="H941" s="26" t="n"/>
      <c r="I941" s="26">
        <f>IFERROR(SUMIF(A$6:A941,"&lt;&gt;""",G$6:G941)-SUMIF(A$6:A941,"&lt;&gt;""",H$6:H941),"")</f>
        <v/>
      </c>
      <c r="J941" s="26" t="n"/>
    </row>
    <row r="942" ht="15" customHeight="1">
      <c r="A942" s="26" t="n"/>
      <c r="B942" s="26" t="n"/>
      <c r="C942" s="26" t="n"/>
      <c r="D942" s="26" t="n"/>
      <c r="E942" s="26" t="n"/>
      <c r="F942" s="26" t="n"/>
      <c r="G942" s="26" t="n"/>
      <c r="H942" s="26" t="n"/>
      <c r="I942" s="26">
        <f>IFERROR(SUMIF(A$6:A942,"&lt;&gt;""",G$6:G942)-SUMIF(A$6:A942,"&lt;&gt;""",H$6:H942),"")</f>
        <v/>
      </c>
      <c r="J942" s="26" t="n"/>
    </row>
    <row r="943" ht="15" customHeight="1">
      <c r="A943" s="26" t="n"/>
      <c r="B943" s="26" t="n"/>
      <c r="C943" s="26" t="n"/>
      <c r="D943" s="26" t="n"/>
      <c r="E943" s="26" t="n"/>
      <c r="F943" s="26" t="n"/>
      <c r="G943" s="26" t="n"/>
      <c r="H943" s="26" t="n"/>
      <c r="I943" s="26">
        <f>IFERROR(SUMIF(A$6:A943,"&lt;&gt;""",G$6:G943)-SUMIF(A$6:A943,"&lt;&gt;""",H$6:H943),"")</f>
        <v/>
      </c>
      <c r="J943" s="26" t="n"/>
    </row>
    <row r="944" ht="15" customHeight="1">
      <c r="A944" s="26" t="n"/>
      <c r="B944" s="26" t="n"/>
      <c r="C944" s="26" t="n"/>
      <c r="D944" s="26" t="n"/>
      <c r="E944" s="26" t="n"/>
      <c r="F944" s="26" t="n"/>
      <c r="G944" s="26" t="n"/>
      <c r="H944" s="26" t="n"/>
      <c r="I944" s="26">
        <f>IFERROR(SUMIF(A$6:A944,"&lt;&gt;""",G$6:G944)-SUMIF(A$6:A944,"&lt;&gt;""",H$6:H944),"")</f>
        <v/>
      </c>
      <c r="J944" s="26" t="n"/>
    </row>
    <row r="945" ht="15" customHeight="1">
      <c r="A945" s="26" t="n"/>
      <c r="B945" s="26" t="n"/>
      <c r="C945" s="26" t="n"/>
      <c r="D945" s="26" t="n"/>
      <c r="E945" s="26" t="n"/>
      <c r="F945" s="26" t="n"/>
      <c r="G945" s="26" t="n"/>
      <c r="H945" s="26" t="n"/>
      <c r="I945" s="26">
        <f>IFERROR(SUMIF(A$6:A945,"&lt;&gt;""",G$6:G945)-SUMIF(A$6:A945,"&lt;&gt;""",H$6:H945),"")</f>
        <v/>
      </c>
      <c r="J945" s="26" t="n"/>
    </row>
    <row r="946" ht="15" customHeight="1">
      <c r="A946" s="26" t="n"/>
      <c r="B946" s="26" t="n"/>
      <c r="C946" s="26" t="n"/>
      <c r="D946" s="26" t="n"/>
      <c r="E946" s="26" t="n"/>
      <c r="F946" s="26" t="n"/>
      <c r="G946" s="26" t="n"/>
      <c r="H946" s="26" t="n"/>
      <c r="I946" s="26">
        <f>IFERROR(SUMIF(A$6:A946,"&lt;&gt;""",G$6:G946)-SUMIF(A$6:A946,"&lt;&gt;""",H$6:H946),"")</f>
        <v/>
      </c>
      <c r="J946" s="26" t="n"/>
    </row>
    <row r="947" ht="15" customHeight="1">
      <c r="A947" s="26" t="n"/>
      <c r="B947" s="26" t="n"/>
      <c r="C947" s="26" t="n"/>
      <c r="D947" s="26" t="n"/>
      <c r="E947" s="26" t="n"/>
      <c r="F947" s="26" t="n"/>
      <c r="G947" s="26" t="n"/>
      <c r="H947" s="26" t="n"/>
      <c r="I947" s="26">
        <f>IFERROR(SUMIF(A$6:A947,"&lt;&gt;""",G$6:G947)-SUMIF(A$6:A947,"&lt;&gt;""",H$6:H947),"")</f>
        <v/>
      </c>
      <c r="J947" s="26" t="n"/>
    </row>
    <row r="948" ht="15" customHeight="1">
      <c r="A948" s="26" t="n"/>
      <c r="B948" s="26" t="n"/>
      <c r="C948" s="26" t="n"/>
      <c r="D948" s="26" t="n"/>
      <c r="E948" s="26" t="n"/>
      <c r="F948" s="26" t="n"/>
      <c r="G948" s="26" t="n"/>
      <c r="H948" s="26" t="n"/>
      <c r="I948" s="26">
        <f>IFERROR(SUMIF(A$6:A948,"&lt;&gt;""",G$6:G948)-SUMIF(A$6:A948,"&lt;&gt;""",H$6:H948),"")</f>
        <v/>
      </c>
      <c r="J948" s="26" t="n"/>
    </row>
    <row r="949" ht="15" customHeight="1">
      <c r="A949" s="26" t="n"/>
      <c r="B949" s="26" t="n"/>
      <c r="C949" s="26" t="n"/>
      <c r="D949" s="26" t="n"/>
      <c r="E949" s="26" t="n"/>
      <c r="F949" s="26" t="n"/>
      <c r="G949" s="26" t="n"/>
      <c r="H949" s="26" t="n"/>
      <c r="I949" s="26">
        <f>IFERROR(SUMIF(A$6:A949,"&lt;&gt;""",G$6:G949)-SUMIF(A$6:A949,"&lt;&gt;""",H$6:H949),"")</f>
        <v/>
      </c>
      <c r="J949" s="26" t="n"/>
    </row>
    <row r="950" ht="15" customHeight="1">
      <c r="A950" s="26" t="n"/>
      <c r="B950" s="26" t="n"/>
      <c r="C950" s="26" t="n"/>
      <c r="D950" s="26" t="n"/>
      <c r="E950" s="26" t="n"/>
      <c r="F950" s="26" t="n"/>
      <c r="G950" s="26" t="n"/>
      <c r="H950" s="26" t="n"/>
      <c r="I950" s="26">
        <f>IFERROR(SUMIF(A$6:A950,"&lt;&gt;""",G$6:G950)-SUMIF(A$6:A950,"&lt;&gt;""",H$6:H950),"")</f>
        <v/>
      </c>
      <c r="J950" s="26" t="n"/>
    </row>
    <row r="951" ht="15" customHeight="1">
      <c r="A951" s="26" t="n"/>
      <c r="B951" s="26" t="n"/>
      <c r="C951" s="26" t="n"/>
      <c r="D951" s="26" t="n"/>
      <c r="E951" s="26" t="n"/>
      <c r="F951" s="26" t="n"/>
      <c r="G951" s="26" t="n"/>
      <c r="H951" s="26" t="n"/>
      <c r="I951" s="26">
        <f>IFERROR(SUMIF(A$6:A951,"&lt;&gt;""",G$6:G951)-SUMIF(A$6:A951,"&lt;&gt;""",H$6:H951),"")</f>
        <v/>
      </c>
      <c r="J951" s="26" t="n"/>
    </row>
    <row r="952" ht="15" customHeight="1">
      <c r="A952" s="26" t="n"/>
      <c r="B952" s="26" t="n"/>
      <c r="C952" s="26" t="n"/>
      <c r="D952" s="26" t="n"/>
      <c r="E952" s="26" t="n"/>
      <c r="F952" s="26" t="n"/>
      <c r="G952" s="26" t="n"/>
      <c r="H952" s="26" t="n"/>
      <c r="I952" s="26">
        <f>IFERROR(SUMIF(A$6:A952,"&lt;&gt;""",G$6:G952)-SUMIF(A$6:A952,"&lt;&gt;""",H$6:H952),"")</f>
        <v/>
      </c>
      <c r="J952" s="26" t="n"/>
    </row>
    <row r="953" ht="15" customHeight="1">
      <c r="A953" s="26" t="n"/>
      <c r="B953" s="26" t="n"/>
      <c r="C953" s="26" t="n"/>
      <c r="D953" s="26" t="n"/>
      <c r="E953" s="26" t="n"/>
      <c r="F953" s="26" t="n"/>
      <c r="G953" s="26" t="n"/>
      <c r="H953" s="26" t="n"/>
      <c r="I953" s="26">
        <f>IFERROR(SUMIF(A$6:A953,"&lt;&gt;""",G$6:G953)-SUMIF(A$6:A953,"&lt;&gt;""",H$6:H953),"")</f>
        <v/>
      </c>
      <c r="J953" s="26" t="n"/>
    </row>
    <row r="954" ht="15" customHeight="1">
      <c r="A954" s="26" t="n"/>
      <c r="B954" s="26" t="n"/>
      <c r="C954" s="26" t="n"/>
      <c r="D954" s="26" t="n"/>
      <c r="E954" s="26" t="n"/>
      <c r="F954" s="26" t="n"/>
      <c r="G954" s="26" t="n"/>
      <c r="H954" s="26" t="n"/>
      <c r="I954" s="26">
        <f>IFERROR(SUMIF(A$6:A954,"&lt;&gt;""",G$6:G954)-SUMIF(A$6:A954,"&lt;&gt;""",H$6:H954),"")</f>
        <v/>
      </c>
      <c r="J954" s="26" t="n"/>
    </row>
    <row r="955" ht="15" customHeight="1">
      <c r="A955" s="26" t="n"/>
      <c r="B955" s="26" t="n"/>
      <c r="C955" s="26" t="n"/>
      <c r="D955" s="26" t="n"/>
      <c r="E955" s="26" t="n"/>
      <c r="F955" s="26" t="n"/>
      <c r="G955" s="26" t="n"/>
      <c r="H955" s="26" t="n"/>
      <c r="I955" s="26">
        <f>IFERROR(SUMIF(A$6:A955,"&lt;&gt;""",G$6:G955)-SUMIF(A$6:A955,"&lt;&gt;""",H$6:H955),"")</f>
        <v/>
      </c>
      <c r="J955" s="26" t="n"/>
    </row>
    <row r="956" ht="15" customHeight="1">
      <c r="A956" s="26" t="n"/>
      <c r="B956" s="26" t="n"/>
      <c r="C956" s="26" t="n"/>
      <c r="D956" s="26" t="n"/>
      <c r="E956" s="26" t="n"/>
      <c r="F956" s="26" t="n"/>
      <c r="G956" s="26" t="n"/>
      <c r="H956" s="26" t="n"/>
      <c r="I956" s="26">
        <f>IFERROR(SUMIF(A$6:A956,"&lt;&gt;""",G$6:G956)-SUMIF(A$6:A956,"&lt;&gt;""",H$6:H956),"")</f>
        <v/>
      </c>
      <c r="J956" s="26" t="n"/>
    </row>
    <row r="957" ht="15" customHeight="1">
      <c r="A957" s="26" t="n"/>
      <c r="B957" s="26" t="n"/>
      <c r="C957" s="26" t="n"/>
      <c r="D957" s="26" t="n"/>
      <c r="E957" s="26" t="n"/>
      <c r="F957" s="26" t="n"/>
      <c r="G957" s="26" t="n"/>
      <c r="H957" s="26" t="n"/>
      <c r="I957" s="26">
        <f>IFERROR(SUMIF(A$6:A957,"&lt;&gt;""",G$6:G957)-SUMIF(A$6:A957,"&lt;&gt;""",H$6:H957),"")</f>
        <v/>
      </c>
      <c r="J957" s="26" t="n"/>
    </row>
    <row r="958" ht="15" customHeight="1">
      <c r="A958" s="26" t="n"/>
      <c r="B958" s="26" t="n"/>
      <c r="C958" s="26" t="n"/>
      <c r="D958" s="26" t="n"/>
      <c r="E958" s="26" t="n"/>
      <c r="F958" s="26" t="n"/>
      <c r="G958" s="26" t="n"/>
      <c r="H958" s="26" t="n"/>
      <c r="I958" s="26">
        <f>IFERROR(SUMIF(A$6:A958,"&lt;&gt;""",G$6:G958)-SUMIF(A$6:A958,"&lt;&gt;""",H$6:H958),"")</f>
        <v/>
      </c>
      <c r="J958" s="26" t="n"/>
    </row>
    <row r="959" ht="15" customHeight="1">
      <c r="A959" s="26" t="n"/>
      <c r="B959" s="26" t="n"/>
      <c r="C959" s="26" t="n"/>
      <c r="D959" s="26" t="n"/>
      <c r="E959" s="26" t="n"/>
      <c r="F959" s="26" t="n"/>
      <c r="G959" s="26" t="n"/>
      <c r="H959" s="26" t="n"/>
      <c r="I959" s="26">
        <f>IFERROR(SUMIF(A$6:A959,"&lt;&gt;""",G$6:G959)-SUMIF(A$6:A959,"&lt;&gt;""",H$6:H959),"")</f>
        <v/>
      </c>
      <c r="J959" s="26" t="n"/>
    </row>
    <row r="960" ht="15" customHeight="1">
      <c r="A960" s="26" t="n"/>
      <c r="B960" s="26" t="n"/>
      <c r="C960" s="26" t="n"/>
      <c r="D960" s="26" t="n"/>
      <c r="E960" s="26" t="n"/>
      <c r="F960" s="26" t="n"/>
      <c r="G960" s="26" t="n"/>
      <c r="H960" s="26" t="n"/>
      <c r="I960" s="26">
        <f>IFERROR(SUMIF(A$6:A960,"&lt;&gt;""",G$6:G960)-SUMIF(A$6:A960,"&lt;&gt;""",H$6:H960),"")</f>
        <v/>
      </c>
      <c r="J960" s="26" t="n"/>
    </row>
    <row r="961" ht="15" customHeight="1">
      <c r="A961" s="26" t="n"/>
      <c r="B961" s="26" t="n"/>
      <c r="C961" s="26" t="n"/>
      <c r="D961" s="26" t="n"/>
      <c r="E961" s="26" t="n"/>
      <c r="F961" s="26" t="n"/>
      <c r="G961" s="26" t="n"/>
      <c r="H961" s="26" t="n"/>
      <c r="I961" s="26">
        <f>IFERROR(SUMIF(A$6:A961,"&lt;&gt;""",G$6:G961)-SUMIF(A$6:A961,"&lt;&gt;""",H$6:H961),"")</f>
        <v/>
      </c>
      <c r="J961" s="26" t="n"/>
    </row>
    <row r="962" ht="15" customHeight="1">
      <c r="A962" s="26" t="n"/>
      <c r="B962" s="26" t="n"/>
      <c r="C962" s="26" t="n"/>
      <c r="D962" s="26" t="n"/>
      <c r="E962" s="26" t="n"/>
      <c r="F962" s="26" t="n"/>
      <c r="G962" s="26" t="n"/>
      <c r="H962" s="26" t="n"/>
      <c r="I962" s="26">
        <f>IFERROR(SUMIF(A$6:A962,"&lt;&gt;""",G$6:G962)-SUMIF(A$6:A962,"&lt;&gt;""",H$6:H962),"")</f>
        <v/>
      </c>
      <c r="J962" s="26" t="n"/>
    </row>
    <row r="963" ht="15" customHeight="1">
      <c r="A963" s="26" t="n"/>
      <c r="B963" s="26" t="n"/>
      <c r="C963" s="26" t="n"/>
      <c r="D963" s="26" t="n"/>
      <c r="E963" s="26" t="n"/>
      <c r="F963" s="26" t="n"/>
      <c r="G963" s="26" t="n"/>
      <c r="H963" s="26" t="n"/>
      <c r="I963" s="26">
        <f>IFERROR(SUMIF(A$6:A963,"&lt;&gt;""",G$6:G963)-SUMIF(A$6:A963,"&lt;&gt;""",H$6:H963),"")</f>
        <v/>
      </c>
      <c r="J963" s="26" t="n"/>
    </row>
    <row r="964" ht="15" customHeight="1">
      <c r="A964" s="26" t="n"/>
      <c r="B964" s="26" t="n"/>
      <c r="C964" s="26" t="n"/>
      <c r="D964" s="26" t="n"/>
      <c r="E964" s="26" t="n"/>
      <c r="F964" s="26" t="n"/>
      <c r="G964" s="26" t="n"/>
      <c r="H964" s="26" t="n"/>
      <c r="I964" s="26">
        <f>IFERROR(SUMIF(A$6:A964,"&lt;&gt;""",G$6:G964)-SUMIF(A$6:A964,"&lt;&gt;""",H$6:H964),"")</f>
        <v/>
      </c>
      <c r="J964" s="26" t="n"/>
    </row>
    <row r="965" ht="15" customHeight="1">
      <c r="A965" s="26" t="n"/>
      <c r="B965" s="26" t="n"/>
      <c r="C965" s="26" t="n"/>
      <c r="D965" s="26" t="n"/>
      <c r="E965" s="26" t="n"/>
      <c r="F965" s="26" t="n"/>
      <c r="G965" s="26" t="n"/>
      <c r="H965" s="26" t="n"/>
      <c r="I965" s="26">
        <f>IFERROR(SUMIF(A$6:A965,"&lt;&gt;""",G$6:G965)-SUMIF(A$6:A965,"&lt;&gt;""",H$6:H965),"")</f>
        <v/>
      </c>
      <c r="J965" s="26" t="n"/>
    </row>
    <row r="966" ht="15" customHeight="1">
      <c r="A966" s="26" t="n"/>
      <c r="B966" s="26" t="n"/>
      <c r="C966" s="26" t="n"/>
      <c r="D966" s="26" t="n"/>
      <c r="E966" s="26" t="n"/>
      <c r="F966" s="26" t="n"/>
      <c r="G966" s="26" t="n"/>
      <c r="H966" s="26" t="n"/>
      <c r="I966" s="26">
        <f>IFERROR(SUMIF(A$6:A966,"&lt;&gt;""",G$6:G966)-SUMIF(A$6:A966,"&lt;&gt;""",H$6:H966),"")</f>
        <v/>
      </c>
      <c r="J966" s="26" t="n"/>
    </row>
    <row r="967" ht="15" customHeight="1">
      <c r="A967" s="26" t="n"/>
      <c r="B967" s="26" t="n"/>
      <c r="C967" s="26" t="n"/>
      <c r="D967" s="26" t="n"/>
      <c r="E967" s="26" t="n"/>
      <c r="F967" s="26" t="n"/>
      <c r="G967" s="26" t="n"/>
      <c r="H967" s="26" t="n"/>
      <c r="I967" s="26">
        <f>IFERROR(SUMIF(A$6:A967,"&lt;&gt;""",G$6:G967)-SUMIF(A$6:A967,"&lt;&gt;""",H$6:H967),"")</f>
        <v/>
      </c>
      <c r="J967" s="26" t="n"/>
    </row>
    <row r="968" ht="15" customHeight="1">
      <c r="A968" s="26" t="n"/>
      <c r="B968" s="26" t="n"/>
      <c r="C968" s="26" t="n"/>
      <c r="D968" s="26" t="n"/>
      <c r="E968" s="26" t="n"/>
      <c r="F968" s="26" t="n"/>
      <c r="G968" s="26" t="n"/>
      <c r="H968" s="26" t="n"/>
      <c r="I968" s="26">
        <f>IFERROR(SUMIF(A$6:A968,"&lt;&gt;""",G$6:G968)-SUMIF(A$6:A968,"&lt;&gt;""",H$6:H968),"")</f>
        <v/>
      </c>
      <c r="J968" s="26" t="n"/>
    </row>
    <row r="969" ht="15" customHeight="1">
      <c r="A969" s="26" t="n"/>
      <c r="B969" s="26" t="n"/>
      <c r="C969" s="26" t="n"/>
      <c r="D969" s="26" t="n"/>
      <c r="E969" s="26" t="n"/>
      <c r="F969" s="26" t="n"/>
      <c r="G969" s="26" t="n"/>
      <c r="H969" s="26" t="n"/>
      <c r="I969" s="26">
        <f>IFERROR(SUMIF(A$6:A969,"&lt;&gt;""",G$6:G969)-SUMIF(A$6:A969,"&lt;&gt;""",H$6:H969),"")</f>
        <v/>
      </c>
      <c r="J969" s="26" t="n"/>
    </row>
    <row r="970" ht="15" customHeight="1">
      <c r="A970" s="26" t="n"/>
      <c r="B970" s="26" t="n"/>
      <c r="C970" s="26" t="n"/>
      <c r="D970" s="26" t="n"/>
      <c r="E970" s="26" t="n"/>
      <c r="F970" s="26" t="n"/>
      <c r="G970" s="26" t="n"/>
      <c r="H970" s="26" t="n"/>
      <c r="I970" s="26">
        <f>IFERROR(SUMIF(A$6:A970,"&lt;&gt;""",G$6:G970)-SUMIF(A$6:A970,"&lt;&gt;""",H$6:H970),"")</f>
        <v/>
      </c>
      <c r="J970" s="26" t="n"/>
    </row>
    <row r="971" ht="15" customHeight="1">
      <c r="A971" s="26" t="n"/>
      <c r="B971" s="26" t="n"/>
      <c r="C971" s="26" t="n"/>
      <c r="D971" s="26" t="n"/>
      <c r="E971" s="26" t="n"/>
      <c r="F971" s="26" t="n"/>
      <c r="G971" s="26" t="n"/>
      <c r="H971" s="26" t="n"/>
      <c r="I971" s="26">
        <f>IFERROR(SUMIF(A$6:A971,"&lt;&gt;""",G$6:G971)-SUMIF(A$6:A971,"&lt;&gt;""",H$6:H971),"")</f>
        <v/>
      </c>
      <c r="J971" s="26" t="n"/>
    </row>
    <row r="972" ht="15" customHeight="1">
      <c r="A972" s="26" t="n"/>
      <c r="B972" s="26" t="n"/>
      <c r="C972" s="26" t="n"/>
      <c r="D972" s="26" t="n"/>
      <c r="E972" s="26" t="n"/>
      <c r="F972" s="26" t="n"/>
      <c r="G972" s="26" t="n"/>
      <c r="H972" s="26" t="n"/>
      <c r="I972" s="26">
        <f>IFERROR(SUMIF(A$6:A972,"&lt;&gt;""",G$6:G972)-SUMIF(A$6:A972,"&lt;&gt;""",H$6:H972),"")</f>
        <v/>
      </c>
      <c r="J972" s="26" t="n"/>
    </row>
    <row r="973" ht="15" customHeight="1">
      <c r="A973" s="26" t="n"/>
      <c r="B973" s="26" t="n"/>
      <c r="C973" s="26" t="n"/>
      <c r="D973" s="26" t="n"/>
      <c r="E973" s="26" t="n"/>
      <c r="F973" s="26" t="n"/>
      <c r="G973" s="26" t="n"/>
      <c r="H973" s="26" t="n"/>
      <c r="I973" s="26">
        <f>IFERROR(SUMIF(A$6:A973,"&lt;&gt;""",G$6:G973)-SUMIF(A$6:A973,"&lt;&gt;""",H$6:H973),"")</f>
        <v/>
      </c>
      <c r="J973" s="26" t="n"/>
    </row>
    <row r="974" ht="15" customHeight="1">
      <c r="A974" s="26" t="n"/>
      <c r="B974" s="26" t="n"/>
      <c r="C974" s="26" t="n"/>
      <c r="D974" s="26" t="n"/>
      <c r="E974" s="26" t="n"/>
      <c r="F974" s="26" t="n"/>
      <c r="G974" s="26" t="n"/>
      <c r="H974" s="26" t="n"/>
      <c r="I974" s="26">
        <f>IFERROR(SUMIF(A$6:A974,"&lt;&gt;""",G$6:G974)-SUMIF(A$6:A974,"&lt;&gt;""",H$6:H974),"")</f>
        <v/>
      </c>
      <c r="J974" s="26" t="n"/>
    </row>
    <row r="975" ht="15" customHeight="1">
      <c r="A975" s="26" t="n"/>
      <c r="B975" s="26" t="n"/>
      <c r="C975" s="26" t="n"/>
      <c r="D975" s="26" t="n"/>
      <c r="E975" s="26" t="n"/>
      <c r="F975" s="26" t="n"/>
      <c r="G975" s="26" t="n"/>
      <c r="H975" s="26" t="n"/>
      <c r="I975" s="26">
        <f>IFERROR(SUMIF(A$6:A975,"&lt;&gt;""",G$6:G975)-SUMIF(A$6:A975,"&lt;&gt;""",H$6:H975),"")</f>
        <v/>
      </c>
      <c r="J975" s="26" t="n"/>
    </row>
    <row r="976" ht="15" customHeight="1">
      <c r="A976" s="26" t="n"/>
      <c r="B976" s="26" t="n"/>
      <c r="C976" s="26" t="n"/>
      <c r="D976" s="26" t="n"/>
      <c r="E976" s="26" t="n"/>
      <c r="F976" s="26" t="n"/>
      <c r="G976" s="26" t="n"/>
      <c r="H976" s="26" t="n"/>
      <c r="I976" s="26">
        <f>IFERROR(SUMIF(A$6:A976,"&lt;&gt;""",G$6:G976)-SUMIF(A$6:A976,"&lt;&gt;""",H$6:H976),"")</f>
        <v/>
      </c>
      <c r="J976" s="26" t="n"/>
    </row>
    <row r="977" ht="15" customHeight="1">
      <c r="A977" s="26" t="n"/>
      <c r="B977" s="26" t="n"/>
      <c r="C977" s="26" t="n"/>
      <c r="D977" s="26" t="n"/>
      <c r="E977" s="26" t="n"/>
      <c r="F977" s="26" t="n"/>
      <c r="G977" s="26" t="n"/>
      <c r="H977" s="26" t="n"/>
      <c r="I977" s="26">
        <f>IFERROR(SUMIF(A$6:A977,"&lt;&gt;""",G$6:G977)-SUMIF(A$6:A977,"&lt;&gt;""",H$6:H977),"")</f>
        <v/>
      </c>
      <c r="J977" s="26" t="n"/>
    </row>
    <row r="978" ht="15" customHeight="1">
      <c r="A978" s="26" t="n"/>
      <c r="B978" s="26" t="n"/>
      <c r="C978" s="26" t="n"/>
      <c r="D978" s="26" t="n"/>
      <c r="E978" s="26" t="n"/>
      <c r="F978" s="26" t="n"/>
      <c r="G978" s="26" t="n"/>
      <c r="H978" s="26" t="n"/>
      <c r="I978" s="26">
        <f>IFERROR(SUMIF(A$6:A978,"&lt;&gt;""",G$6:G978)-SUMIF(A$6:A978,"&lt;&gt;""",H$6:H978),"")</f>
        <v/>
      </c>
      <c r="J978" s="26" t="n"/>
    </row>
    <row r="979" ht="15" customHeight="1">
      <c r="A979" s="26" t="n"/>
      <c r="B979" s="26" t="n"/>
      <c r="C979" s="26" t="n"/>
      <c r="D979" s="26" t="n"/>
      <c r="E979" s="26" t="n"/>
      <c r="F979" s="26" t="n"/>
      <c r="G979" s="26" t="n"/>
      <c r="H979" s="26" t="n"/>
      <c r="I979" s="26">
        <f>IFERROR(SUMIF(A$6:A979,"&lt;&gt;""",G$6:G979)-SUMIF(A$6:A979,"&lt;&gt;""",H$6:H979),"")</f>
        <v/>
      </c>
      <c r="J979" s="26" t="n"/>
    </row>
    <row r="980" ht="15" customHeight="1">
      <c r="A980" s="26" t="n"/>
      <c r="B980" s="26" t="n"/>
      <c r="C980" s="26" t="n"/>
      <c r="D980" s="26" t="n"/>
      <c r="E980" s="26" t="n"/>
      <c r="F980" s="26" t="n"/>
      <c r="G980" s="26" t="n"/>
      <c r="H980" s="26" t="n"/>
      <c r="I980" s="26">
        <f>IFERROR(SUMIF(A$6:A980,"&lt;&gt;""",G$6:G980)-SUMIF(A$6:A980,"&lt;&gt;""",H$6:H980),"")</f>
        <v/>
      </c>
      <c r="J980" s="26" t="n"/>
    </row>
    <row r="981" ht="15" customHeight="1">
      <c r="A981" s="26" t="n"/>
      <c r="B981" s="26" t="n"/>
      <c r="C981" s="26" t="n"/>
      <c r="D981" s="26" t="n"/>
      <c r="E981" s="26" t="n"/>
      <c r="F981" s="26" t="n"/>
      <c r="G981" s="26" t="n"/>
      <c r="H981" s="26" t="n"/>
      <c r="I981" s="26">
        <f>IFERROR(SUMIF(A$6:A981,"&lt;&gt;""",G$6:G981)-SUMIF(A$6:A981,"&lt;&gt;""",H$6:H981),"")</f>
        <v/>
      </c>
      <c r="J981" s="26" t="n"/>
    </row>
    <row r="982" ht="15" customHeight="1">
      <c r="A982" s="26" t="n"/>
      <c r="B982" s="26" t="n"/>
      <c r="C982" s="26" t="n"/>
      <c r="D982" s="26" t="n"/>
      <c r="E982" s="26" t="n"/>
      <c r="F982" s="26" t="n"/>
      <c r="G982" s="26" t="n"/>
      <c r="H982" s="26" t="n"/>
      <c r="I982" s="26">
        <f>IFERROR(SUMIF(A$6:A982,"&lt;&gt;""",G$6:G982)-SUMIF(A$6:A982,"&lt;&gt;""",H$6:H982),"")</f>
        <v/>
      </c>
      <c r="J982" s="26" t="n"/>
    </row>
    <row r="983" ht="15" customHeight="1">
      <c r="A983" s="26" t="n"/>
      <c r="B983" s="26" t="n"/>
      <c r="C983" s="26" t="n"/>
      <c r="D983" s="26" t="n"/>
      <c r="E983" s="26" t="n"/>
      <c r="F983" s="26" t="n"/>
      <c r="G983" s="26" t="n"/>
      <c r="H983" s="26" t="n"/>
      <c r="I983" s="26">
        <f>IFERROR(SUMIF(A$6:A983,"&lt;&gt;""",G$6:G983)-SUMIF(A$6:A983,"&lt;&gt;""",H$6:H983),"")</f>
        <v/>
      </c>
      <c r="J983" s="26" t="n"/>
    </row>
    <row r="984" ht="15" customHeight="1">
      <c r="A984" s="26" t="n"/>
      <c r="B984" s="26" t="n"/>
      <c r="C984" s="26" t="n"/>
      <c r="D984" s="26" t="n"/>
      <c r="E984" s="26" t="n"/>
      <c r="F984" s="26" t="n"/>
      <c r="G984" s="26" t="n"/>
      <c r="H984" s="26" t="n"/>
      <c r="I984" s="26">
        <f>IFERROR(SUMIF(A$6:A984,"&lt;&gt;""",G$6:G984)-SUMIF(A$6:A984,"&lt;&gt;""",H$6:H984),"")</f>
        <v/>
      </c>
      <c r="J984" s="26" t="n"/>
    </row>
    <row r="985" ht="15" customHeight="1">
      <c r="A985" s="26" t="n"/>
      <c r="B985" s="26" t="n"/>
      <c r="C985" s="26" t="n"/>
      <c r="D985" s="26" t="n"/>
      <c r="E985" s="26" t="n"/>
      <c r="F985" s="26" t="n"/>
      <c r="G985" s="26" t="n"/>
      <c r="H985" s="26" t="n"/>
      <c r="I985" s="26">
        <f>IFERROR(SUMIF(A$6:A985,"&lt;&gt;""",G$6:G985)-SUMIF(A$6:A985,"&lt;&gt;""",H$6:H985),"")</f>
        <v/>
      </c>
      <c r="J985" s="26" t="n"/>
    </row>
    <row r="986" ht="15" customHeight="1">
      <c r="A986" s="26" t="n"/>
      <c r="B986" s="26" t="n"/>
      <c r="C986" s="26" t="n"/>
      <c r="D986" s="26" t="n"/>
      <c r="E986" s="26" t="n"/>
      <c r="F986" s="26" t="n"/>
      <c r="G986" s="26" t="n"/>
      <c r="H986" s="26" t="n"/>
      <c r="I986" s="26">
        <f>IFERROR(SUMIF(A$6:A986,"&lt;&gt;""",G$6:G986)-SUMIF(A$6:A986,"&lt;&gt;""",H$6:H986),"")</f>
        <v/>
      </c>
      <c r="J986" s="26" t="n"/>
    </row>
    <row r="987" ht="15" customHeight="1">
      <c r="A987" s="26" t="n"/>
      <c r="B987" s="26" t="n"/>
      <c r="C987" s="26" t="n"/>
      <c r="D987" s="26" t="n"/>
      <c r="E987" s="26" t="n"/>
      <c r="F987" s="26" t="n"/>
      <c r="G987" s="26" t="n"/>
      <c r="H987" s="26" t="n"/>
      <c r="I987" s="26">
        <f>IFERROR(SUMIF(A$6:A987,"&lt;&gt;""",G$6:G987)-SUMIF(A$6:A987,"&lt;&gt;""",H$6:H987),"")</f>
        <v/>
      </c>
      <c r="J987" s="26" t="n"/>
    </row>
    <row r="988" ht="15" customHeight="1">
      <c r="A988" s="26" t="n"/>
      <c r="B988" s="26" t="n"/>
      <c r="C988" s="26" t="n"/>
      <c r="D988" s="26" t="n"/>
      <c r="E988" s="26" t="n"/>
      <c r="F988" s="26" t="n"/>
      <c r="G988" s="26" t="n"/>
      <c r="H988" s="26" t="n"/>
      <c r="I988" s="26">
        <f>IFERROR(SUMIF(A$6:A988,"&lt;&gt;""",G$6:G988)-SUMIF(A$6:A988,"&lt;&gt;""",H$6:H988),"")</f>
        <v/>
      </c>
      <c r="J988" s="26" t="n"/>
    </row>
    <row r="989" ht="15" customHeight="1">
      <c r="A989" s="26" t="n"/>
      <c r="B989" s="26" t="n"/>
      <c r="C989" s="26" t="n"/>
      <c r="D989" s="26" t="n"/>
      <c r="E989" s="26" t="n"/>
      <c r="F989" s="26" t="n"/>
      <c r="G989" s="26" t="n"/>
      <c r="H989" s="26" t="n"/>
      <c r="I989" s="26">
        <f>IFERROR(SUMIF(A$6:A989,"&lt;&gt;""",G$6:G989)-SUMIF(A$6:A989,"&lt;&gt;""",H$6:H989),"")</f>
        <v/>
      </c>
      <c r="J989" s="26" t="n"/>
    </row>
    <row r="990" ht="15" customHeight="1">
      <c r="A990" s="26" t="n"/>
      <c r="B990" s="26" t="n"/>
      <c r="C990" s="26" t="n"/>
      <c r="D990" s="26" t="n"/>
      <c r="E990" s="26" t="n"/>
      <c r="F990" s="26" t="n"/>
      <c r="G990" s="26" t="n"/>
      <c r="H990" s="26" t="n"/>
      <c r="I990" s="26">
        <f>IFERROR(SUMIF(A$6:A990,"&lt;&gt;""",G$6:G990)-SUMIF(A$6:A990,"&lt;&gt;""",H$6:H990),"")</f>
        <v/>
      </c>
      <c r="J990" s="26" t="n"/>
    </row>
    <row r="991" ht="15" customHeight="1">
      <c r="A991" s="26" t="n"/>
      <c r="B991" s="26" t="n"/>
      <c r="C991" s="26" t="n"/>
      <c r="D991" s="26" t="n"/>
      <c r="E991" s="26" t="n"/>
      <c r="F991" s="26" t="n"/>
      <c r="G991" s="26" t="n"/>
      <c r="H991" s="26" t="n"/>
      <c r="I991" s="26">
        <f>IFERROR(SUMIF(A$6:A991,"&lt;&gt;""",G$6:G991)-SUMIF(A$6:A991,"&lt;&gt;""",H$6:H991),"")</f>
        <v/>
      </c>
      <c r="J991" s="26" t="n"/>
    </row>
    <row r="992" ht="15" customHeight="1">
      <c r="A992" s="26" t="n"/>
      <c r="B992" s="26" t="n"/>
      <c r="C992" s="26" t="n"/>
      <c r="D992" s="26" t="n"/>
      <c r="E992" s="26" t="n"/>
      <c r="F992" s="26" t="n"/>
      <c r="G992" s="26" t="n"/>
      <c r="H992" s="26" t="n"/>
      <c r="I992" s="26">
        <f>IFERROR(SUMIF(A$6:A992,"&lt;&gt;""",G$6:G992)-SUMIF(A$6:A992,"&lt;&gt;""",H$6:H992),"")</f>
        <v/>
      </c>
      <c r="J992" s="26" t="n"/>
    </row>
    <row r="993" ht="15" customHeight="1">
      <c r="A993" s="26" t="n"/>
      <c r="B993" s="26" t="n"/>
      <c r="C993" s="26" t="n"/>
      <c r="D993" s="26" t="n"/>
      <c r="E993" s="26" t="n"/>
      <c r="F993" s="26" t="n"/>
      <c r="G993" s="26" t="n"/>
      <c r="H993" s="26" t="n"/>
      <c r="I993" s="26">
        <f>IFERROR(SUMIF(A$6:A993,"&lt;&gt;""",G$6:G993)-SUMIF(A$6:A993,"&lt;&gt;""",H$6:H993),"")</f>
        <v/>
      </c>
      <c r="J993" s="26" t="n"/>
    </row>
    <row r="994" ht="15" customHeight="1">
      <c r="A994" s="26" t="n"/>
      <c r="B994" s="26" t="n"/>
      <c r="C994" s="26" t="n"/>
      <c r="D994" s="26" t="n"/>
      <c r="E994" s="26" t="n"/>
      <c r="F994" s="26" t="n"/>
      <c r="G994" s="26" t="n"/>
      <c r="H994" s="26" t="n"/>
      <c r="I994" s="26">
        <f>IFERROR(SUMIF(A$6:A994,"&lt;&gt;""",G$6:G994)-SUMIF(A$6:A994,"&lt;&gt;""",H$6:H994),"")</f>
        <v/>
      </c>
      <c r="J994" s="26" t="n"/>
    </row>
    <row r="995" ht="15" customHeight="1">
      <c r="A995" s="26" t="n"/>
      <c r="B995" s="26" t="n"/>
      <c r="C995" s="26" t="n"/>
      <c r="D995" s="26" t="n"/>
      <c r="E995" s="26" t="n"/>
      <c r="F995" s="26" t="n"/>
      <c r="G995" s="26" t="n"/>
      <c r="H995" s="26" t="n"/>
      <c r="I995" s="26">
        <f>IFERROR(SUMIF(A$6:A995,"&lt;&gt;""",G$6:G995)-SUMIF(A$6:A995,"&lt;&gt;""",H$6:H995),"")</f>
        <v/>
      </c>
      <c r="J995" s="26" t="n"/>
    </row>
    <row r="996" ht="15" customHeight="1">
      <c r="A996" s="26" t="n"/>
      <c r="B996" s="26" t="n"/>
      <c r="C996" s="26" t="n"/>
      <c r="D996" s="26" t="n"/>
      <c r="E996" s="26" t="n"/>
      <c r="F996" s="26" t="n"/>
      <c r="G996" s="26" t="n"/>
      <c r="H996" s="26" t="n"/>
      <c r="I996" s="26">
        <f>IFERROR(SUMIF(A$6:A996,"&lt;&gt;""",G$6:G996)-SUMIF(A$6:A996,"&lt;&gt;""",H$6:H996),"")</f>
        <v/>
      </c>
      <c r="J996" s="26" t="n"/>
    </row>
    <row r="997" ht="15" customHeight="1">
      <c r="A997" s="26" t="n"/>
      <c r="B997" s="26" t="n"/>
      <c r="C997" s="26" t="n"/>
      <c r="D997" s="26" t="n"/>
      <c r="E997" s="26" t="n"/>
      <c r="F997" s="26" t="n"/>
      <c r="G997" s="26" t="n"/>
      <c r="H997" s="26" t="n"/>
      <c r="I997" s="26">
        <f>IFERROR(SUMIF(A$6:A997,"&lt;&gt;""",G$6:G997)-SUMIF(A$6:A997,"&lt;&gt;""",H$6:H997),"")</f>
        <v/>
      </c>
      <c r="J997" s="26" t="n"/>
    </row>
    <row r="998" ht="15" customHeight="1">
      <c r="A998" s="26" t="n"/>
      <c r="B998" s="26" t="n"/>
      <c r="C998" s="26" t="n"/>
      <c r="D998" s="26" t="n"/>
      <c r="E998" s="26" t="n"/>
      <c r="F998" s="26" t="n"/>
      <c r="G998" s="26" t="n"/>
      <c r="H998" s="26" t="n"/>
      <c r="I998" s="26">
        <f>IFERROR(SUMIF(A$6:A998,"&lt;&gt;""",G$6:G998)-SUMIF(A$6:A998,"&lt;&gt;""",H$6:H998),"")</f>
        <v/>
      </c>
      <c r="J998" s="26" t="n"/>
    </row>
    <row r="999" ht="15" customHeight="1">
      <c r="A999" s="26" t="n"/>
      <c r="B999" s="26" t="n"/>
      <c r="C999" s="26" t="n"/>
      <c r="D999" s="26" t="n"/>
      <c r="E999" s="26" t="n"/>
      <c r="F999" s="26" t="n"/>
      <c r="G999" s="26" t="n"/>
      <c r="H999" s="26" t="n"/>
      <c r="I999" s="26">
        <f>IFERROR(SUMIF(A$6:A999,"&lt;&gt;""",G$6:G999)-SUMIF(A$6:A999,"&lt;&gt;""",H$6:H999),"")</f>
        <v/>
      </c>
      <c r="J999" s="26" t="n"/>
    </row>
    <row r="1000" ht="15" customHeight="1">
      <c r="A1000" s="26" t="n"/>
      <c r="B1000" s="26" t="n"/>
      <c r="C1000" s="26" t="n"/>
      <c r="D1000" s="26" t="n"/>
      <c r="E1000" s="26" t="n"/>
      <c r="F1000" s="26" t="n"/>
      <c r="G1000" s="26" t="n"/>
      <c r="H1000" s="26" t="n"/>
      <c r="I1000" s="26">
        <f>IFERROR(SUMIF(A$6:A1000,"&lt;&gt;""",G$6:G1000)-SUMIF(A$6:A1000,"&lt;&gt;""",H$6:H1000),"")</f>
        <v/>
      </c>
      <c r="J1000" s="26" t="n"/>
    </row>
    <row r="1001" ht="15" customHeight="1">
      <c r="A1001" s="26" t="n"/>
      <c r="B1001" s="26" t="n"/>
      <c r="C1001" s="26" t="n"/>
      <c r="D1001" s="26" t="n"/>
      <c r="E1001" s="26" t="n"/>
      <c r="F1001" s="26" t="n"/>
      <c r="G1001" s="26" t="n"/>
      <c r="H1001" s="26" t="n"/>
      <c r="I1001" s="26">
        <f>IFERROR(SUMIF(A$6:A1001,"&lt;&gt;""",G$6:G1001)-SUMIF(A$6:A1001,"&lt;&gt;""",H$6:H1001),"")</f>
        <v/>
      </c>
      <c r="J1001" s="26" t="n"/>
    </row>
    <row r="1002" ht="15" customHeight="1">
      <c r="A1002" s="26" t="n"/>
      <c r="B1002" s="26" t="n"/>
      <c r="C1002" s="26" t="n"/>
      <c r="D1002" s="26" t="n"/>
      <c r="E1002" s="26" t="n"/>
      <c r="F1002" s="26" t="n"/>
      <c r="G1002" s="26" t="n"/>
      <c r="H1002" s="26" t="n"/>
      <c r="I1002" s="26">
        <f>IFERROR(SUMIF(A$6:A1002,"&lt;&gt;""",G$6:G1002)-SUMIF(A$6:A1002,"&lt;&gt;""",H$6:H1002),"")</f>
        <v/>
      </c>
      <c r="J1002" s="26" t="n"/>
    </row>
    <row r="1003" ht="15" customHeight="1">
      <c r="A1003" s="26" t="n"/>
      <c r="B1003" s="26" t="n"/>
      <c r="C1003" s="26" t="n"/>
      <c r="D1003" s="26" t="n"/>
      <c r="E1003" s="26" t="n"/>
      <c r="F1003" s="26" t="n"/>
      <c r="G1003" s="26" t="n"/>
      <c r="H1003" s="26" t="n"/>
      <c r="I1003" s="26">
        <f>IFERROR(SUMIF(A$6:A1003,"&lt;&gt;""",G$6:G1003)-SUMIF(A$6:A1003,"&lt;&gt;""",H$6:H1003),"")</f>
        <v/>
      </c>
      <c r="J1003" s="26" t="n"/>
    </row>
    <row r="1004" ht="15" customHeight="1">
      <c r="A1004" s="26" t="n"/>
      <c r="B1004" s="26" t="n"/>
      <c r="C1004" s="26" t="n"/>
      <c r="D1004" s="26" t="n"/>
      <c r="E1004" s="26" t="n"/>
      <c r="F1004" s="26" t="n"/>
      <c r="G1004" s="26" t="n"/>
      <c r="H1004" s="26" t="n"/>
      <c r="I1004" s="26">
        <f>IFERROR(SUMIF(A$6:A1004,"&lt;&gt;""",G$6:G1004)-SUMIF(A$6:A1004,"&lt;&gt;""",H$6:H1004),"")</f>
        <v/>
      </c>
      <c r="J1004" s="26" t="n"/>
    </row>
    <row r="1005" ht="15" customHeight="1">
      <c r="A1005" s="26" t="n"/>
      <c r="B1005" s="26" t="n"/>
      <c r="C1005" s="26" t="n"/>
      <c r="D1005" s="26" t="n"/>
      <c r="E1005" s="26" t="n"/>
      <c r="F1005" s="26" t="n"/>
      <c r="G1005" s="26" t="n"/>
      <c r="H1005" s="26" t="n"/>
      <c r="I1005" s="26">
        <f>IFERROR(SUMIF(A$6:A1005,"&lt;&gt;""",G$6:G1005)-SUMIF(A$6:A1005,"&lt;&gt;""",H$6:H1005),"")</f>
        <v/>
      </c>
      <c r="J1005" s="26" t="n"/>
    </row>
    <row r="1006" ht="15" customHeight="1">
      <c r="A1006" s="26" t="n"/>
      <c r="B1006" s="26" t="n"/>
      <c r="C1006" s="26" t="n"/>
      <c r="D1006" s="26" t="n"/>
      <c r="E1006" s="26" t="n"/>
      <c r="F1006" s="26" t="n"/>
      <c r="G1006" s="26" t="n"/>
      <c r="H1006" s="26" t="n"/>
      <c r="I1006" s="26">
        <f>IFERROR(SUMIF(A$6:A1006,"&lt;&gt;""",G$6:G1006)-SUMIF(A$6:A1006,"&lt;&gt;""",H$6:H1006),"")</f>
        <v/>
      </c>
      <c r="J1006" s="26" t="n"/>
    </row>
    <row r="1007" ht="15" customHeight="1">
      <c r="A1007" s="26" t="n"/>
      <c r="B1007" s="26" t="n"/>
      <c r="C1007" s="26" t="n"/>
      <c r="D1007" s="26" t="n"/>
      <c r="E1007" s="26" t="n"/>
      <c r="F1007" s="26" t="n"/>
      <c r="G1007" s="26" t="n"/>
      <c r="H1007" s="26" t="n"/>
      <c r="I1007" s="26">
        <f>IFERROR(SUMIF(A$6:A1007,"&lt;&gt;""",G$6:G1007)-SUMIF(A$6:A1007,"&lt;&gt;""",H$6:H1007),"")</f>
        <v/>
      </c>
      <c r="J1007" s="26" t="n"/>
    </row>
    <row r="1008" ht="15" customHeight="1">
      <c r="A1008" s="26" t="n"/>
      <c r="B1008" s="26" t="n"/>
      <c r="C1008" s="26" t="n"/>
      <c r="D1008" s="26" t="n"/>
      <c r="E1008" s="26" t="n"/>
      <c r="F1008" s="26" t="n"/>
      <c r="G1008" s="26" t="n"/>
      <c r="H1008" s="26" t="n"/>
      <c r="I1008" s="26">
        <f>IFERROR(SUMIF(A$6:A1008,"&lt;&gt;""",G$6:G1008)-SUMIF(A$6:A1008,"&lt;&gt;""",H$6:H1008),"")</f>
        <v/>
      </c>
      <c r="J1008" s="26" t="n"/>
    </row>
    <row r="1009" ht="15" customHeight="1">
      <c r="A1009" s="26" t="n"/>
      <c r="B1009" s="26" t="n"/>
      <c r="C1009" s="26" t="n"/>
      <c r="D1009" s="26" t="n"/>
      <c r="E1009" s="26" t="n"/>
      <c r="F1009" s="26" t="n"/>
      <c r="G1009" s="26" t="n"/>
      <c r="H1009" s="26" t="n"/>
      <c r="I1009" s="26">
        <f>IFERROR(SUMIF(A$6:A1009,"&lt;&gt;""",G$6:G1009)-SUMIF(A$6:A1009,"&lt;&gt;""",H$6:H1009),"")</f>
        <v/>
      </c>
      <c r="J1009" s="26" t="n"/>
    </row>
    <row r="1010" ht="15" customHeight="1">
      <c r="A1010" s="26" t="n"/>
      <c r="B1010" s="26" t="n"/>
      <c r="C1010" s="26" t="n"/>
      <c r="D1010" s="26" t="n"/>
      <c r="E1010" s="26" t="n"/>
      <c r="F1010" s="26" t="n"/>
      <c r="G1010" s="26" t="n"/>
      <c r="H1010" s="26" t="n"/>
      <c r="I1010" s="26">
        <f>IFERROR(SUMIF(A$6:A1010,"&lt;&gt;""",G$6:G1010)-SUMIF(A$6:A1010,"&lt;&gt;""",H$6:H1010),"")</f>
        <v/>
      </c>
      <c r="J1010" s="26" t="n"/>
    </row>
    <row r="1011" ht="15" customHeight="1">
      <c r="A1011" s="26" t="n"/>
      <c r="B1011" s="26" t="n"/>
      <c r="C1011" s="26" t="n"/>
      <c r="D1011" s="26" t="n"/>
      <c r="E1011" s="26" t="n"/>
      <c r="F1011" s="26" t="n"/>
      <c r="G1011" s="26" t="n"/>
      <c r="H1011" s="26" t="n"/>
      <c r="I1011" s="26">
        <f>IFERROR(SUMIF(A$6:A1011,"&lt;&gt;""",G$6:G1011)-SUMIF(A$6:A1011,"&lt;&gt;""",H$6:H1011),"")</f>
        <v/>
      </c>
      <c r="J1011" s="26" t="n"/>
    </row>
    <row r="1012" ht="15" customHeight="1">
      <c r="A1012" s="26" t="n"/>
      <c r="B1012" s="26" t="n"/>
      <c r="C1012" s="26" t="n"/>
      <c r="D1012" s="26" t="n"/>
      <c r="E1012" s="26" t="n"/>
      <c r="F1012" s="26" t="n"/>
      <c r="G1012" s="26" t="n"/>
      <c r="H1012" s="26" t="n"/>
      <c r="I1012" s="26">
        <f>IFERROR(SUMIF(A$6:A1012,"&lt;&gt;""",G$6:G1012)-SUMIF(A$6:A1012,"&lt;&gt;""",H$6:H1012),"")</f>
        <v/>
      </c>
      <c r="J1012" s="26" t="n"/>
    </row>
    <row r="1013" ht="15" customHeight="1">
      <c r="A1013" s="26" t="n"/>
      <c r="B1013" s="26" t="n"/>
      <c r="C1013" s="26" t="n"/>
      <c r="D1013" s="26" t="n"/>
      <c r="E1013" s="26" t="n"/>
      <c r="F1013" s="26" t="n"/>
      <c r="G1013" s="26" t="n"/>
      <c r="H1013" s="26" t="n"/>
      <c r="I1013" s="26">
        <f>IFERROR(SUMIF(A$6:A1013,"&lt;&gt;""",G$6:G1013)-SUMIF(A$6:A1013,"&lt;&gt;""",H$6:H1013),"")</f>
        <v/>
      </c>
      <c r="J1013" s="26" t="n"/>
    </row>
    <row r="1014" ht="15" customHeight="1">
      <c r="A1014" s="26" t="n"/>
      <c r="B1014" s="26" t="n"/>
      <c r="C1014" s="26" t="n"/>
      <c r="D1014" s="26" t="n"/>
      <c r="E1014" s="26" t="n"/>
      <c r="F1014" s="26" t="n"/>
      <c r="G1014" s="26" t="n"/>
      <c r="H1014" s="26" t="n"/>
      <c r="I1014" s="26">
        <f>IFERROR(SUMIF(A$6:A1014,"&lt;&gt;""",G$6:G1014)-SUMIF(A$6:A1014,"&lt;&gt;""",H$6:H1014),"")</f>
        <v/>
      </c>
      <c r="J1014" s="26" t="n"/>
    </row>
    <row r="1015" ht="15" customHeight="1">
      <c r="A1015" s="26" t="n"/>
      <c r="B1015" s="26" t="n"/>
      <c r="C1015" s="26" t="n"/>
      <c r="D1015" s="26" t="n"/>
      <c r="E1015" s="26" t="n"/>
      <c r="F1015" s="26" t="n"/>
      <c r="G1015" s="26" t="n"/>
      <c r="H1015" s="26" t="n"/>
      <c r="I1015" s="26">
        <f>IFERROR(SUMIF(A$6:A1015,"&lt;&gt;""",G$6:G1015)-SUMIF(A$6:A1015,"&lt;&gt;""",H$6:H1015),"")</f>
        <v/>
      </c>
      <c r="J1015" s="26" t="n"/>
    </row>
    <row r="1016" ht="15" customHeight="1">
      <c r="A1016" s="26" t="n"/>
      <c r="B1016" s="26" t="n"/>
      <c r="C1016" s="26" t="n"/>
      <c r="D1016" s="26" t="n"/>
      <c r="E1016" s="26" t="n"/>
      <c r="F1016" s="26" t="n"/>
      <c r="G1016" s="26" t="n"/>
      <c r="H1016" s="26" t="n"/>
      <c r="I1016" s="26">
        <f>IFERROR(SUMIF(A$6:A1016,"&lt;&gt;""",G$6:G1016)-SUMIF(A$6:A1016,"&lt;&gt;""",H$6:H1016),"")</f>
        <v/>
      </c>
      <c r="J1016" s="26" t="n"/>
    </row>
    <row r="1017" ht="15" customHeight="1">
      <c r="A1017" s="26" t="n"/>
      <c r="B1017" s="26" t="n"/>
      <c r="C1017" s="26" t="n"/>
      <c r="D1017" s="26" t="n"/>
      <c r="E1017" s="26" t="n"/>
      <c r="F1017" s="26" t="n"/>
      <c r="G1017" s="26" t="n"/>
      <c r="H1017" s="26" t="n"/>
      <c r="I1017" s="26">
        <f>IFERROR(SUMIF(A$6:A1017,"&lt;&gt;""",G$6:G1017)-SUMIF(A$6:A1017,"&lt;&gt;""",H$6:H1017),"")</f>
        <v/>
      </c>
      <c r="J1017" s="26" t="n"/>
    </row>
    <row r="1018" ht="15" customHeight="1">
      <c r="A1018" s="26" t="n"/>
      <c r="B1018" s="26" t="n"/>
      <c r="C1018" s="26" t="n"/>
      <c r="D1018" s="26" t="n"/>
      <c r="E1018" s="26" t="n"/>
      <c r="F1018" s="26" t="n"/>
      <c r="G1018" s="26" t="n"/>
      <c r="H1018" s="26" t="n"/>
      <c r="I1018" s="26">
        <f>IFERROR(SUMIF(A$6:A1018,"&lt;&gt;""",G$6:G1018)-SUMIF(A$6:A1018,"&lt;&gt;""",H$6:H1018),"")</f>
        <v/>
      </c>
      <c r="J1018" s="26" t="n"/>
    </row>
    <row r="1019" ht="15" customHeight="1">
      <c r="A1019" s="26" t="n"/>
      <c r="B1019" s="26" t="n"/>
      <c r="C1019" s="26" t="n"/>
      <c r="D1019" s="26" t="n"/>
      <c r="E1019" s="26" t="n"/>
      <c r="F1019" s="26" t="n"/>
      <c r="G1019" s="26" t="n"/>
      <c r="H1019" s="26" t="n"/>
      <c r="I1019" s="26">
        <f>IFERROR(SUMIF(A$6:A1019,"&lt;&gt;""",G$6:G1019)-SUMIF(A$6:A1019,"&lt;&gt;""",H$6:H1019),"")</f>
        <v/>
      </c>
      <c r="J1019" s="26" t="n"/>
    </row>
    <row r="1020" ht="15" customHeight="1">
      <c r="A1020" s="26" t="n"/>
      <c r="B1020" s="26" t="n"/>
      <c r="C1020" s="26" t="n"/>
      <c r="D1020" s="26" t="n"/>
      <c r="E1020" s="26" t="n"/>
      <c r="F1020" s="26" t="n"/>
      <c r="G1020" s="26" t="n"/>
      <c r="H1020" s="26" t="n"/>
      <c r="I1020" s="26">
        <f>IFERROR(SUMIF(A$6:A1020,"&lt;&gt;""",G$6:G1020)-SUMIF(A$6:A1020,"&lt;&gt;""",H$6:H1020),"")</f>
        <v/>
      </c>
      <c r="J1020" s="26" t="n"/>
    </row>
    <row r="1021" ht="15" customHeight="1">
      <c r="A1021" s="26" t="n"/>
      <c r="B1021" s="26" t="n"/>
      <c r="C1021" s="26" t="n"/>
      <c r="D1021" s="26" t="n"/>
      <c r="E1021" s="26" t="n"/>
      <c r="F1021" s="26" t="n"/>
      <c r="G1021" s="26" t="n"/>
      <c r="H1021" s="26" t="n"/>
      <c r="I1021" s="26">
        <f>IFERROR(SUMIF(A$6:A1021,"&lt;&gt;""",G$6:G1021)-SUMIF(A$6:A1021,"&lt;&gt;""",H$6:H1021),"")</f>
        <v/>
      </c>
      <c r="J1021" s="26" t="n"/>
    </row>
    <row r="1022" ht="15" customHeight="1">
      <c r="A1022" s="26" t="n"/>
      <c r="B1022" s="26" t="n"/>
      <c r="C1022" s="26" t="n"/>
      <c r="D1022" s="26" t="n"/>
      <c r="E1022" s="26" t="n"/>
      <c r="F1022" s="26" t="n"/>
      <c r="G1022" s="26" t="n"/>
      <c r="H1022" s="26" t="n"/>
      <c r="I1022" s="26">
        <f>IFERROR(SUMIF(A$6:A1022,"&lt;&gt;""",G$6:G1022)-SUMIF(A$6:A1022,"&lt;&gt;""",H$6:H1022),"")</f>
        <v/>
      </c>
      <c r="J1022" s="26" t="n"/>
    </row>
    <row r="1023" ht="15" customHeight="1">
      <c r="A1023" s="26" t="n"/>
      <c r="B1023" s="26" t="n"/>
      <c r="C1023" s="26" t="n"/>
      <c r="D1023" s="26" t="n"/>
      <c r="E1023" s="26" t="n"/>
      <c r="F1023" s="26" t="n"/>
      <c r="G1023" s="26" t="n"/>
      <c r="H1023" s="26" t="n"/>
      <c r="I1023" s="26">
        <f>IFERROR(SUMIF(A$6:A1023,"&lt;&gt;""",G$6:G1023)-SUMIF(A$6:A1023,"&lt;&gt;""",H$6:H1023),"")</f>
        <v/>
      </c>
      <c r="J1023" s="26" t="n"/>
    </row>
    <row r="1024" ht="15" customHeight="1">
      <c r="A1024" s="26" t="n"/>
      <c r="B1024" s="26" t="n"/>
      <c r="C1024" s="26" t="n"/>
      <c r="D1024" s="26" t="n"/>
      <c r="E1024" s="26" t="n"/>
      <c r="F1024" s="26" t="n"/>
      <c r="G1024" s="26" t="n"/>
      <c r="H1024" s="26" t="n"/>
      <c r="I1024" s="26">
        <f>IFERROR(SUMIF(A$6:A1024,"&lt;&gt;""",G$6:G1024)-SUMIF(A$6:A1024,"&lt;&gt;""",H$6:H1024),"")</f>
        <v/>
      </c>
      <c r="J1024" s="26" t="n"/>
    </row>
    <row r="1025" ht="15" customHeight="1">
      <c r="A1025" s="26" t="n"/>
      <c r="B1025" s="26" t="n"/>
      <c r="C1025" s="26" t="n"/>
      <c r="D1025" s="26" t="n"/>
      <c r="E1025" s="26" t="n"/>
      <c r="F1025" s="26" t="n"/>
      <c r="G1025" s="26" t="n"/>
      <c r="H1025" s="26" t="n"/>
      <c r="I1025" s="26">
        <f>IFERROR(SUMIF(A$6:A1025,"&lt;&gt;""",G$6:G1025)-SUMIF(A$6:A1025,"&lt;&gt;""",H$6:H1025),"")</f>
        <v/>
      </c>
      <c r="J1025" s="26" t="n"/>
    </row>
    <row r="1026" ht="15" customHeight="1">
      <c r="A1026" s="26" t="n"/>
      <c r="B1026" s="26" t="n"/>
      <c r="C1026" s="26" t="n"/>
      <c r="D1026" s="26" t="n"/>
      <c r="E1026" s="26" t="n"/>
      <c r="F1026" s="26" t="n"/>
      <c r="G1026" s="26" t="n"/>
      <c r="H1026" s="26" t="n"/>
      <c r="I1026" s="26">
        <f>IFERROR(SUMIF(A$6:A1026,"&lt;&gt;""",G$6:G1026)-SUMIF(A$6:A1026,"&lt;&gt;""",H$6:H1026),"")</f>
        <v/>
      </c>
      <c r="J1026" s="26" t="n"/>
    </row>
    <row r="1027" ht="15" customHeight="1">
      <c r="A1027" s="26" t="n"/>
      <c r="B1027" s="26" t="n"/>
      <c r="C1027" s="26" t="n"/>
      <c r="D1027" s="26" t="n"/>
      <c r="E1027" s="26" t="n"/>
      <c r="F1027" s="26" t="n"/>
      <c r="G1027" s="26" t="n"/>
      <c r="H1027" s="26" t="n"/>
      <c r="I1027" s="26">
        <f>IFERROR(SUMIF(A$6:A1027,"&lt;&gt;""",G$6:G1027)-SUMIF(A$6:A1027,"&lt;&gt;""",H$6:H1027),"")</f>
        <v/>
      </c>
      <c r="J1027" s="26" t="n"/>
    </row>
    <row r="1028" ht="15" customHeight="1">
      <c r="A1028" s="26" t="n"/>
      <c r="B1028" s="26" t="n"/>
      <c r="C1028" s="26" t="n"/>
      <c r="D1028" s="26" t="n"/>
      <c r="E1028" s="26" t="n"/>
      <c r="F1028" s="26" t="n"/>
      <c r="G1028" s="26" t="n"/>
      <c r="H1028" s="26" t="n"/>
      <c r="I1028" s="26">
        <f>IFERROR(SUMIF(A$6:A1028,"&lt;&gt;""",G$6:G1028)-SUMIF(A$6:A1028,"&lt;&gt;""",H$6:H1028),"")</f>
        <v/>
      </c>
      <c r="J1028" s="26" t="n"/>
    </row>
    <row r="1029" ht="15" customHeight="1">
      <c r="A1029" s="26" t="n"/>
      <c r="B1029" s="26" t="n"/>
      <c r="C1029" s="26" t="n"/>
      <c r="D1029" s="26" t="n"/>
      <c r="E1029" s="26" t="n"/>
      <c r="F1029" s="26" t="n"/>
      <c r="G1029" s="26" t="n"/>
      <c r="H1029" s="26" t="n"/>
      <c r="I1029" s="26">
        <f>IFERROR(SUMIF(A$6:A1029,"&lt;&gt;""",G$6:G1029)-SUMIF(A$6:A1029,"&lt;&gt;""",H$6:H1029),"")</f>
        <v/>
      </c>
      <c r="J1029" s="26" t="n"/>
    </row>
    <row r="1030" ht="15" customHeight="1">
      <c r="A1030" s="26" t="n"/>
      <c r="B1030" s="26" t="n"/>
      <c r="C1030" s="26" t="n"/>
      <c r="D1030" s="26" t="n"/>
      <c r="E1030" s="26" t="n"/>
      <c r="F1030" s="26" t="n"/>
      <c r="G1030" s="26" t="n"/>
      <c r="H1030" s="26" t="n"/>
      <c r="I1030" s="26">
        <f>IFERROR(SUMIF(A$6:A1030,"&lt;&gt;""",G$6:G1030)-SUMIF(A$6:A1030,"&lt;&gt;""",H$6:H1030),"")</f>
        <v/>
      </c>
      <c r="J1030" s="26" t="n"/>
    </row>
    <row r="1031" ht="15" customHeight="1">
      <c r="A1031" s="26" t="n"/>
      <c r="B1031" s="26" t="n"/>
      <c r="C1031" s="26" t="n"/>
      <c r="D1031" s="26" t="n"/>
      <c r="E1031" s="26" t="n"/>
      <c r="F1031" s="26" t="n"/>
      <c r="G1031" s="26" t="n"/>
      <c r="H1031" s="26" t="n"/>
      <c r="I1031" s="26">
        <f>IFERROR(SUMIF(A$6:A1031,"&lt;&gt;""",G$6:G1031)-SUMIF(A$6:A1031,"&lt;&gt;""",H$6:H1031),"")</f>
        <v/>
      </c>
      <c r="J1031" s="26" t="n"/>
    </row>
    <row r="1032" ht="15" customHeight="1">
      <c r="A1032" s="26" t="n"/>
      <c r="B1032" s="26" t="n"/>
      <c r="C1032" s="26" t="n"/>
      <c r="D1032" s="26" t="n"/>
      <c r="E1032" s="26" t="n"/>
      <c r="F1032" s="26" t="n"/>
      <c r="G1032" s="26" t="n"/>
      <c r="H1032" s="26" t="n"/>
      <c r="I1032" s="26">
        <f>IFERROR(SUMIF(A$6:A1032,"&lt;&gt;""",G$6:G1032)-SUMIF(A$6:A1032,"&lt;&gt;""",H$6:H1032),"")</f>
        <v/>
      </c>
      <c r="J1032" s="26" t="n"/>
    </row>
    <row r="1033" ht="15" customHeight="1">
      <c r="A1033" s="26" t="n"/>
      <c r="B1033" s="26" t="n"/>
      <c r="C1033" s="26" t="n"/>
      <c r="D1033" s="26" t="n"/>
      <c r="E1033" s="26" t="n"/>
      <c r="F1033" s="26" t="n"/>
      <c r="G1033" s="26" t="n"/>
      <c r="H1033" s="26" t="n"/>
      <c r="I1033" s="26">
        <f>IFERROR(SUMIF(A$6:A1033,"&lt;&gt;""",G$6:G1033)-SUMIF(A$6:A1033,"&lt;&gt;""",H$6:H1033),"")</f>
        <v/>
      </c>
      <c r="J1033" s="26" t="n"/>
    </row>
    <row r="1034" ht="15" customHeight="1">
      <c r="A1034" s="26" t="n"/>
      <c r="B1034" s="26" t="n"/>
      <c r="C1034" s="26" t="n"/>
      <c r="D1034" s="26" t="n"/>
      <c r="E1034" s="26" t="n"/>
      <c r="F1034" s="26" t="n"/>
      <c r="G1034" s="26" t="n"/>
      <c r="H1034" s="26" t="n"/>
      <c r="I1034" s="26">
        <f>IFERROR(SUMIF(A$6:A1034,"&lt;&gt;""",G$6:G1034)-SUMIF(A$6:A1034,"&lt;&gt;""",H$6:H1034),"")</f>
        <v/>
      </c>
      <c r="J1034" s="26" t="n"/>
    </row>
    <row r="1035" ht="15" customHeight="1">
      <c r="A1035" s="26" t="n"/>
      <c r="B1035" s="26" t="n"/>
      <c r="C1035" s="26" t="n"/>
      <c r="D1035" s="26" t="n"/>
      <c r="E1035" s="26" t="n"/>
      <c r="F1035" s="26" t="n"/>
      <c r="G1035" s="26" t="n"/>
      <c r="H1035" s="26" t="n"/>
      <c r="I1035" s="26">
        <f>IFERROR(SUMIF(A$6:A1035,"&lt;&gt;""",G$6:G1035)-SUMIF(A$6:A1035,"&lt;&gt;""",H$6:H1035),"")</f>
        <v/>
      </c>
      <c r="J1035" s="26" t="n"/>
    </row>
    <row r="1036" ht="15" customHeight="1">
      <c r="A1036" s="26" t="n"/>
      <c r="B1036" s="26" t="n"/>
      <c r="C1036" s="26" t="n"/>
      <c r="D1036" s="26" t="n"/>
      <c r="E1036" s="26" t="n"/>
      <c r="F1036" s="26" t="n"/>
      <c r="G1036" s="26" t="n"/>
      <c r="H1036" s="26" t="n"/>
      <c r="I1036" s="26">
        <f>IFERROR(SUMIF(A$6:A1036,"&lt;&gt;""",G$6:G1036)-SUMIF(A$6:A1036,"&lt;&gt;""",H$6:H1036),"")</f>
        <v/>
      </c>
      <c r="J1036" s="26" t="n"/>
    </row>
    <row r="1037" ht="15" customHeight="1">
      <c r="A1037" s="26" t="n"/>
      <c r="B1037" s="26" t="n"/>
      <c r="C1037" s="26" t="n"/>
      <c r="D1037" s="26" t="n"/>
      <c r="E1037" s="26" t="n"/>
      <c r="F1037" s="26" t="n"/>
      <c r="G1037" s="26" t="n"/>
      <c r="H1037" s="26" t="n"/>
      <c r="I1037" s="26">
        <f>IFERROR(SUMIF(A$6:A1037,"&lt;&gt;""",G$6:G1037)-SUMIF(A$6:A1037,"&lt;&gt;""",H$6:H1037),"")</f>
        <v/>
      </c>
      <c r="J1037" s="26" t="n"/>
    </row>
    <row r="1038" ht="15" customHeight="1">
      <c r="A1038" s="26" t="n"/>
      <c r="B1038" s="26" t="n"/>
      <c r="C1038" s="26" t="n"/>
      <c r="D1038" s="26" t="n"/>
      <c r="E1038" s="26" t="n"/>
      <c r="F1038" s="26" t="n"/>
      <c r="G1038" s="26" t="n"/>
      <c r="H1038" s="26" t="n"/>
      <c r="I1038" s="26">
        <f>IFERROR(SUMIF(A$6:A1038,"&lt;&gt;""",G$6:G1038)-SUMIF(A$6:A1038,"&lt;&gt;""",H$6:H1038),"")</f>
        <v/>
      </c>
      <c r="J1038" s="26" t="n"/>
    </row>
    <row r="1039" ht="15" customHeight="1">
      <c r="A1039" s="26" t="n"/>
      <c r="B1039" s="26" t="n"/>
      <c r="C1039" s="26" t="n"/>
      <c r="D1039" s="26" t="n"/>
      <c r="E1039" s="26" t="n"/>
      <c r="F1039" s="26" t="n"/>
      <c r="G1039" s="26" t="n"/>
      <c r="H1039" s="26" t="n"/>
      <c r="I1039" s="26">
        <f>IFERROR(SUMIF(A$6:A1039,"&lt;&gt;""",G$6:G1039)-SUMIF(A$6:A1039,"&lt;&gt;""",H$6:H1039),"")</f>
        <v/>
      </c>
      <c r="J1039" s="26" t="n"/>
    </row>
    <row r="1040" ht="15" customHeight="1">
      <c r="A1040" s="26" t="n"/>
      <c r="B1040" s="26" t="n"/>
      <c r="C1040" s="26" t="n"/>
      <c r="D1040" s="26" t="n"/>
      <c r="E1040" s="26" t="n"/>
      <c r="F1040" s="26" t="n"/>
      <c r="G1040" s="26" t="n"/>
      <c r="H1040" s="26" t="n"/>
      <c r="I1040" s="26">
        <f>IFERROR(SUMIF(A$6:A1040,"&lt;&gt;""",G$6:G1040)-SUMIF(A$6:A1040,"&lt;&gt;""",H$6:H1040),"")</f>
        <v/>
      </c>
      <c r="J1040" s="26" t="n"/>
    </row>
    <row r="1041" ht="15" customHeight="1">
      <c r="A1041" s="26" t="n"/>
      <c r="B1041" s="26" t="n"/>
      <c r="C1041" s="26" t="n"/>
      <c r="D1041" s="26" t="n"/>
      <c r="E1041" s="26" t="n"/>
      <c r="F1041" s="26" t="n"/>
      <c r="G1041" s="26" t="n"/>
      <c r="H1041" s="26" t="n"/>
      <c r="I1041" s="26">
        <f>IFERROR(SUMIF(A$6:A1041,"&lt;&gt;""",G$6:G1041)-SUMIF(A$6:A1041,"&lt;&gt;""",H$6:H1041),"")</f>
        <v/>
      </c>
      <c r="J1041" s="26" t="n"/>
    </row>
    <row r="1042" ht="15" customHeight="1">
      <c r="A1042" s="26" t="n"/>
      <c r="B1042" s="26" t="n"/>
      <c r="C1042" s="26" t="n"/>
      <c r="D1042" s="26" t="n"/>
      <c r="E1042" s="26" t="n"/>
      <c r="F1042" s="26" t="n"/>
      <c r="G1042" s="26" t="n"/>
      <c r="H1042" s="26" t="n"/>
      <c r="I1042" s="26">
        <f>IFERROR(SUMIF(A$6:A1042,"&lt;&gt;""",G$6:G1042)-SUMIF(A$6:A1042,"&lt;&gt;""",H$6:H1042),"")</f>
        <v/>
      </c>
      <c r="J1042" s="26" t="n"/>
    </row>
    <row r="1043" ht="15" customHeight="1">
      <c r="A1043" s="26" t="n"/>
      <c r="B1043" s="26" t="n"/>
      <c r="C1043" s="26" t="n"/>
      <c r="D1043" s="26" t="n"/>
      <c r="E1043" s="26" t="n"/>
      <c r="F1043" s="26" t="n"/>
      <c r="G1043" s="26" t="n"/>
      <c r="H1043" s="26" t="n"/>
      <c r="I1043" s="26">
        <f>IFERROR(SUMIF(A$6:A1043,"&lt;&gt;""",G$6:G1043)-SUMIF(A$6:A1043,"&lt;&gt;""",H$6:H1043),"")</f>
        <v/>
      </c>
      <c r="J1043" s="26" t="n"/>
    </row>
    <row r="1044" ht="15" customHeight="1">
      <c r="A1044" s="26" t="n"/>
      <c r="B1044" s="26" t="n"/>
      <c r="C1044" s="26" t="n"/>
      <c r="D1044" s="26" t="n"/>
      <c r="E1044" s="26" t="n"/>
      <c r="F1044" s="26" t="n"/>
      <c r="G1044" s="26" t="n"/>
      <c r="H1044" s="26" t="n"/>
      <c r="I1044" s="26">
        <f>IFERROR(SUMIF(A$6:A1044,"&lt;&gt;""",G$6:G1044)-SUMIF(A$6:A1044,"&lt;&gt;""",H$6:H1044),"")</f>
        <v/>
      </c>
      <c r="J1044" s="26" t="n"/>
    </row>
    <row r="1045" ht="15" customHeight="1">
      <c r="A1045" s="26" t="n"/>
      <c r="B1045" s="26" t="n"/>
      <c r="C1045" s="26" t="n"/>
      <c r="D1045" s="26" t="n"/>
      <c r="E1045" s="26" t="n"/>
      <c r="F1045" s="26" t="n"/>
      <c r="G1045" s="26" t="n"/>
      <c r="H1045" s="26" t="n"/>
      <c r="I1045" s="26">
        <f>IFERROR(SUMIF(A$6:A1045,"&lt;&gt;""",G$6:G1045)-SUMIF(A$6:A1045,"&lt;&gt;""",H$6:H1045),"")</f>
        <v/>
      </c>
      <c r="J1045" s="26" t="n"/>
    </row>
    <row r="1046" ht="15" customHeight="1">
      <c r="A1046" s="26" t="n"/>
      <c r="B1046" s="26" t="n"/>
      <c r="C1046" s="26" t="n"/>
      <c r="D1046" s="26" t="n"/>
      <c r="E1046" s="26" t="n"/>
      <c r="F1046" s="26" t="n"/>
      <c r="G1046" s="26" t="n"/>
      <c r="H1046" s="26" t="n"/>
      <c r="I1046" s="26">
        <f>IFERROR(SUMIF(A$6:A1046,"&lt;&gt;""",G$6:G1046)-SUMIF(A$6:A1046,"&lt;&gt;""",H$6:H1046),"")</f>
        <v/>
      </c>
      <c r="J1046" s="26" t="n"/>
    </row>
    <row r="1047" ht="15" customHeight="1">
      <c r="A1047" s="26" t="n"/>
      <c r="B1047" s="26" t="n"/>
      <c r="C1047" s="26" t="n"/>
      <c r="D1047" s="26" t="n"/>
      <c r="E1047" s="26" t="n"/>
      <c r="F1047" s="26" t="n"/>
      <c r="G1047" s="26" t="n"/>
      <c r="H1047" s="26" t="n"/>
      <c r="I1047" s="26">
        <f>IFERROR(SUMIF(A$6:A1047,"&lt;&gt;""",G$6:G1047)-SUMIF(A$6:A1047,"&lt;&gt;""",H$6:H1047),"")</f>
        <v/>
      </c>
      <c r="J1047" s="26" t="n"/>
    </row>
    <row r="1048" ht="15" customHeight="1">
      <c r="A1048" s="26" t="n"/>
      <c r="B1048" s="26" t="n"/>
      <c r="C1048" s="26" t="n"/>
      <c r="D1048" s="26" t="n"/>
      <c r="E1048" s="26" t="n"/>
      <c r="F1048" s="26" t="n"/>
      <c r="G1048" s="26" t="n"/>
      <c r="H1048" s="26" t="n"/>
      <c r="I1048" s="26">
        <f>IFERROR(SUMIF(A$6:A1048,"&lt;&gt;""",G$6:G1048)-SUMIF(A$6:A1048,"&lt;&gt;""",H$6:H1048),"")</f>
        <v/>
      </c>
      <c r="J1048" s="26" t="n"/>
    </row>
    <row r="1049" ht="15" customHeight="1">
      <c r="A1049" s="26" t="n"/>
      <c r="B1049" s="26" t="n"/>
      <c r="C1049" s="26" t="n"/>
      <c r="D1049" s="26" t="n"/>
      <c r="E1049" s="26" t="n"/>
      <c r="F1049" s="26" t="n"/>
      <c r="G1049" s="26" t="n"/>
      <c r="H1049" s="26" t="n"/>
      <c r="I1049" s="26">
        <f>IFERROR(SUMIF(A$6:A1049,"&lt;&gt;""",G$6:G1049)-SUMIF(A$6:A1049,"&lt;&gt;""",H$6:H1049),"")</f>
        <v/>
      </c>
      <c r="J1049" s="26" t="n"/>
    </row>
    <row r="1050" ht="15" customHeight="1">
      <c r="A1050" s="26" t="n"/>
      <c r="B1050" s="26" t="n"/>
      <c r="C1050" s="26" t="n"/>
      <c r="D1050" s="26" t="n"/>
      <c r="E1050" s="26" t="n"/>
      <c r="F1050" s="26" t="n"/>
      <c r="G1050" s="26" t="n"/>
      <c r="H1050" s="26" t="n"/>
      <c r="I1050" s="26">
        <f>IFERROR(SUMIF(A$6:A1050,"&lt;&gt;""",G$6:G1050)-SUMIF(A$6:A1050,"&lt;&gt;""",H$6:H1050),"")</f>
        <v/>
      </c>
      <c r="J1050" s="26" t="n"/>
    </row>
    <row r="1051" ht="15" customHeight="1">
      <c r="A1051" s="26" t="n"/>
      <c r="B1051" s="26" t="n"/>
      <c r="C1051" s="26" t="n"/>
      <c r="D1051" s="26" t="n"/>
      <c r="E1051" s="26" t="n"/>
      <c r="F1051" s="26" t="n"/>
      <c r="G1051" s="26" t="n"/>
      <c r="H1051" s="26" t="n"/>
      <c r="I1051" s="26">
        <f>IFERROR(SUMIF(A$6:A1051,"&lt;&gt;""",G$6:G1051)-SUMIF(A$6:A1051,"&lt;&gt;""",H$6:H1051),"")</f>
        <v/>
      </c>
      <c r="J1051" s="26" t="n"/>
    </row>
    <row r="1052" ht="15" customHeight="1">
      <c r="A1052" s="26" t="n"/>
      <c r="B1052" s="26" t="n"/>
      <c r="C1052" s="26" t="n"/>
      <c r="D1052" s="26" t="n"/>
      <c r="E1052" s="26" t="n"/>
      <c r="F1052" s="26" t="n"/>
      <c r="G1052" s="26" t="n"/>
      <c r="H1052" s="26" t="n"/>
      <c r="I1052" s="26">
        <f>IFERROR(SUMIF(A$6:A1052,"&lt;&gt;""",G$6:G1052)-SUMIF(A$6:A1052,"&lt;&gt;""",H$6:H1052),"")</f>
        <v/>
      </c>
      <c r="J1052" s="26" t="n"/>
    </row>
    <row r="1053" ht="15" customHeight="1">
      <c r="A1053" s="26" t="n"/>
      <c r="B1053" s="26" t="n"/>
      <c r="C1053" s="26" t="n"/>
      <c r="D1053" s="26" t="n"/>
      <c r="E1053" s="26" t="n"/>
      <c r="F1053" s="26" t="n"/>
      <c r="G1053" s="26" t="n"/>
      <c r="H1053" s="26" t="n"/>
      <c r="I1053" s="26">
        <f>IFERROR(SUMIF(A$6:A1053,"&lt;&gt;""",G$6:G1053)-SUMIF(A$6:A1053,"&lt;&gt;""",H$6:H1053),"")</f>
        <v/>
      </c>
      <c r="J1053" s="26" t="n"/>
    </row>
    <row r="1054" ht="15" customHeight="1">
      <c r="A1054" s="26" t="n"/>
      <c r="B1054" s="26" t="n"/>
      <c r="C1054" s="26" t="n"/>
      <c r="D1054" s="26" t="n"/>
      <c r="E1054" s="26" t="n"/>
      <c r="F1054" s="26" t="n"/>
      <c r="G1054" s="26" t="n"/>
      <c r="H1054" s="26" t="n"/>
      <c r="I1054" s="26">
        <f>IFERROR(SUMIF(A$6:A1054,"&lt;&gt;""",G$6:G1054)-SUMIF(A$6:A1054,"&lt;&gt;""",H$6:H1054),"")</f>
        <v/>
      </c>
      <c r="J1054" s="26" t="n"/>
    </row>
    <row r="1055" ht="15" customHeight="1">
      <c r="A1055" s="26" t="n"/>
      <c r="B1055" s="26" t="n"/>
      <c r="C1055" s="26" t="n"/>
      <c r="D1055" s="26" t="n"/>
      <c r="E1055" s="26" t="n"/>
      <c r="F1055" s="26" t="n"/>
      <c r="G1055" s="26" t="n"/>
      <c r="H1055" s="26" t="n"/>
      <c r="I1055" s="26">
        <f>IFERROR(SUMIF(A$6:A1055,"&lt;&gt;""",G$6:G1055)-SUMIF(A$6:A1055,"&lt;&gt;""",H$6:H1055),"")</f>
        <v/>
      </c>
      <c r="J1055" s="26" t="n"/>
    </row>
    <row r="1056">
      <c r="I1056">
        <f>IFERROR(SUMIF(A$6:A1056,"&lt;&gt;""",G$6:G1056)-SUMIF(A$6:A1056,"&lt;&gt;""",H$6:H1056),"")</f>
        <v/>
      </c>
    </row>
    <row r="1057">
      <c r="I1057">
        <f>IFERROR(SUMIF(A$6:A1057,"&lt;&gt;""",G$6:G1057)-SUMIF(A$6:A1057,"&lt;&gt;""",H$6:H1057),"")</f>
        <v/>
      </c>
    </row>
    <row r="1058">
      <c r="I1058">
        <f>IFERROR(SUMIF(A$6:A1058,"&lt;&gt;""",G$6:G1058)-SUMIF(A$6:A1058,"&lt;&gt;""",H$6:H1058),"")</f>
        <v/>
      </c>
    </row>
    <row r="1059">
      <c r="I1059">
        <f>IFERROR(SUMIF(A$6:A1059,"&lt;&gt;""",G$6:G1059)-SUMIF(A$6:A1059,"&lt;&gt;""",H$6:H1059),"")</f>
        <v/>
      </c>
    </row>
    <row r="1060">
      <c r="I1060">
        <f>IFERROR(SUMIF(A$6:A1060,"&lt;&gt;""",G$6:G1060)-SUMIF(A$6:A1060,"&lt;&gt;""",H$6:H1060),"")</f>
        <v/>
      </c>
    </row>
    <row r="1061">
      <c r="I1061">
        <f>IFERROR(SUMIF(A$6:A1061,"&lt;&gt;""",G$6:G1061)-SUMIF(A$6:A1061,"&lt;&gt;""",H$6:H1061),"")</f>
        <v/>
      </c>
    </row>
    <row r="1062">
      <c r="I1062">
        <f>IFERROR(SUMIF(A$6:A1062,"&lt;&gt;""",G$6:G1062)-SUMIF(A$6:A1062,"&lt;&gt;""",H$6:H1062),"")</f>
        <v/>
      </c>
    </row>
    <row r="1063">
      <c r="I1063">
        <f>IFERROR(SUMIF(A$6:A1063,"&lt;&gt;""",G$6:G1063)-SUMIF(A$6:A1063,"&lt;&gt;""",H$6:H1063),"")</f>
        <v/>
      </c>
    </row>
    <row r="1064">
      <c r="I1064">
        <f>IFERROR(SUMIF(A$6:A1064,"&lt;&gt;""",G$6:G1064)-SUMIF(A$6:A1064,"&lt;&gt;""",H$6:H1064),"")</f>
        <v/>
      </c>
    </row>
    <row r="1065">
      <c r="I1065">
        <f>IFERROR(SUMIF(A$6:A1065,"&lt;&gt;""",G$6:G1065)-SUMIF(A$6:A1065,"&lt;&gt;""",H$6:H1065),"")</f>
        <v/>
      </c>
    </row>
    <row r="1066">
      <c r="I1066">
        <f>IFERROR(SUMIF(A$6:A1066,"&lt;&gt;""",G$6:G1066)-SUMIF(A$6:A1066,"&lt;&gt;""",H$6:H1066),"")</f>
        <v/>
      </c>
    </row>
    <row r="1067">
      <c r="I1067">
        <f>IFERROR(SUMIF(A$6:A1067,"&lt;&gt;""",G$6:G1067)-SUMIF(A$6:A1067,"&lt;&gt;""",H$6:H1067),"")</f>
        <v/>
      </c>
    </row>
    <row r="1068">
      <c r="I1068">
        <f>IFERROR(SUMIF(A$6:A1068,"&lt;&gt;""",G$6:G1068)-SUMIF(A$6:A1068,"&lt;&gt;""",H$6:H1068),"")</f>
        <v/>
      </c>
    </row>
    <row r="1069">
      <c r="I1069">
        <f>IFERROR(SUMIF(A$6:A1069,"&lt;&gt;""",G$6:G1069)-SUMIF(A$6:A1069,"&lt;&gt;""",H$6:H1069),"")</f>
        <v/>
      </c>
    </row>
    <row r="1070">
      <c r="I1070">
        <f>IFERROR(SUMIF(A$6:A1070,"&lt;&gt;""",G$6:G1070)-SUMIF(A$6:A1070,"&lt;&gt;""",H$6:H1070),"")</f>
        <v/>
      </c>
    </row>
    <row r="1071">
      <c r="I1071">
        <f>IFERROR(SUMIF(A$6:A1071,"&lt;&gt;""",G$6:G1071)-SUMIF(A$6:A1071,"&lt;&gt;""",H$6:H1071),"")</f>
        <v/>
      </c>
    </row>
    <row r="1072">
      <c r="I1072">
        <f>IFERROR(SUMIF(A$6:A1072,"&lt;&gt;""",G$6:G1072)-SUMIF(A$6:A1072,"&lt;&gt;""",H$6:H1072),"")</f>
        <v/>
      </c>
    </row>
    <row r="1073">
      <c r="I1073">
        <f>IFERROR(SUMIF(A$6:A1073,"&lt;&gt;""",G$6:G1073)-SUMIF(A$6:A1073,"&lt;&gt;""",H$6:H1073),"")</f>
        <v/>
      </c>
    </row>
    <row r="1074">
      <c r="I1074">
        <f>IFERROR(SUMIF(A$6:A1074,"&lt;&gt;""",G$6:G1074)-SUMIF(A$6:A1074,"&lt;&gt;""",H$6:H1074),"")</f>
        <v/>
      </c>
    </row>
    <row r="1075">
      <c r="I1075">
        <f>IFERROR(SUMIF(A$6:A1075,"&lt;&gt;""",G$6:G1075)-SUMIF(A$6:A1075,"&lt;&gt;""",H$6:H1075),"")</f>
        <v/>
      </c>
    </row>
    <row r="1076">
      <c r="I1076">
        <f>IFERROR(SUMIF(A$6:A1076,"&lt;&gt;""",G$6:G1076)-SUMIF(A$6:A1076,"&lt;&gt;""",H$6:H1076),"")</f>
        <v/>
      </c>
    </row>
    <row r="1077">
      <c r="I1077">
        <f>IFERROR(SUMIF(A$6:A1077,"&lt;&gt;""",G$6:G1077)-SUMIF(A$6:A1077,"&lt;&gt;""",H$6:H1077),"")</f>
        <v/>
      </c>
    </row>
    <row r="1078">
      <c r="I1078">
        <f>IFERROR(SUMIF(A$6:A1078,"&lt;&gt;""",G$6:G1078)-SUMIF(A$6:A1078,"&lt;&gt;""",H$6:H1078),"")</f>
        <v/>
      </c>
    </row>
    <row r="1079">
      <c r="I1079">
        <f>IFERROR(SUMIF(A$6:A1079,"&lt;&gt;""",G$6:G1079)-SUMIF(A$6:A1079,"&lt;&gt;""",H$6:H1079),"")</f>
        <v/>
      </c>
    </row>
    <row r="1080">
      <c r="I1080">
        <f>IFERROR(SUMIF(A$6:A1080,"&lt;&gt;""",G$6:G1080)-SUMIF(A$6:A1080,"&lt;&gt;""",H$6:H1080),"")</f>
        <v/>
      </c>
    </row>
    <row r="1081">
      <c r="I1081">
        <f>IFERROR(SUMIF(A$6:A1081,"&lt;&gt;""",G$6:G1081)-SUMIF(A$6:A1081,"&lt;&gt;""",H$6:H1081),"")</f>
        <v/>
      </c>
    </row>
    <row r="1082">
      <c r="I1082">
        <f>IFERROR(SUMIF(A$6:A1082,"&lt;&gt;""",G$6:G1082)-SUMIF(A$6:A1082,"&lt;&gt;""",H$6:H1082),"")</f>
        <v/>
      </c>
    </row>
    <row r="1083">
      <c r="I1083">
        <f>IFERROR(SUMIF(A$6:A1083,"&lt;&gt;""",G$6:G1083)-SUMIF(A$6:A1083,"&lt;&gt;""",H$6:H1083),"")</f>
        <v/>
      </c>
    </row>
    <row r="1084">
      <c r="I1084">
        <f>IFERROR(SUMIF(A$6:A1084,"&lt;&gt;""",G$6:G1084)-SUMIF(A$6:A1084,"&lt;&gt;""",H$6:H1084),"")</f>
        <v/>
      </c>
    </row>
    <row r="1085">
      <c r="I1085">
        <f>IFERROR(SUMIF(A$6:A1085,"&lt;&gt;""",G$6:G1085)-SUMIF(A$6:A1085,"&lt;&gt;""",H$6:H1085),"")</f>
        <v/>
      </c>
    </row>
    <row r="1086">
      <c r="I1086">
        <f>IFERROR(SUMIF(A$6:A1086,"&lt;&gt;""",G$6:G1086)-SUMIF(A$6:A1086,"&lt;&gt;""",H$6:H1086),"")</f>
        <v/>
      </c>
    </row>
    <row r="1087">
      <c r="I1087">
        <f>IFERROR(SUMIF(A$6:A1087,"&lt;&gt;""",G$6:G1087)-SUMIF(A$6:A1087,"&lt;&gt;""",H$6:H1087),"")</f>
        <v/>
      </c>
    </row>
    <row r="1088">
      <c r="I1088">
        <f>IFERROR(SUMIF(A$6:A1088,"&lt;&gt;""",G$6:G1088)-SUMIF(A$6:A1088,"&lt;&gt;""",H$6:H1088),"")</f>
        <v/>
      </c>
    </row>
    <row r="1089">
      <c r="I1089">
        <f>IFERROR(SUMIF(A$6:A1089,"&lt;&gt;""",G$6:G1089)-SUMIF(A$6:A1089,"&lt;&gt;""",H$6:H1089),"")</f>
        <v/>
      </c>
    </row>
    <row r="1090">
      <c r="I1090">
        <f>IFERROR(SUMIF(A$6:A1090,"&lt;&gt;""",G$6:G1090)-SUMIF(A$6:A1090,"&lt;&gt;""",H$6:H1090),"")</f>
        <v/>
      </c>
    </row>
    <row r="1091">
      <c r="I1091">
        <f>IFERROR(SUMIF(A$6:A1091,"&lt;&gt;""",G$6:G1091)-SUMIF(A$6:A1091,"&lt;&gt;""",H$6:H1091),"")</f>
        <v/>
      </c>
    </row>
    <row r="1092">
      <c r="I1092">
        <f>IFERROR(SUMIF(A$6:A1092,"&lt;&gt;""",G$6:G1092)-SUMIF(A$6:A1092,"&lt;&gt;""",H$6:H1092),"")</f>
        <v/>
      </c>
    </row>
    <row r="1093">
      <c r="I1093">
        <f>IFERROR(SUMIF(A$6:A1093,"&lt;&gt;""",G$6:G1093)-SUMIF(A$6:A1093,"&lt;&gt;""",H$6:H1093),"")</f>
        <v/>
      </c>
    </row>
    <row r="1094">
      <c r="I1094">
        <f>IFERROR(SUMIF(A$6:A1094,"&lt;&gt;""",G$6:G1094)-SUMIF(A$6:A1094,"&lt;&gt;""",H$6:H1094),"")</f>
        <v/>
      </c>
    </row>
    <row r="1095">
      <c r="I1095">
        <f>IFERROR(SUMIF(A$6:A1095,"&lt;&gt;""",G$6:G1095)-SUMIF(A$6:A1095,"&lt;&gt;""",H$6:H1095),"")</f>
        <v/>
      </c>
    </row>
    <row r="1096">
      <c r="I1096">
        <f>IFERROR(SUMIF(A$6:A1096,"&lt;&gt;""",G$6:G1096)-SUMIF(A$6:A1096,"&lt;&gt;""",H$6:H1096),"")</f>
        <v/>
      </c>
    </row>
    <row r="1097">
      <c r="I1097">
        <f>IFERROR(SUMIF(A$6:A1097,"&lt;&gt;""",G$6:G1097)-SUMIF(A$6:A1097,"&lt;&gt;""",H$6:H1097),"")</f>
        <v/>
      </c>
    </row>
    <row r="1098">
      <c r="I1098">
        <f>IFERROR(SUMIF(A$6:A1098,"&lt;&gt;""",G$6:G1098)-SUMIF(A$6:A1098,"&lt;&gt;""",H$6:H1098),"")</f>
        <v/>
      </c>
    </row>
    <row r="1099">
      <c r="I1099">
        <f>IFERROR(SUMIF(A$6:A1099,"&lt;&gt;""",G$6:G1099)-SUMIF(A$6:A1099,"&lt;&gt;""",H$6:H1099),"")</f>
        <v/>
      </c>
    </row>
    <row r="1100">
      <c r="I1100">
        <f>IFERROR(SUMIF(A$6:A1100,"&lt;&gt;""",G$6:G1100)-SUMIF(A$6:A1100,"&lt;&gt;""",H$6:H1100),"")</f>
        <v/>
      </c>
    </row>
    <row r="1101">
      <c r="I1101">
        <f>IFERROR(SUMIF(A$6:A1101,"&lt;&gt;""",G$6:G1101)-SUMIF(A$6:A1101,"&lt;&gt;""",H$6:H1101),"")</f>
        <v/>
      </c>
    </row>
    <row r="1102">
      <c r="I1102">
        <f>IFERROR(SUMIF(A$6:A1102,"&lt;&gt;""",G$6:G1102)-SUMIF(A$6:A1102,"&lt;&gt;""",H$6:H1102),"")</f>
        <v/>
      </c>
    </row>
    <row r="1103">
      <c r="I1103">
        <f>IFERROR(SUMIF(A$6:A1103,"&lt;&gt;""",G$6:G1103)-SUMIF(A$6:A1103,"&lt;&gt;""",H$6:H1103),"")</f>
        <v/>
      </c>
    </row>
    <row r="1104">
      <c r="I1104">
        <f>IFERROR(SUMIF(A$6:A1104,"&lt;&gt;""",G$6:G1104)-SUMIF(A$6:A1104,"&lt;&gt;""",H$6:H1104),"")</f>
        <v/>
      </c>
    </row>
    <row r="1105">
      <c r="I1105">
        <f>IFERROR(SUMIF(A$6:A1105,"&lt;&gt;""",G$6:G1105)-SUMIF(A$6:A1105,"&lt;&gt;""",H$6:H1105),"")</f>
        <v/>
      </c>
    </row>
    <row r="1106">
      <c r="I1106">
        <f>IFERROR(SUMIF(A$6:A1106,"&lt;&gt;""",G$6:G1106)-SUMIF(A$6:A1106,"&lt;&gt;""",H$6:H1106),"")</f>
        <v/>
      </c>
    </row>
    <row r="1107">
      <c r="I1107">
        <f>IFERROR(SUMIF(A$6:A1107,"&lt;&gt;""",G$6:G1107)-SUMIF(A$6:A1107,"&lt;&gt;""",H$6:H1107),"")</f>
        <v/>
      </c>
    </row>
    <row r="1108">
      <c r="I1108">
        <f>IFERROR(SUMIF(A$6:A1108,"&lt;&gt;""",G$6:G1108)-SUMIF(A$6:A1108,"&lt;&gt;""",H$6:H1108),"")</f>
        <v/>
      </c>
    </row>
    <row r="1109">
      <c r="I1109">
        <f>IFERROR(SUMIF(A$6:A1109,"&lt;&gt;""",G$6:G1109)-SUMIF(A$6:A1109,"&lt;&gt;""",H$6:H1109),"")</f>
        <v/>
      </c>
    </row>
    <row r="1110">
      <c r="I1110">
        <f>IFERROR(SUMIF(A$6:A1110,"&lt;&gt;""",G$6:G1110)-SUMIF(A$6:A1110,"&lt;&gt;""",H$6:H1110),"")</f>
        <v/>
      </c>
    </row>
    <row r="1111">
      <c r="I1111">
        <f>IFERROR(SUMIF(A$6:A1111,"&lt;&gt;""",G$6:G1111)-SUMIF(A$6:A1111,"&lt;&gt;""",H$6:H1111),"")</f>
        <v/>
      </c>
    </row>
    <row r="1112">
      <c r="I1112">
        <f>IFERROR(SUMIF(A$6:A1112,"&lt;&gt;""",G$6:G1112)-SUMIF(A$6:A1112,"&lt;&gt;""",H$6:H1112),"")</f>
        <v/>
      </c>
    </row>
    <row r="1113">
      <c r="I1113">
        <f>IFERROR(SUMIF(A$6:A1113,"&lt;&gt;""",G$6:G1113)-SUMIF(A$6:A1113,"&lt;&gt;""",H$6:H1113),"")</f>
        <v/>
      </c>
    </row>
    <row r="1114">
      <c r="I1114">
        <f>IFERROR(SUMIF(A$6:A1114,"&lt;&gt;""",G$6:G1114)-SUMIF(A$6:A1114,"&lt;&gt;""",H$6:H1114),"")</f>
        <v/>
      </c>
    </row>
    <row r="1115">
      <c r="I1115">
        <f>IFERROR(SUMIF(A$6:A1115,"&lt;&gt;""",G$6:G1115)-SUMIF(A$6:A1115,"&lt;&gt;""",H$6:H1115),"")</f>
        <v/>
      </c>
    </row>
    <row r="1116">
      <c r="I1116">
        <f>IFERROR(SUMIF(A$6:A1116,"&lt;&gt;""",G$6:G1116)-SUMIF(A$6:A1116,"&lt;&gt;""",H$6:H1116),"")</f>
        <v/>
      </c>
    </row>
    <row r="1117">
      <c r="I1117">
        <f>IFERROR(SUMIF(A$6:A1117,"&lt;&gt;""",G$6:G1117)-SUMIF(A$6:A1117,"&lt;&gt;""",H$6:H1117),"")</f>
        <v/>
      </c>
    </row>
    <row r="1118">
      <c r="I1118">
        <f>IFERROR(SUMIF(A$6:A1118,"&lt;&gt;""",G$6:G1118)-SUMIF(A$6:A1118,"&lt;&gt;""",H$6:H1118),"")</f>
        <v/>
      </c>
    </row>
    <row r="1119">
      <c r="I1119">
        <f>IFERROR(SUMIF(A$6:A1119,"&lt;&gt;""",G$6:G1119)-SUMIF(A$6:A1119,"&lt;&gt;""",H$6:H1119),"")</f>
        <v/>
      </c>
    </row>
    <row r="1120">
      <c r="I1120">
        <f>IFERROR(SUMIF(A$6:A1120,"&lt;&gt;""",G$6:G1120)-SUMIF(A$6:A1120,"&lt;&gt;""",H$6:H1120),"")</f>
        <v/>
      </c>
    </row>
    <row r="1121">
      <c r="I1121">
        <f>IFERROR(SUMIF(A$6:A1121,"&lt;&gt;""",G$6:G1121)-SUMIF(A$6:A1121,"&lt;&gt;""",H$6:H1121),"")</f>
        <v/>
      </c>
    </row>
    <row r="1122">
      <c r="I1122">
        <f>IFERROR(SUMIF(A$6:A1122,"&lt;&gt;""",G$6:G1122)-SUMIF(A$6:A1122,"&lt;&gt;""",H$6:H1122),"")</f>
        <v/>
      </c>
    </row>
    <row r="1123">
      <c r="I1123">
        <f>IFERROR(SUMIF(A$6:A1123,"&lt;&gt;""",G$6:G1123)-SUMIF(A$6:A1123,"&lt;&gt;""",H$6:H1123),"")</f>
        <v/>
      </c>
    </row>
    <row r="1124">
      <c r="I1124">
        <f>IFERROR(SUMIF(A$6:A1124,"&lt;&gt;""",G$6:G1124)-SUMIF(A$6:A1124,"&lt;&gt;""",H$6:H1124),"")</f>
        <v/>
      </c>
    </row>
    <row r="1125">
      <c r="I1125">
        <f>IFERROR(SUMIF(A$6:A1125,"&lt;&gt;""",G$6:G1125)-SUMIF(A$6:A1125,"&lt;&gt;""",H$6:H1125),"")</f>
        <v/>
      </c>
    </row>
    <row r="1126">
      <c r="I1126">
        <f>IFERROR(SUMIF(A$6:A1126,"&lt;&gt;""",G$6:G1126)-SUMIF(A$6:A1126,"&lt;&gt;""",H$6:H1126),"")</f>
        <v/>
      </c>
    </row>
    <row r="1127">
      <c r="I1127">
        <f>IFERROR(SUMIF(A$6:A1127,"&lt;&gt;""",G$6:G1127)-SUMIF(A$6:A1127,"&lt;&gt;""",H$6:H1127),"")</f>
        <v/>
      </c>
    </row>
    <row r="1128">
      <c r="I1128">
        <f>IFERROR(SUMIF(A$6:A1128,"&lt;&gt;""",G$6:G1128)-SUMIF(A$6:A1128,"&lt;&gt;""",H$6:H1128),"")</f>
        <v/>
      </c>
    </row>
    <row r="1129">
      <c r="I1129">
        <f>IFERROR(SUMIF(A$6:A1129,"&lt;&gt;""",G$6:G1129)-SUMIF(A$6:A1129,"&lt;&gt;""",H$6:H1129),"")</f>
        <v/>
      </c>
    </row>
    <row r="1130">
      <c r="I1130">
        <f>IFERROR(SUMIF(A$6:A1130,"&lt;&gt;""",G$6:G1130)-SUMIF(A$6:A1130,"&lt;&gt;""",H$6:H1130),"")</f>
        <v/>
      </c>
    </row>
    <row r="1131">
      <c r="I1131">
        <f>IFERROR(SUMIF(A$6:A1131,"&lt;&gt;""",G$6:G1131)-SUMIF(A$6:A1131,"&lt;&gt;""",H$6:H1131),"")</f>
        <v/>
      </c>
    </row>
    <row r="1132">
      <c r="I1132">
        <f>IFERROR(SUMIF(A$6:A1132,"&lt;&gt;""",G$6:G1132)-SUMIF(A$6:A1132,"&lt;&gt;""",H$6:H1132),"")</f>
        <v/>
      </c>
    </row>
    <row r="1133">
      <c r="I1133">
        <f>IFERROR(SUMIF(A$6:A1133,"&lt;&gt;""",G$6:G1133)-SUMIF(A$6:A1133,"&lt;&gt;""",H$6:H1133),"")</f>
        <v/>
      </c>
    </row>
    <row r="1134">
      <c r="I1134">
        <f>IFERROR(SUMIF(A$6:A1134,"&lt;&gt;""",G$6:G1134)-SUMIF(A$6:A1134,"&lt;&gt;""",H$6:H1134),"")</f>
        <v/>
      </c>
    </row>
    <row r="1135">
      <c r="I1135">
        <f>IFERROR(SUMIF(A$6:A1135,"&lt;&gt;""",G$6:G1135)-SUMIF(A$6:A1135,"&lt;&gt;""",H$6:H1135),"")</f>
        <v/>
      </c>
    </row>
    <row r="1136">
      <c r="I1136">
        <f>IFERROR(SUMIF(A$6:A1136,"&lt;&gt;""",G$6:G1136)-SUMIF(A$6:A1136,"&lt;&gt;""",H$6:H1136),"")</f>
        <v/>
      </c>
    </row>
    <row r="1137">
      <c r="I1137">
        <f>IFERROR(SUMIF(A$6:A1137,"&lt;&gt;""",G$6:G1137)-SUMIF(A$6:A1137,"&lt;&gt;""",H$6:H1137),"")</f>
        <v/>
      </c>
    </row>
    <row r="1138">
      <c r="I1138">
        <f>IFERROR(SUMIF(A$6:A1138,"&lt;&gt;""",G$6:G1138)-SUMIF(A$6:A1138,"&lt;&gt;""",H$6:H1138),"")</f>
        <v/>
      </c>
    </row>
    <row r="1139">
      <c r="I1139">
        <f>IFERROR(SUMIF(A$6:A1139,"&lt;&gt;""",G$6:G1139)-SUMIF(A$6:A1139,"&lt;&gt;""",H$6:H1139),"")</f>
        <v/>
      </c>
    </row>
    <row r="1140">
      <c r="I1140">
        <f>IFERROR(SUMIF(A$6:A1140,"&lt;&gt;""",G$6:G1140)-SUMIF(A$6:A1140,"&lt;&gt;""",H$6:H1140),"")</f>
        <v/>
      </c>
    </row>
    <row r="1141">
      <c r="I1141">
        <f>IFERROR(SUMIF(A$6:A1141,"&lt;&gt;""",G$6:G1141)-SUMIF(A$6:A1141,"&lt;&gt;""",H$6:H1141),"")</f>
        <v/>
      </c>
    </row>
    <row r="1142">
      <c r="I1142">
        <f>IFERROR(SUMIF(A$6:A1142,"&lt;&gt;""",G$6:G1142)-SUMIF(A$6:A1142,"&lt;&gt;""",H$6:H1142),"")</f>
        <v/>
      </c>
    </row>
    <row r="1143">
      <c r="I1143">
        <f>IFERROR(SUMIF(A$6:A1143,"&lt;&gt;""",G$6:G1143)-SUMIF(A$6:A1143,"&lt;&gt;""",H$6:H1143),"")</f>
        <v/>
      </c>
    </row>
    <row r="1144">
      <c r="I1144">
        <f>IFERROR(SUMIF(A$6:A1144,"&lt;&gt;""",G$6:G1144)-SUMIF(A$6:A1144,"&lt;&gt;""",H$6:H1144),"")</f>
        <v/>
      </c>
    </row>
    <row r="1145">
      <c r="I1145">
        <f>IFERROR(SUMIF(A$6:A1145,"&lt;&gt;""",G$6:G1145)-SUMIF(A$6:A1145,"&lt;&gt;""",H$6:H1145),"")</f>
        <v/>
      </c>
    </row>
    <row r="1146">
      <c r="I1146">
        <f>IFERROR(SUMIF(A$6:A1146,"&lt;&gt;""",G$6:G1146)-SUMIF(A$6:A1146,"&lt;&gt;""",H$6:H1146),"")</f>
        <v/>
      </c>
    </row>
    <row r="1147">
      <c r="I1147">
        <f>IFERROR(SUMIF(A$6:A1147,"&lt;&gt;""",G$6:G1147)-SUMIF(A$6:A1147,"&lt;&gt;""",H$6:H1147),"")</f>
        <v/>
      </c>
    </row>
    <row r="1148">
      <c r="I1148">
        <f>IFERROR(SUMIF(A$6:A1148,"&lt;&gt;""",G$6:G1148)-SUMIF(A$6:A1148,"&lt;&gt;""",H$6:H1148),"")</f>
        <v/>
      </c>
    </row>
    <row r="1149">
      <c r="I1149">
        <f>IFERROR(SUMIF(A$6:A1149,"&lt;&gt;""",G$6:G1149)-SUMIF(A$6:A1149,"&lt;&gt;""",H$6:H1149),"")</f>
        <v/>
      </c>
    </row>
    <row r="1150">
      <c r="I1150">
        <f>IFERROR(SUMIF(A$6:A1150,"&lt;&gt;""",G$6:G1150)-SUMIF(A$6:A1150,"&lt;&gt;""",H$6:H1150),"")</f>
        <v/>
      </c>
    </row>
    <row r="1151">
      <c r="I1151">
        <f>IFERROR(SUMIF(A$6:A1151,"&lt;&gt;""",G$6:G1151)-SUMIF(A$6:A1151,"&lt;&gt;""",H$6:H1151),"")</f>
        <v/>
      </c>
    </row>
    <row r="1152">
      <c r="I1152">
        <f>IFERROR(SUMIF(A$6:A1152,"&lt;&gt;""",G$6:G1152)-SUMIF(A$6:A1152,"&lt;&gt;""",H$6:H1152),"")</f>
        <v/>
      </c>
    </row>
    <row r="1153">
      <c r="I1153">
        <f>IFERROR(SUMIF(A$6:A1153,"&lt;&gt;""",G$6:G1153)-SUMIF(A$6:A1153,"&lt;&gt;""",H$6:H1153),"")</f>
        <v/>
      </c>
    </row>
    <row r="1154">
      <c r="I1154">
        <f>IFERROR(SUMIF(A$6:A1154,"&lt;&gt;""",G$6:G1154)-SUMIF(A$6:A1154,"&lt;&gt;""",H$6:H1154),"")</f>
        <v/>
      </c>
    </row>
    <row r="1155">
      <c r="I1155">
        <f>IFERROR(SUMIF(A$6:A1155,"&lt;&gt;""",G$6:G1155)-SUMIF(A$6:A1155,"&lt;&gt;""",H$6:H1155),"")</f>
        <v/>
      </c>
    </row>
    <row r="1156">
      <c r="I1156">
        <f>IFERROR(SUMIF(A$6:A1156,"&lt;&gt;""",G$6:G1156)-SUMIF(A$6:A1156,"&lt;&gt;""",H$6:H1156),"")</f>
        <v/>
      </c>
    </row>
    <row r="1157">
      <c r="I1157">
        <f>IFERROR(SUMIF(A$6:A1157,"&lt;&gt;""",G$6:G1157)-SUMIF(A$6:A1157,"&lt;&gt;""",H$6:H1157),"")</f>
        <v/>
      </c>
    </row>
    <row r="1158">
      <c r="I1158">
        <f>IFERROR(SUMIF(A$6:A1158,"&lt;&gt;""",G$6:G1158)-SUMIF(A$6:A1158,"&lt;&gt;""",H$6:H1158),"")</f>
        <v/>
      </c>
    </row>
    <row r="1159">
      <c r="I1159">
        <f>IFERROR(SUMIF(A$6:A1159,"&lt;&gt;""",G$6:G1159)-SUMIF(A$6:A1159,"&lt;&gt;""",H$6:H1159),"")</f>
        <v/>
      </c>
    </row>
    <row r="1160">
      <c r="I1160">
        <f>IFERROR(SUMIF(A$6:A1160,"&lt;&gt;""",G$6:G1160)-SUMIF(A$6:A1160,"&lt;&gt;""",H$6:H1160),"")</f>
        <v/>
      </c>
    </row>
    <row r="1161">
      <c r="I1161">
        <f>IFERROR(SUMIF(A$6:A1161,"&lt;&gt;""",G$6:G1161)-SUMIF(A$6:A1161,"&lt;&gt;""",H$6:H1161),"")</f>
        <v/>
      </c>
    </row>
    <row r="1162">
      <c r="I1162">
        <f>IFERROR(SUMIF(A$6:A1162,"&lt;&gt;""",G$6:G1162)-SUMIF(A$6:A1162,"&lt;&gt;""",H$6:H1162),"")</f>
        <v/>
      </c>
    </row>
    <row r="1163">
      <c r="I1163">
        <f>IFERROR(SUMIF(A$6:A1163,"&lt;&gt;""",G$6:G1163)-SUMIF(A$6:A1163,"&lt;&gt;""",H$6:H1163),"")</f>
        <v/>
      </c>
    </row>
    <row r="1164">
      <c r="I1164">
        <f>IFERROR(SUMIF(A$6:A1164,"&lt;&gt;""",G$6:G1164)-SUMIF(A$6:A1164,"&lt;&gt;""",H$6:H1164),"")</f>
        <v/>
      </c>
    </row>
    <row r="1165">
      <c r="I1165">
        <f>IFERROR(SUMIF(A$6:A1165,"&lt;&gt;""",G$6:G1165)-SUMIF(A$6:A1165,"&lt;&gt;""",H$6:H1165),"")</f>
        <v/>
      </c>
    </row>
    <row r="1166">
      <c r="I1166">
        <f>IFERROR(SUMIF(A$6:A1166,"&lt;&gt;""",G$6:G1166)-SUMIF(A$6:A1166,"&lt;&gt;""",H$6:H1166),"")</f>
        <v/>
      </c>
    </row>
    <row r="1167">
      <c r="I1167">
        <f>IFERROR(SUMIF(A$6:A1167,"&lt;&gt;""",G$6:G1167)-SUMIF(A$6:A1167,"&lt;&gt;""",H$6:H1167),"")</f>
        <v/>
      </c>
    </row>
    <row r="1168">
      <c r="I1168">
        <f>IFERROR(SUMIF(A$6:A1168,"&lt;&gt;""",G$6:G1168)-SUMIF(A$6:A1168,"&lt;&gt;""",H$6:H1168),"")</f>
        <v/>
      </c>
    </row>
    <row r="1169">
      <c r="I1169">
        <f>IFERROR(SUMIF(A$6:A1169,"&lt;&gt;""",G$6:G1169)-SUMIF(A$6:A1169,"&lt;&gt;""",H$6:H1169),"")</f>
        <v/>
      </c>
    </row>
    <row r="1170">
      <c r="I1170">
        <f>IFERROR(SUMIF(A$6:A1170,"&lt;&gt;""",G$6:G1170)-SUMIF(A$6:A1170,"&lt;&gt;""",H$6:H1170),"")</f>
        <v/>
      </c>
    </row>
    <row r="1171">
      <c r="I1171">
        <f>IFERROR(SUMIF(A$6:A1171,"&lt;&gt;""",G$6:G1171)-SUMIF(A$6:A1171,"&lt;&gt;""",H$6:H1171),"")</f>
        <v/>
      </c>
    </row>
    <row r="1172">
      <c r="I1172">
        <f>IFERROR(SUMIF(A$6:A1172,"&lt;&gt;""",G$6:G1172)-SUMIF(A$6:A1172,"&lt;&gt;""",H$6:H1172),"")</f>
        <v/>
      </c>
    </row>
    <row r="1173">
      <c r="I1173">
        <f>IFERROR(SUMIF(A$6:A1173,"&lt;&gt;""",G$6:G1173)-SUMIF(A$6:A1173,"&lt;&gt;""",H$6:H1173),"")</f>
        <v/>
      </c>
    </row>
    <row r="1174">
      <c r="I1174">
        <f>IFERROR(SUMIF(A$6:A1174,"&lt;&gt;""",G$6:G1174)-SUMIF(A$6:A1174,"&lt;&gt;""",H$6:H1174),"")</f>
        <v/>
      </c>
    </row>
    <row r="1175">
      <c r="I1175">
        <f>IFERROR(SUMIF(A$6:A1175,"&lt;&gt;""",G$6:G1175)-SUMIF(A$6:A1175,"&lt;&gt;""",H$6:H1175),"")</f>
        <v/>
      </c>
    </row>
    <row r="1176">
      <c r="I1176">
        <f>IFERROR(SUMIF(A$6:A1176,"&lt;&gt;""",G$6:G1176)-SUMIF(A$6:A1176,"&lt;&gt;""",H$6:H1176),"")</f>
        <v/>
      </c>
    </row>
    <row r="1177">
      <c r="I1177">
        <f>IFERROR(SUMIF(A$6:A1177,"&lt;&gt;""",G$6:G1177)-SUMIF(A$6:A1177,"&lt;&gt;""",H$6:H1177),"")</f>
        <v/>
      </c>
    </row>
    <row r="1178">
      <c r="I1178">
        <f>IFERROR(SUMIF(A$6:A1178,"&lt;&gt;""",G$6:G1178)-SUMIF(A$6:A1178,"&lt;&gt;""",H$6:H1178),"")</f>
        <v/>
      </c>
    </row>
    <row r="1179">
      <c r="I1179">
        <f>IFERROR(SUMIF(A$6:A1179,"&lt;&gt;""",G$6:G1179)-SUMIF(A$6:A1179,"&lt;&gt;""",H$6:H1179),"")</f>
        <v/>
      </c>
    </row>
    <row r="1180">
      <c r="I1180">
        <f>IFERROR(SUMIF(A$6:A1180,"&lt;&gt;""",G$6:G1180)-SUMIF(A$6:A1180,"&lt;&gt;""",H$6:H1180),"")</f>
        <v/>
      </c>
    </row>
    <row r="1181">
      <c r="I1181">
        <f>IFERROR(SUMIF(A$6:A1181,"&lt;&gt;""",G$6:G1181)-SUMIF(A$6:A1181,"&lt;&gt;""",H$6:H1181),"")</f>
        <v/>
      </c>
    </row>
    <row r="1182">
      <c r="I1182">
        <f>IFERROR(SUMIF(A$6:A1182,"&lt;&gt;""",G$6:G1182)-SUMIF(A$6:A1182,"&lt;&gt;""",H$6:H1182),"")</f>
        <v/>
      </c>
    </row>
    <row r="1183">
      <c r="I1183">
        <f>IFERROR(SUMIF(A$6:A1183,"&lt;&gt;""",G$6:G1183)-SUMIF(A$6:A1183,"&lt;&gt;""",H$6:H1183),"")</f>
        <v/>
      </c>
    </row>
    <row r="1184">
      <c r="I1184">
        <f>IFERROR(SUMIF(A$6:A1184,"&lt;&gt;""",G$6:G1184)-SUMIF(A$6:A1184,"&lt;&gt;""",H$6:H1184),"")</f>
        <v/>
      </c>
    </row>
    <row r="1185">
      <c r="I1185">
        <f>IFERROR(SUMIF(A$6:A1185,"&lt;&gt;""",G$6:G1185)-SUMIF(A$6:A1185,"&lt;&gt;""",H$6:H1185),"")</f>
        <v/>
      </c>
    </row>
    <row r="1186">
      <c r="I1186">
        <f>IFERROR(SUMIF(A$6:A1186,"&lt;&gt;""",G$6:G1186)-SUMIF(A$6:A1186,"&lt;&gt;""",H$6:H1186),"")</f>
        <v/>
      </c>
    </row>
    <row r="1187">
      <c r="I1187">
        <f>IFERROR(SUMIF(A$6:A1187,"&lt;&gt;""",G$6:G1187)-SUMIF(A$6:A1187,"&lt;&gt;""",H$6:H1187),"")</f>
        <v/>
      </c>
    </row>
    <row r="1188">
      <c r="I1188">
        <f>IFERROR(SUMIF(A$6:A1188,"&lt;&gt;""",G$6:G1188)-SUMIF(A$6:A1188,"&lt;&gt;""",H$6:H1188),"")</f>
        <v/>
      </c>
    </row>
    <row r="1189">
      <c r="I1189">
        <f>IFERROR(SUMIF(A$6:A1189,"&lt;&gt;""",G$6:G1189)-SUMIF(A$6:A1189,"&lt;&gt;""",H$6:H1189),"")</f>
        <v/>
      </c>
    </row>
    <row r="1190">
      <c r="I1190">
        <f>IFERROR(SUMIF(A$6:A1190,"&lt;&gt;""",G$6:G1190)-SUMIF(A$6:A1190,"&lt;&gt;""",H$6:H1190),"")</f>
        <v/>
      </c>
    </row>
    <row r="1191">
      <c r="I1191">
        <f>IFERROR(SUMIF(A$6:A1191,"&lt;&gt;""",G$6:G1191)-SUMIF(A$6:A1191,"&lt;&gt;""",H$6:H1191),"")</f>
        <v/>
      </c>
    </row>
    <row r="1192">
      <c r="I1192">
        <f>IFERROR(SUMIF(A$6:A1192,"&lt;&gt;""",G$6:G1192)-SUMIF(A$6:A1192,"&lt;&gt;""",H$6:H1192),"")</f>
        <v/>
      </c>
    </row>
    <row r="1193">
      <c r="I1193">
        <f>IFERROR(SUMIF(A$6:A1193,"&lt;&gt;""",G$6:G1193)-SUMIF(A$6:A1193,"&lt;&gt;""",H$6:H1193),"")</f>
        <v/>
      </c>
    </row>
    <row r="1194">
      <c r="I1194">
        <f>IFERROR(SUMIF(A$6:A1194,"&lt;&gt;""",G$6:G1194)-SUMIF(A$6:A1194,"&lt;&gt;""",H$6:H1194),"")</f>
        <v/>
      </c>
    </row>
    <row r="1195">
      <c r="I1195">
        <f>IFERROR(SUMIF(A$6:A1195,"&lt;&gt;""",G$6:G1195)-SUMIF(A$6:A1195,"&lt;&gt;""",H$6:H1195),"")</f>
        <v/>
      </c>
    </row>
    <row r="1196">
      <c r="I1196">
        <f>IFERROR(SUMIF(A$6:A1196,"&lt;&gt;""",G$6:G1196)-SUMIF(A$6:A1196,"&lt;&gt;""",H$6:H1196),"")</f>
        <v/>
      </c>
    </row>
    <row r="1197">
      <c r="I1197">
        <f>IFERROR(SUMIF(A$6:A1197,"&lt;&gt;""",G$6:G1197)-SUMIF(A$6:A1197,"&lt;&gt;""",H$6:H1197),"")</f>
        <v/>
      </c>
    </row>
    <row r="1198">
      <c r="I1198">
        <f>IFERROR(SUMIF(A$6:A1198,"&lt;&gt;""",G$6:G1198)-SUMIF(A$6:A1198,"&lt;&gt;""",H$6:H1198),"")</f>
        <v/>
      </c>
    </row>
    <row r="1199">
      <c r="I1199">
        <f>IFERROR(SUMIF(A$6:A1199,"&lt;&gt;""",G$6:G1199)-SUMIF(A$6:A1199,"&lt;&gt;""",H$6:H1199),"")</f>
        <v/>
      </c>
    </row>
    <row r="1200">
      <c r="I1200">
        <f>IFERROR(SUMIF(A$6:A1200,"&lt;&gt;""",G$6:G1200)-SUMIF(A$6:A1200,"&lt;&gt;""",H$6:H1200),"")</f>
        <v/>
      </c>
    </row>
    <row r="1201">
      <c r="I1201">
        <f>IFERROR(SUMIF(A$6:A1201,"&lt;&gt;""",G$6:G1201)-SUMIF(A$6:A1201,"&lt;&gt;""",H$6:H1201),"")</f>
        <v/>
      </c>
    </row>
    <row r="1202">
      <c r="I1202">
        <f>IFERROR(SUMIF(A$6:A1202,"&lt;&gt;""",G$6:G1202)-SUMIF(A$6:A1202,"&lt;&gt;""",H$6:H1202),"")</f>
        <v/>
      </c>
    </row>
    <row r="1203">
      <c r="I1203">
        <f>IFERROR(SUMIF(A$6:A1203,"&lt;&gt;""",G$6:G1203)-SUMIF(A$6:A1203,"&lt;&gt;""",H$6:H1203),"")</f>
        <v/>
      </c>
    </row>
    <row r="1204">
      <c r="I1204">
        <f>IFERROR(SUMIF(A$6:A1204,"&lt;&gt;""",G$6:G1204)-SUMIF(A$6:A1204,"&lt;&gt;""",H$6:H1204),"")</f>
        <v/>
      </c>
    </row>
    <row r="1205">
      <c r="I1205">
        <f>IFERROR(SUMIF(A$6:A1205,"&lt;&gt;""",G$6:G1205)-SUMIF(A$6:A1205,"&lt;&gt;""",H$6:H1205),"")</f>
        <v/>
      </c>
    </row>
    <row r="1206">
      <c r="I1206">
        <f>IFERROR(SUMIF(A$6:A1206,"&lt;&gt;""",G$6:G1206)-SUMIF(A$6:A1206,"&lt;&gt;""",H$6:H1206),"")</f>
        <v/>
      </c>
    </row>
    <row r="1207">
      <c r="I1207">
        <f>IFERROR(SUMIF(A$6:A1207,"&lt;&gt;""",G$6:G1207)-SUMIF(A$6:A1207,"&lt;&gt;""",H$6:H1207),"")</f>
        <v/>
      </c>
    </row>
    <row r="1208">
      <c r="I1208">
        <f>IFERROR(SUMIF(A$6:A1208,"&lt;&gt;""",G$6:G1208)-SUMIF(A$6:A1208,"&lt;&gt;""",H$6:H1208),"")</f>
        <v/>
      </c>
    </row>
    <row r="1209">
      <c r="I1209">
        <f>IFERROR(SUMIF(A$6:A1209,"&lt;&gt;""",G$6:G1209)-SUMIF(A$6:A1209,"&lt;&gt;""",H$6:H1209),"")</f>
        <v/>
      </c>
    </row>
    <row r="1210">
      <c r="I1210">
        <f>IFERROR(SUMIF(A$6:A1210,"&lt;&gt;""",G$6:G1210)-SUMIF(A$6:A1210,"&lt;&gt;""",H$6:H1210),"")</f>
        <v/>
      </c>
    </row>
    <row r="1211">
      <c r="I1211">
        <f>IFERROR(SUMIF(A$6:A1211,"&lt;&gt;""",G$6:G1211)-SUMIF(A$6:A1211,"&lt;&gt;""",H$6:H1211),"")</f>
        <v/>
      </c>
    </row>
    <row r="1212">
      <c r="I1212">
        <f>IFERROR(SUMIF(A$6:A1212,"&lt;&gt;""",G$6:G1212)-SUMIF(A$6:A1212,"&lt;&gt;""",H$6:H1212),"")</f>
        <v/>
      </c>
    </row>
    <row r="1213">
      <c r="I1213">
        <f>IFERROR(SUMIF(A$6:A1213,"&lt;&gt;""",G$6:G1213)-SUMIF(A$6:A1213,"&lt;&gt;""",H$6:H1213),"")</f>
        <v/>
      </c>
    </row>
    <row r="1214">
      <c r="I1214">
        <f>IFERROR(SUMIF(A$6:A1214,"&lt;&gt;""",G$6:G1214)-SUMIF(A$6:A1214,"&lt;&gt;""",H$6:H1214),"")</f>
        <v/>
      </c>
    </row>
    <row r="1215">
      <c r="I1215">
        <f>IFERROR(SUMIF(A$6:A1215,"&lt;&gt;""",G$6:G1215)-SUMIF(A$6:A1215,"&lt;&gt;""",H$6:H1215),"")</f>
        <v/>
      </c>
    </row>
    <row r="1216">
      <c r="I1216">
        <f>IFERROR(SUMIF(A$6:A1216,"&lt;&gt;""",G$6:G1216)-SUMIF(A$6:A1216,"&lt;&gt;""",H$6:H1216),"")</f>
        <v/>
      </c>
    </row>
    <row r="1217">
      <c r="I1217">
        <f>IFERROR(SUMIF(A$6:A1217,"&lt;&gt;""",G$6:G1217)-SUMIF(A$6:A1217,"&lt;&gt;""",H$6:H1217),"")</f>
        <v/>
      </c>
    </row>
    <row r="1218">
      <c r="I1218">
        <f>IFERROR(SUMIF(A$6:A1218,"&lt;&gt;""",G$6:G1218)-SUMIF(A$6:A1218,"&lt;&gt;""",H$6:H1218),"")</f>
        <v/>
      </c>
    </row>
    <row r="1219">
      <c r="I1219">
        <f>IFERROR(SUMIF(A$6:A1219,"&lt;&gt;""",G$6:G1219)-SUMIF(A$6:A1219,"&lt;&gt;""",H$6:H1219),"")</f>
        <v/>
      </c>
    </row>
    <row r="1220">
      <c r="I1220">
        <f>IFERROR(SUMIF(A$6:A1220,"&lt;&gt;""",G$6:G1220)-SUMIF(A$6:A1220,"&lt;&gt;""",H$6:H1220),"")</f>
        <v/>
      </c>
    </row>
    <row r="1221">
      <c r="I1221">
        <f>IFERROR(SUMIF(A$6:A1221,"&lt;&gt;""",G$6:G1221)-SUMIF(A$6:A1221,"&lt;&gt;""",H$6:H1221),"")</f>
        <v/>
      </c>
    </row>
    <row r="1222">
      <c r="I1222">
        <f>IFERROR(SUMIF(A$6:A1222,"&lt;&gt;""",G$6:G1222)-SUMIF(A$6:A1222,"&lt;&gt;""",H$6:H1222),"")</f>
        <v/>
      </c>
    </row>
    <row r="1223">
      <c r="I1223">
        <f>IFERROR(SUMIF(A$6:A1223,"&lt;&gt;""",G$6:G1223)-SUMIF(A$6:A1223,"&lt;&gt;""",H$6:H1223),"")</f>
        <v/>
      </c>
    </row>
    <row r="1224">
      <c r="I1224">
        <f>IFERROR(SUMIF(A$6:A1224,"&lt;&gt;""",G$6:G1224)-SUMIF(A$6:A1224,"&lt;&gt;""",H$6:H1224),"")</f>
        <v/>
      </c>
    </row>
    <row r="1225">
      <c r="I1225">
        <f>IFERROR(SUMIF(A$6:A1225,"&lt;&gt;""",G$6:G1225)-SUMIF(A$6:A1225,"&lt;&gt;""",H$6:H1225),"")</f>
        <v/>
      </c>
    </row>
    <row r="1226">
      <c r="I1226">
        <f>IFERROR(SUMIF(A$6:A1226,"&lt;&gt;""",G$6:G1226)-SUMIF(A$6:A1226,"&lt;&gt;""",H$6:H1226),"")</f>
        <v/>
      </c>
    </row>
    <row r="1227">
      <c r="I1227">
        <f>IFERROR(SUMIF(A$6:A1227,"&lt;&gt;""",G$6:G1227)-SUMIF(A$6:A1227,"&lt;&gt;""",H$6:H1227),"")</f>
        <v/>
      </c>
    </row>
    <row r="1228">
      <c r="I1228">
        <f>IFERROR(SUMIF(A$6:A1228,"&lt;&gt;""",G$6:G1228)-SUMIF(A$6:A1228,"&lt;&gt;""",H$6:H1228),"")</f>
        <v/>
      </c>
    </row>
    <row r="1229">
      <c r="I1229">
        <f>IFERROR(SUMIF(A$6:A1229,"&lt;&gt;""",G$6:G1229)-SUMIF(A$6:A1229,"&lt;&gt;""",H$6:H1229),"")</f>
        <v/>
      </c>
    </row>
    <row r="1230">
      <c r="I1230">
        <f>IFERROR(SUMIF(A$6:A1230,"&lt;&gt;""",G$6:G1230)-SUMIF(A$6:A1230,"&lt;&gt;""",H$6:H1230),"")</f>
        <v/>
      </c>
    </row>
    <row r="1231">
      <c r="I1231">
        <f>IFERROR(SUMIF(A$6:A1231,"&lt;&gt;""",G$6:G1231)-SUMIF(A$6:A1231,"&lt;&gt;""",H$6:H1231),"")</f>
        <v/>
      </c>
    </row>
    <row r="1232">
      <c r="I1232">
        <f>IFERROR(SUMIF(A$6:A1232,"&lt;&gt;""",G$6:G1232)-SUMIF(A$6:A1232,"&lt;&gt;""",H$6:H1232),"")</f>
        <v/>
      </c>
    </row>
    <row r="1233">
      <c r="I1233">
        <f>IFERROR(SUMIF(A$6:A1233,"&lt;&gt;""",G$6:G1233)-SUMIF(A$6:A1233,"&lt;&gt;""",H$6:H1233),"")</f>
        <v/>
      </c>
    </row>
    <row r="1234">
      <c r="I1234">
        <f>IFERROR(SUMIF(A$6:A1234,"&lt;&gt;""",G$6:G1234)-SUMIF(A$6:A1234,"&lt;&gt;""",H$6:H1234),"")</f>
        <v/>
      </c>
    </row>
    <row r="1235">
      <c r="I1235">
        <f>IFERROR(SUMIF(A$6:A1235,"&lt;&gt;""",G$6:G1235)-SUMIF(A$6:A1235,"&lt;&gt;""",H$6:H1235),"")</f>
        <v/>
      </c>
    </row>
    <row r="1236">
      <c r="I1236">
        <f>IFERROR(SUMIF(A$6:A1236,"&lt;&gt;""",G$6:G1236)-SUMIF(A$6:A1236,"&lt;&gt;""",H$6:H1236),"")</f>
        <v/>
      </c>
    </row>
    <row r="1237">
      <c r="I1237">
        <f>IFERROR(SUMIF(A$6:A1237,"&lt;&gt;""",G$6:G1237)-SUMIF(A$6:A1237,"&lt;&gt;""",H$6:H1237),"")</f>
        <v/>
      </c>
    </row>
    <row r="1238">
      <c r="I1238">
        <f>IFERROR(SUMIF(A$6:A1238,"&lt;&gt;""",G$6:G1238)-SUMIF(A$6:A1238,"&lt;&gt;""",H$6:H1238),"")</f>
        <v/>
      </c>
    </row>
    <row r="1239">
      <c r="I1239">
        <f>IFERROR(SUMIF(A$6:A1239,"&lt;&gt;""",G$6:G1239)-SUMIF(A$6:A1239,"&lt;&gt;""",H$6:H1239),"")</f>
        <v/>
      </c>
    </row>
    <row r="1240">
      <c r="I1240">
        <f>IFERROR(SUMIF(A$6:A1240,"&lt;&gt;""",G$6:G1240)-SUMIF(A$6:A1240,"&lt;&gt;""",H$6:H1240),"")</f>
        <v/>
      </c>
    </row>
    <row r="1241">
      <c r="I1241">
        <f>IFERROR(SUMIF(A$6:A1241,"&lt;&gt;""",G$6:G1241)-SUMIF(A$6:A1241,"&lt;&gt;""",H$6:H1241),"")</f>
        <v/>
      </c>
    </row>
    <row r="1242">
      <c r="I1242">
        <f>IFERROR(SUMIF(A$6:A1242,"&lt;&gt;""",G$6:G1242)-SUMIF(A$6:A1242,"&lt;&gt;""",H$6:H1242),"")</f>
        <v/>
      </c>
    </row>
    <row r="1243">
      <c r="I1243">
        <f>IFERROR(SUMIF(A$6:A1243,"&lt;&gt;""",G$6:G1243)-SUMIF(A$6:A1243,"&lt;&gt;""",H$6:H1243),"")</f>
        <v/>
      </c>
    </row>
    <row r="1244">
      <c r="I1244">
        <f>IFERROR(SUMIF(A$6:A1244,"&lt;&gt;""",G$6:G1244)-SUMIF(A$6:A1244,"&lt;&gt;""",H$6:H1244),"")</f>
        <v/>
      </c>
    </row>
    <row r="1245">
      <c r="I1245">
        <f>IFERROR(SUMIF(A$6:A1245,"&lt;&gt;""",G$6:G1245)-SUMIF(A$6:A1245,"&lt;&gt;""",H$6:H1245),"")</f>
        <v/>
      </c>
    </row>
    <row r="1246">
      <c r="I1246">
        <f>IFERROR(SUMIF(A$6:A1246,"&lt;&gt;""",G$6:G1246)-SUMIF(A$6:A1246,"&lt;&gt;""",H$6:H1246),"")</f>
        <v/>
      </c>
    </row>
    <row r="1247">
      <c r="I1247">
        <f>IFERROR(SUMIF(A$6:A1247,"&lt;&gt;""",G$6:G1247)-SUMIF(A$6:A1247,"&lt;&gt;""",H$6:H1247),"")</f>
        <v/>
      </c>
    </row>
    <row r="1248">
      <c r="I1248">
        <f>IFERROR(SUMIF(A$6:A1248,"&lt;&gt;""",G$6:G1248)-SUMIF(A$6:A1248,"&lt;&gt;""",H$6:H1248),"")</f>
        <v/>
      </c>
    </row>
    <row r="1249">
      <c r="I1249">
        <f>IFERROR(SUMIF(A$6:A1249,"&lt;&gt;""",G$6:G1249)-SUMIF(A$6:A1249,"&lt;&gt;""",H$6:H1249),"")</f>
        <v/>
      </c>
    </row>
    <row r="1250">
      <c r="I1250">
        <f>IFERROR(SUMIF(A$6:A1250,"&lt;&gt;""",G$6:G1250)-SUMIF(A$6:A1250,"&lt;&gt;""",H$6:H1250),"")</f>
        <v/>
      </c>
    </row>
    <row r="1251">
      <c r="I1251">
        <f>IFERROR(SUMIF(A$6:A1251,"&lt;&gt;""",G$6:G1251)-SUMIF(A$6:A1251,"&lt;&gt;""",H$6:H1251),"")</f>
        <v/>
      </c>
    </row>
    <row r="1252">
      <c r="I1252">
        <f>IFERROR(SUMIF(A$6:A1252,"&lt;&gt;""",G$6:G1252)-SUMIF(A$6:A1252,"&lt;&gt;""",H$6:H1252),"")</f>
        <v/>
      </c>
    </row>
    <row r="1253">
      <c r="I1253">
        <f>IFERROR(SUMIF(A$6:A1253,"&lt;&gt;""",G$6:G1253)-SUMIF(A$6:A1253,"&lt;&gt;""",H$6:H1253),"")</f>
        <v/>
      </c>
    </row>
    <row r="1254">
      <c r="I1254">
        <f>IFERROR(SUMIF(A$6:A1254,"&lt;&gt;""",G$6:G1254)-SUMIF(A$6:A1254,"&lt;&gt;""",H$6:H1254),"")</f>
        <v/>
      </c>
    </row>
    <row r="1255">
      <c r="I1255">
        <f>IFERROR(SUMIF(A$6:A1255,"&lt;&gt;""",G$6:G1255)-SUMIF(A$6:A1255,"&lt;&gt;""",H$6:H1255),"")</f>
        <v/>
      </c>
    </row>
    <row r="1256">
      <c r="I1256">
        <f>IFERROR(SUMIF(A$6:A1256,"&lt;&gt;""",G$6:G1256)-SUMIF(A$6:A1256,"&lt;&gt;""",H$6:H1256),"")</f>
        <v/>
      </c>
    </row>
    <row r="1257">
      <c r="I1257">
        <f>IFERROR(SUMIF(A$6:A1257,"&lt;&gt;""",G$6:G1257)-SUMIF(A$6:A1257,"&lt;&gt;""",H$6:H1257),"")</f>
        <v/>
      </c>
    </row>
    <row r="1258">
      <c r="I1258">
        <f>IFERROR(SUMIF(A$6:A1258,"&lt;&gt;""",G$6:G1258)-SUMIF(A$6:A1258,"&lt;&gt;""",H$6:H1258),"")</f>
        <v/>
      </c>
    </row>
    <row r="1259">
      <c r="I1259">
        <f>IFERROR(SUMIF(A$6:A1259,"&lt;&gt;""",G$6:G1259)-SUMIF(A$6:A1259,"&lt;&gt;""",H$6:H1259),"")</f>
        <v/>
      </c>
    </row>
    <row r="1260">
      <c r="I1260">
        <f>IFERROR(SUMIF(A$6:A1260,"&lt;&gt;""",G$6:G1260)-SUMIF(A$6:A1260,"&lt;&gt;""",H$6:H1260),"")</f>
        <v/>
      </c>
    </row>
    <row r="1261">
      <c r="I1261">
        <f>IFERROR(SUMIF(A$6:A1261,"&lt;&gt;""",G$6:G1261)-SUMIF(A$6:A1261,"&lt;&gt;""",H$6:H1261),"")</f>
        <v/>
      </c>
    </row>
    <row r="1262">
      <c r="I1262">
        <f>IFERROR(SUMIF(A$6:A1262,"&lt;&gt;""",G$6:G1262)-SUMIF(A$6:A1262,"&lt;&gt;""",H$6:H1262),"")</f>
        <v/>
      </c>
    </row>
    <row r="1263">
      <c r="I1263">
        <f>IFERROR(SUMIF(A$6:A1263,"&lt;&gt;""",G$6:G1263)-SUMIF(A$6:A1263,"&lt;&gt;""",H$6:H1263),"")</f>
        <v/>
      </c>
    </row>
    <row r="1264">
      <c r="I1264">
        <f>IFERROR(SUMIF(A$6:A1264,"&lt;&gt;""",G$6:G1264)-SUMIF(A$6:A1264,"&lt;&gt;""",H$6:H1264),"")</f>
        <v/>
      </c>
    </row>
    <row r="1265">
      <c r="I1265">
        <f>IFERROR(SUMIF(A$6:A1265,"&lt;&gt;""",G$6:G1265)-SUMIF(A$6:A1265,"&lt;&gt;""",H$6:H1265),"")</f>
        <v/>
      </c>
    </row>
    <row r="1266">
      <c r="I1266">
        <f>IFERROR(SUMIF(A$6:A1266,"&lt;&gt;""",G$6:G1266)-SUMIF(A$6:A1266,"&lt;&gt;""",H$6:H1266),"")</f>
        <v/>
      </c>
    </row>
    <row r="1267">
      <c r="I1267">
        <f>IFERROR(SUMIF(A$6:A1267,"&lt;&gt;""",G$6:G1267)-SUMIF(A$6:A1267,"&lt;&gt;""",H$6:H1267),"")</f>
        <v/>
      </c>
    </row>
    <row r="1268">
      <c r="I1268">
        <f>IFERROR(SUMIF(A$6:A1268,"&lt;&gt;""",G$6:G1268)-SUMIF(A$6:A1268,"&lt;&gt;""",H$6:H1268),"")</f>
        <v/>
      </c>
    </row>
    <row r="1269">
      <c r="I1269">
        <f>IFERROR(SUMIF(A$6:A1269,"&lt;&gt;""",G$6:G1269)-SUMIF(A$6:A1269,"&lt;&gt;""",H$6:H1269),"")</f>
        <v/>
      </c>
    </row>
    <row r="1270">
      <c r="I1270">
        <f>IFERROR(SUMIF(A$6:A1270,"&lt;&gt;""",G$6:G1270)-SUMIF(A$6:A1270,"&lt;&gt;""",H$6:H1270),"")</f>
        <v/>
      </c>
    </row>
    <row r="1271">
      <c r="I1271">
        <f>IFERROR(SUMIF(A$6:A1271,"&lt;&gt;""",G$6:G1271)-SUMIF(A$6:A1271,"&lt;&gt;""",H$6:H1271),"")</f>
        <v/>
      </c>
    </row>
    <row r="1272">
      <c r="I1272">
        <f>IFERROR(SUMIF(A$6:A1272,"&lt;&gt;""",G$6:G1272)-SUMIF(A$6:A1272,"&lt;&gt;""",H$6:H1272),"")</f>
        <v/>
      </c>
    </row>
    <row r="1273">
      <c r="I1273">
        <f>IFERROR(SUMIF(A$6:A1273,"&lt;&gt;""",G$6:G1273)-SUMIF(A$6:A1273,"&lt;&gt;""",H$6:H1273),"")</f>
        <v/>
      </c>
    </row>
    <row r="1274">
      <c r="I1274">
        <f>IFERROR(SUMIF(A$6:A1274,"&lt;&gt;""",G$6:G1274)-SUMIF(A$6:A1274,"&lt;&gt;""",H$6:H1274),"")</f>
        <v/>
      </c>
    </row>
    <row r="1275">
      <c r="I1275">
        <f>IFERROR(SUMIF(A$6:A1275,"&lt;&gt;""",G$6:G1275)-SUMIF(A$6:A1275,"&lt;&gt;""",H$6:H1275),"")</f>
        <v/>
      </c>
    </row>
    <row r="1276">
      <c r="I1276">
        <f>IFERROR(SUMIF(A$6:A1276,"&lt;&gt;""",G$6:G1276)-SUMIF(A$6:A1276,"&lt;&gt;""",H$6:H1276),"")</f>
        <v/>
      </c>
    </row>
    <row r="1277">
      <c r="I1277">
        <f>IFERROR(SUMIF(A$6:A1277,"&lt;&gt;""",G$6:G1277)-SUMIF(A$6:A1277,"&lt;&gt;""",H$6:H1277),"")</f>
        <v/>
      </c>
    </row>
    <row r="1278">
      <c r="I1278">
        <f>IFERROR(SUMIF(A$6:A1278,"&lt;&gt;""",G$6:G1278)-SUMIF(A$6:A1278,"&lt;&gt;""",H$6:H1278),"")</f>
        <v/>
      </c>
    </row>
    <row r="1279">
      <c r="I1279">
        <f>IFERROR(SUMIF(A$6:A1279,"&lt;&gt;""",G$6:G1279)-SUMIF(A$6:A1279,"&lt;&gt;""",H$6:H1279),"")</f>
        <v/>
      </c>
    </row>
    <row r="1280">
      <c r="I1280">
        <f>IFERROR(SUMIF(A$6:A1280,"&lt;&gt;""",G$6:G1280)-SUMIF(A$6:A1280,"&lt;&gt;""",H$6:H1280),"")</f>
        <v/>
      </c>
    </row>
    <row r="1281">
      <c r="I1281">
        <f>IFERROR(SUMIF(A$6:A1281,"&lt;&gt;""",G$6:G1281)-SUMIF(A$6:A1281,"&lt;&gt;""",H$6:H1281),"")</f>
        <v/>
      </c>
    </row>
    <row r="1282">
      <c r="I1282">
        <f>IFERROR(SUMIF(A$6:A1282,"&lt;&gt;""",G$6:G1282)-SUMIF(A$6:A1282,"&lt;&gt;""",H$6:H1282),"")</f>
        <v/>
      </c>
    </row>
    <row r="1283">
      <c r="I1283">
        <f>IFERROR(SUMIF(A$6:A1283,"&lt;&gt;""",G$6:G1283)-SUMIF(A$6:A1283,"&lt;&gt;""",H$6:H1283),"")</f>
        <v/>
      </c>
    </row>
    <row r="1284">
      <c r="I1284">
        <f>IFERROR(SUMIF(A$6:A1284,"&lt;&gt;""",G$6:G1284)-SUMIF(A$6:A1284,"&lt;&gt;""",H$6:H1284),"")</f>
        <v/>
      </c>
    </row>
    <row r="1285">
      <c r="I1285">
        <f>IFERROR(SUMIF(A$6:A1285,"&lt;&gt;""",G$6:G1285)-SUMIF(A$6:A1285,"&lt;&gt;""",H$6:H1285),"")</f>
        <v/>
      </c>
    </row>
    <row r="1286">
      <c r="I1286">
        <f>IFERROR(SUMIF(A$6:A1286,"&lt;&gt;""",G$6:G1286)-SUMIF(A$6:A1286,"&lt;&gt;""",H$6:H1286),"")</f>
        <v/>
      </c>
    </row>
    <row r="1287">
      <c r="I1287">
        <f>IFERROR(SUMIF(A$6:A1287,"&lt;&gt;""",G$6:G1287)-SUMIF(A$6:A1287,"&lt;&gt;""",H$6:H1287),"")</f>
        <v/>
      </c>
    </row>
    <row r="1288">
      <c r="I1288">
        <f>IFERROR(SUMIF(A$6:A1288,"&lt;&gt;""",G$6:G1288)-SUMIF(A$6:A1288,"&lt;&gt;""",H$6:H1288),"")</f>
        <v/>
      </c>
    </row>
    <row r="1289">
      <c r="I1289">
        <f>IFERROR(SUMIF(A$6:A1289,"&lt;&gt;""",G$6:G1289)-SUMIF(A$6:A1289,"&lt;&gt;""",H$6:H1289),"")</f>
        <v/>
      </c>
    </row>
    <row r="1290">
      <c r="I1290">
        <f>IFERROR(SUMIF(A$6:A1290,"&lt;&gt;""",G$6:G1290)-SUMIF(A$6:A1290,"&lt;&gt;""",H$6:H1290),"")</f>
        <v/>
      </c>
    </row>
    <row r="1291">
      <c r="I1291">
        <f>IFERROR(SUMIF(A$6:A1291,"&lt;&gt;""",G$6:G1291)-SUMIF(A$6:A1291,"&lt;&gt;""",H$6:H1291),"")</f>
        <v/>
      </c>
    </row>
    <row r="1292">
      <c r="I1292">
        <f>IFERROR(SUMIF(A$6:A1292,"&lt;&gt;""",G$6:G1292)-SUMIF(A$6:A1292,"&lt;&gt;""",H$6:H1292),"")</f>
        <v/>
      </c>
    </row>
    <row r="1293">
      <c r="I1293">
        <f>IFERROR(SUMIF(A$6:A1293,"&lt;&gt;""",G$6:G1293)-SUMIF(A$6:A1293,"&lt;&gt;""",H$6:H1293),"")</f>
        <v/>
      </c>
    </row>
    <row r="1294">
      <c r="I1294">
        <f>IFERROR(SUMIF(A$6:A1294,"&lt;&gt;""",G$6:G1294)-SUMIF(A$6:A1294,"&lt;&gt;""",H$6:H1294),"")</f>
        <v/>
      </c>
    </row>
    <row r="1295">
      <c r="I1295">
        <f>IFERROR(SUMIF(A$6:A1295,"&lt;&gt;""",G$6:G1295)-SUMIF(A$6:A1295,"&lt;&gt;""",H$6:H1295),"")</f>
        <v/>
      </c>
    </row>
    <row r="1296">
      <c r="I1296">
        <f>IFERROR(SUMIF(A$6:A1296,"&lt;&gt;""",G$6:G1296)-SUMIF(A$6:A1296,"&lt;&gt;""",H$6:H1296),"")</f>
        <v/>
      </c>
    </row>
    <row r="1297">
      <c r="I1297">
        <f>IFERROR(SUMIF(A$6:A1297,"&lt;&gt;""",G$6:G1297)-SUMIF(A$6:A1297,"&lt;&gt;""",H$6:H1297),"")</f>
        <v/>
      </c>
    </row>
    <row r="1298">
      <c r="I1298">
        <f>IFERROR(SUMIF(A$6:A1298,"&lt;&gt;""",G$6:G1298)-SUMIF(A$6:A1298,"&lt;&gt;""",H$6:H1298),"")</f>
        <v/>
      </c>
    </row>
    <row r="1299">
      <c r="I1299">
        <f>IFERROR(SUMIF(A$6:A1299,"&lt;&gt;""",G$6:G1299)-SUMIF(A$6:A1299,"&lt;&gt;""",H$6:H1299),"")</f>
        <v/>
      </c>
    </row>
    <row r="1300">
      <c r="I1300">
        <f>IFERROR(SUMIF(A$6:A1300,"&lt;&gt;""",G$6:G1300)-SUMIF(A$6:A1300,"&lt;&gt;""",H$6:H1300),"")</f>
        <v/>
      </c>
    </row>
    <row r="1301">
      <c r="I1301">
        <f>IFERROR(SUMIF(A$6:A1301,"&lt;&gt;""",G$6:G1301)-SUMIF(A$6:A1301,"&lt;&gt;""",H$6:H1301),"")</f>
        <v/>
      </c>
    </row>
    <row r="1302">
      <c r="I1302">
        <f>IFERROR(SUMIF(A$6:A1302,"&lt;&gt;""",G$6:G1302)-SUMIF(A$6:A1302,"&lt;&gt;""",H$6:H1302),"")</f>
        <v/>
      </c>
    </row>
    <row r="1303">
      <c r="I1303">
        <f>IFERROR(SUMIF(A$6:A1303,"&lt;&gt;""",G$6:G1303)-SUMIF(A$6:A1303,"&lt;&gt;""",H$6:H1303),"")</f>
        <v/>
      </c>
    </row>
    <row r="1304">
      <c r="I1304">
        <f>IFERROR(SUMIF(A$6:A1304,"&lt;&gt;""",G$6:G1304)-SUMIF(A$6:A1304,"&lt;&gt;""",H$6:H1304),"")</f>
        <v/>
      </c>
    </row>
    <row r="1305">
      <c r="I1305">
        <f>IFERROR(SUMIF(A$6:A1305,"&lt;&gt;""",G$6:G1305)-SUMIF(A$6:A1305,"&lt;&gt;""",H$6:H1305),"")</f>
        <v/>
      </c>
    </row>
    <row r="1306">
      <c r="I1306">
        <f>IFERROR(SUMIF(A$6:A1306,"&lt;&gt;""",G$6:G1306)-SUMIF(A$6:A1306,"&lt;&gt;""",H$6:H1306),"")</f>
        <v/>
      </c>
    </row>
    <row r="1307">
      <c r="I1307">
        <f>IFERROR(SUMIF(A$6:A1307,"&lt;&gt;""",G$6:G1307)-SUMIF(A$6:A1307,"&lt;&gt;""",H$6:H1307),"")</f>
        <v/>
      </c>
    </row>
    <row r="1308">
      <c r="I1308">
        <f>IFERROR(SUMIF(A$6:A1308,"&lt;&gt;""",G$6:G1308)-SUMIF(A$6:A1308,"&lt;&gt;""",H$6:H1308),"")</f>
        <v/>
      </c>
    </row>
    <row r="1309">
      <c r="I1309">
        <f>IFERROR(SUMIF(A$6:A1309,"&lt;&gt;""",G$6:G1309)-SUMIF(A$6:A1309,"&lt;&gt;""",H$6:H1309),"")</f>
        <v/>
      </c>
    </row>
    <row r="1310">
      <c r="I1310">
        <f>IFERROR(SUMIF(A$6:A1310,"&lt;&gt;""",G$6:G1310)-SUMIF(A$6:A1310,"&lt;&gt;""",H$6:H1310),"")</f>
        <v/>
      </c>
    </row>
    <row r="1311">
      <c r="I1311">
        <f>IFERROR(SUMIF(A$6:A1311,"&lt;&gt;""",G$6:G1311)-SUMIF(A$6:A1311,"&lt;&gt;""",H$6:H1311),"")</f>
        <v/>
      </c>
    </row>
    <row r="1312">
      <c r="I1312">
        <f>IFERROR(SUMIF(A$6:A1312,"&lt;&gt;""",G$6:G1312)-SUMIF(A$6:A1312,"&lt;&gt;""",H$6:H1312),"")</f>
        <v/>
      </c>
    </row>
    <row r="1313">
      <c r="I1313">
        <f>IFERROR(SUMIF(A$6:A1313,"&lt;&gt;""",G$6:G1313)-SUMIF(A$6:A1313,"&lt;&gt;""",H$6:H1313),"")</f>
        <v/>
      </c>
    </row>
    <row r="1314">
      <c r="I1314">
        <f>IFERROR(SUMIF(A$6:A1314,"&lt;&gt;""",G$6:G1314)-SUMIF(A$6:A1314,"&lt;&gt;""",H$6:H1314),"")</f>
        <v/>
      </c>
    </row>
    <row r="1315">
      <c r="I1315">
        <f>IFERROR(SUMIF(A$6:A1315,"&lt;&gt;""",G$6:G1315)-SUMIF(A$6:A1315,"&lt;&gt;""",H$6:H1315),"")</f>
        <v/>
      </c>
    </row>
    <row r="1316">
      <c r="I1316">
        <f>IFERROR(SUMIF(A$6:A1316,"&lt;&gt;""",G$6:G1316)-SUMIF(A$6:A1316,"&lt;&gt;""",H$6:H1316),"")</f>
        <v/>
      </c>
    </row>
    <row r="1317">
      <c r="I1317">
        <f>IFERROR(SUMIF(A$6:A1317,"&lt;&gt;""",G$6:G1317)-SUMIF(A$6:A1317,"&lt;&gt;""",H$6:H1317),"")</f>
        <v/>
      </c>
    </row>
    <row r="1318">
      <c r="I1318">
        <f>IFERROR(SUMIF(A$6:A1318,"&lt;&gt;""",G$6:G1318)-SUMIF(A$6:A1318,"&lt;&gt;""",H$6:H1318),"")</f>
        <v/>
      </c>
    </row>
    <row r="1319">
      <c r="I1319">
        <f>IFERROR(SUMIF(A$6:A1319,"&lt;&gt;""",G$6:G1319)-SUMIF(A$6:A1319,"&lt;&gt;""",H$6:H1319),"")</f>
        <v/>
      </c>
    </row>
    <row r="1320">
      <c r="I1320">
        <f>IFERROR(SUMIF(A$6:A1320,"&lt;&gt;""",G$6:G1320)-SUMIF(A$6:A1320,"&lt;&gt;""",H$6:H1320),"")</f>
        <v/>
      </c>
    </row>
    <row r="1321">
      <c r="I1321">
        <f>IFERROR(SUMIF(A$6:A1321,"&lt;&gt;""",G$6:G1321)-SUMIF(A$6:A1321,"&lt;&gt;""",H$6:H1321),"")</f>
        <v/>
      </c>
    </row>
    <row r="1322">
      <c r="I1322">
        <f>IFERROR(SUMIF(A$6:A1322,"&lt;&gt;""",G$6:G1322)-SUMIF(A$6:A1322,"&lt;&gt;""",H$6:H1322),"")</f>
        <v/>
      </c>
    </row>
    <row r="1323">
      <c r="I1323">
        <f>IFERROR(SUMIF(A$6:A1323,"&lt;&gt;""",G$6:G1323)-SUMIF(A$6:A1323,"&lt;&gt;""",H$6:H1323),"")</f>
        <v/>
      </c>
    </row>
    <row r="1324">
      <c r="I1324">
        <f>IFERROR(SUMIF(A$6:A1324,"&lt;&gt;""",G$6:G1324)-SUMIF(A$6:A1324,"&lt;&gt;""",H$6:H1324),"")</f>
        <v/>
      </c>
    </row>
    <row r="1325">
      <c r="I1325">
        <f>IFERROR(SUMIF(A$6:A1325,"&lt;&gt;""",G$6:G1325)-SUMIF(A$6:A1325,"&lt;&gt;""",H$6:H1325),"")</f>
        <v/>
      </c>
    </row>
    <row r="1326">
      <c r="I1326">
        <f>IFERROR(SUMIF(A$6:A1326,"&lt;&gt;""",G$6:G1326)-SUMIF(A$6:A1326,"&lt;&gt;""",H$6:H1326),"")</f>
        <v/>
      </c>
    </row>
    <row r="1327">
      <c r="I1327">
        <f>IFERROR(SUMIF(A$6:A1327,"&lt;&gt;""",G$6:G1327)-SUMIF(A$6:A1327,"&lt;&gt;""",H$6:H1327),"")</f>
        <v/>
      </c>
    </row>
    <row r="1328">
      <c r="I1328">
        <f>IFERROR(SUMIF(A$6:A1328,"&lt;&gt;""",G$6:G1328)-SUMIF(A$6:A1328,"&lt;&gt;""",H$6:H1328),"")</f>
        <v/>
      </c>
    </row>
    <row r="1329">
      <c r="I1329">
        <f>IFERROR(SUMIF(A$6:A1329,"&lt;&gt;""",G$6:G1329)-SUMIF(A$6:A1329,"&lt;&gt;""",H$6:H1329),"")</f>
        <v/>
      </c>
    </row>
    <row r="1330">
      <c r="I1330">
        <f>IFERROR(SUMIF(A$6:A1330,"&lt;&gt;""",G$6:G1330)-SUMIF(A$6:A1330,"&lt;&gt;""",H$6:H1330),"")</f>
        <v/>
      </c>
    </row>
    <row r="1331">
      <c r="I1331">
        <f>IFERROR(SUMIF(A$6:A1331,"&lt;&gt;""",G$6:G1331)-SUMIF(A$6:A1331,"&lt;&gt;""",H$6:H1331),"")</f>
        <v/>
      </c>
    </row>
    <row r="1332">
      <c r="I1332">
        <f>IFERROR(SUMIF(A$6:A1332,"&lt;&gt;""",G$6:G1332)-SUMIF(A$6:A1332,"&lt;&gt;""",H$6:H1332),"")</f>
        <v/>
      </c>
    </row>
    <row r="1333">
      <c r="I1333">
        <f>IFERROR(SUMIF(A$6:A1333,"&lt;&gt;""",G$6:G1333)-SUMIF(A$6:A1333,"&lt;&gt;""",H$6:H1333),"")</f>
        <v/>
      </c>
    </row>
    <row r="1334">
      <c r="I1334">
        <f>IFERROR(SUMIF(A$6:A1334,"&lt;&gt;""",G$6:G1334)-SUMIF(A$6:A1334,"&lt;&gt;""",H$6:H1334),"")</f>
        <v/>
      </c>
    </row>
    <row r="1335">
      <c r="I1335">
        <f>IFERROR(SUMIF(A$6:A1335,"&lt;&gt;""",G$6:G1335)-SUMIF(A$6:A1335,"&lt;&gt;""",H$6:H1335),"")</f>
        <v/>
      </c>
    </row>
    <row r="1336">
      <c r="I1336">
        <f>IFERROR(SUMIF(A$6:A1336,"&lt;&gt;""",G$6:G1336)-SUMIF(A$6:A1336,"&lt;&gt;""",H$6:H1336),"")</f>
        <v/>
      </c>
    </row>
    <row r="1337">
      <c r="I1337">
        <f>IFERROR(SUMIF(A$6:A1337,"&lt;&gt;""",G$6:G1337)-SUMIF(A$6:A1337,"&lt;&gt;""",H$6:H1337),"")</f>
        <v/>
      </c>
    </row>
    <row r="1338">
      <c r="I1338">
        <f>IFERROR(SUMIF(A$6:A1338,"&lt;&gt;""",G$6:G1338)-SUMIF(A$6:A1338,"&lt;&gt;""",H$6:H1338),"")</f>
        <v/>
      </c>
    </row>
    <row r="1339">
      <c r="I1339">
        <f>IFERROR(SUMIF(A$6:A1339,"&lt;&gt;""",G$6:G1339)-SUMIF(A$6:A1339,"&lt;&gt;""",H$6:H1339),"")</f>
        <v/>
      </c>
    </row>
    <row r="1340">
      <c r="I1340">
        <f>IFERROR(SUMIF(A$6:A1340,"&lt;&gt;""",G$6:G1340)-SUMIF(A$6:A1340,"&lt;&gt;""",H$6:H1340),"")</f>
        <v/>
      </c>
    </row>
    <row r="1341">
      <c r="I1341">
        <f>IFERROR(SUMIF(A$6:A1341,"&lt;&gt;""",G$6:G1341)-SUMIF(A$6:A1341,"&lt;&gt;""",H$6:H1341),"")</f>
        <v/>
      </c>
    </row>
    <row r="1342">
      <c r="I1342">
        <f>IFERROR(SUMIF(A$6:A1342,"&lt;&gt;""",G$6:G1342)-SUMIF(A$6:A1342,"&lt;&gt;""",H$6:H1342),"")</f>
        <v/>
      </c>
    </row>
    <row r="1343">
      <c r="I1343">
        <f>IFERROR(SUMIF(A$6:A1343,"&lt;&gt;""",G$6:G1343)-SUMIF(A$6:A1343,"&lt;&gt;""",H$6:H1343),"")</f>
        <v/>
      </c>
    </row>
    <row r="1344">
      <c r="I1344">
        <f>IFERROR(SUMIF(A$6:A1344,"&lt;&gt;""",G$6:G1344)-SUMIF(A$6:A1344,"&lt;&gt;""",H$6:H1344),"")</f>
        <v/>
      </c>
    </row>
    <row r="1345">
      <c r="I1345">
        <f>IFERROR(SUMIF(A$6:A1345,"&lt;&gt;""",G$6:G1345)-SUMIF(A$6:A1345,"&lt;&gt;""",H$6:H1345),"")</f>
        <v/>
      </c>
    </row>
    <row r="1346">
      <c r="I1346">
        <f>IFERROR(SUMIF(A$6:A1346,"&lt;&gt;""",G$6:G1346)-SUMIF(A$6:A1346,"&lt;&gt;""",H$6:H1346),"")</f>
        <v/>
      </c>
    </row>
    <row r="1347">
      <c r="I1347">
        <f>IFERROR(SUMIF(A$6:A1347,"&lt;&gt;""",G$6:G1347)-SUMIF(A$6:A1347,"&lt;&gt;""",H$6:H1347),"")</f>
        <v/>
      </c>
    </row>
    <row r="1348">
      <c r="I1348">
        <f>IFERROR(SUMIF(A$6:A1348,"&lt;&gt;""",G$6:G1348)-SUMIF(A$6:A1348,"&lt;&gt;""",H$6:H1348),"")</f>
        <v/>
      </c>
    </row>
    <row r="1349">
      <c r="I1349">
        <f>IFERROR(SUMIF(A$6:A1349,"&lt;&gt;""",G$6:G1349)-SUMIF(A$6:A1349,"&lt;&gt;""",H$6:H1349),"")</f>
        <v/>
      </c>
    </row>
    <row r="1350">
      <c r="I1350">
        <f>IFERROR(SUMIF(A$6:A1350,"&lt;&gt;""",G$6:G1350)-SUMIF(A$6:A1350,"&lt;&gt;""",H$6:H1350),"")</f>
        <v/>
      </c>
    </row>
    <row r="1351">
      <c r="I1351">
        <f>IFERROR(SUMIF(A$6:A1351,"&lt;&gt;""",G$6:G1351)-SUMIF(A$6:A1351,"&lt;&gt;""",H$6:H1351),"")</f>
        <v/>
      </c>
    </row>
    <row r="1352">
      <c r="I1352">
        <f>IFERROR(SUMIF(A$6:A1352,"&lt;&gt;""",G$6:G1352)-SUMIF(A$6:A1352,"&lt;&gt;""",H$6:H1352),"")</f>
        <v/>
      </c>
    </row>
    <row r="1353">
      <c r="I1353">
        <f>IFERROR(SUMIF(A$6:A1353,"&lt;&gt;""",G$6:G1353)-SUMIF(A$6:A1353,"&lt;&gt;""",H$6:H1353),"")</f>
        <v/>
      </c>
    </row>
    <row r="1354">
      <c r="I1354">
        <f>IFERROR(SUMIF(A$6:A1354,"&lt;&gt;""",G$6:G1354)-SUMIF(A$6:A1354,"&lt;&gt;""",H$6:H1354),"")</f>
        <v/>
      </c>
    </row>
    <row r="1355">
      <c r="I1355">
        <f>IFERROR(SUMIF(A$6:A1355,"&lt;&gt;""",G$6:G1355)-SUMIF(A$6:A1355,"&lt;&gt;""",H$6:H1355),"")</f>
        <v/>
      </c>
    </row>
    <row r="1356">
      <c r="I1356">
        <f>IFERROR(SUMIF(A$6:A1356,"&lt;&gt;""",G$6:G1356)-SUMIF(A$6:A1356,"&lt;&gt;""",H$6:H1356),"")</f>
        <v/>
      </c>
    </row>
    <row r="1357">
      <c r="I1357">
        <f>IFERROR(SUMIF(A$6:A1357,"&lt;&gt;""",G$6:G1357)-SUMIF(A$6:A1357,"&lt;&gt;""",H$6:H1357),"")</f>
        <v/>
      </c>
    </row>
    <row r="1358">
      <c r="I1358">
        <f>IFERROR(SUMIF(A$6:A1358,"&lt;&gt;""",G$6:G1358)-SUMIF(A$6:A1358,"&lt;&gt;""",H$6:H1358),"")</f>
        <v/>
      </c>
    </row>
    <row r="1359">
      <c r="I1359">
        <f>IFERROR(SUMIF(A$6:A1359,"&lt;&gt;""",G$6:G1359)-SUMIF(A$6:A1359,"&lt;&gt;""",H$6:H1359),"")</f>
        <v/>
      </c>
    </row>
    <row r="1360">
      <c r="I1360">
        <f>IFERROR(SUMIF(A$6:A1360,"&lt;&gt;""",G$6:G1360)-SUMIF(A$6:A1360,"&lt;&gt;""",H$6:H1360),"")</f>
        <v/>
      </c>
    </row>
    <row r="1361">
      <c r="I1361">
        <f>IFERROR(SUMIF(A$6:A1361,"&lt;&gt;""",G$6:G1361)-SUMIF(A$6:A1361,"&lt;&gt;""",H$6:H1361),"")</f>
        <v/>
      </c>
    </row>
    <row r="1362">
      <c r="I1362">
        <f>IFERROR(SUMIF(A$6:A1362,"&lt;&gt;""",G$6:G1362)-SUMIF(A$6:A1362,"&lt;&gt;""",H$6:H1362),"")</f>
        <v/>
      </c>
    </row>
    <row r="1363">
      <c r="I1363">
        <f>IFERROR(SUMIF(A$6:A1363,"&lt;&gt;""",G$6:G1363)-SUMIF(A$6:A1363,"&lt;&gt;""",H$6:H1363),"")</f>
        <v/>
      </c>
    </row>
    <row r="1364">
      <c r="I1364">
        <f>IFERROR(SUMIF(A$6:A1364,"&lt;&gt;""",G$6:G1364)-SUMIF(A$6:A1364,"&lt;&gt;""",H$6:H1364),"")</f>
        <v/>
      </c>
    </row>
    <row r="1365">
      <c r="I1365">
        <f>IFERROR(SUMIF(A$6:A1365,"&lt;&gt;""",G$6:G1365)-SUMIF(A$6:A1365,"&lt;&gt;""",H$6:H1365),"")</f>
        <v/>
      </c>
    </row>
    <row r="1366">
      <c r="I1366">
        <f>IFERROR(SUMIF(A$6:A1366,"&lt;&gt;""",G$6:G1366)-SUMIF(A$6:A1366,"&lt;&gt;""",H$6:H1366),"")</f>
        <v/>
      </c>
    </row>
    <row r="1367">
      <c r="I1367">
        <f>IFERROR(SUMIF(A$6:A1367,"&lt;&gt;""",G$6:G1367)-SUMIF(A$6:A1367,"&lt;&gt;""",H$6:H1367),"")</f>
        <v/>
      </c>
    </row>
    <row r="1368">
      <c r="I1368">
        <f>IFERROR(SUMIF(A$6:A1368,"&lt;&gt;""",G$6:G1368)-SUMIF(A$6:A1368,"&lt;&gt;""",H$6:H1368),"")</f>
        <v/>
      </c>
    </row>
    <row r="1369">
      <c r="I1369">
        <f>IFERROR(SUMIF(A$6:A1369,"&lt;&gt;""",G$6:G1369)-SUMIF(A$6:A1369,"&lt;&gt;""",H$6:H1369),"")</f>
        <v/>
      </c>
    </row>
    <row r="1370">
      <c r="I1370">
        <f>IFERROR(SUMIF(A$6:A1370,"&lt;&gt;""",G$6:G1370)-SUMIF(A$6:A1370,"&lt;&gt;""",H$6:H1370),"")</f>
        <v/>
      </c>
    </row>
    <row r="1371">
      <c r="I1371">
        <f>IFERROR(SUMIF(A$6:A1371,"&lt;&gt;""",G$6:G1371)-SUMIF(A$6:A1371,"&lt;&gt;""",H$6:H1371),"")</f>
        <v/>
      </c>
    </row>
    <row r="1372">
      <c r="I1372">
        <f>IFERROR(SUMIF(A$6:A1372,"&lt;&gt;""",G$6:G1372)-SUMIF(A$6:A1372,"&lt;&gt;""",H$6:H1372),"")</f>
        <v/>
      </c>
    </row>
    <row r="1373">
      <c r="I1373">
        <f>IFERROR(SUMIF(A$6:A1373,"&lt;&gt;""",G$6:G1373)-SUMIF(A$6:A1373,"&lt;&gt;""",H$6:H1373),"")</f>
        <v/>
      </c>
    </row>
    <row r="1374">
      <c r="I1374">
        <f>IFERROR(SUMIF(A$6:A1374,"&lt;&gt;""",G$6:G1374)-SUMIF(A$6:A1374,"&lt;&gt;""",H$6:H1374),"")</f>
        <v/>
      </c>
    </row>
    <row r="1375">
      <c r="I1375">
        <f>IFERROR(SUMIF(A$6:A1375,"&lt;&gt;""",G$6:G1375)-SUMIF(A$6:A1375,"&lt;&gt;""",H$6:H1375),"")</f>
        <v/>
      </c>
    </row>
    <row r="1376">
      <c r="I1376">
        <f>IFERROR(SUMIF(A$6:A1376,"&lt;&gt;""",G$6:G1376)-SUMIF(A$6:A1376,"&lt;&gt;""",H$6:H1376),"")</f>
        <v/>
      </c>
    </row>
    <row r="1377">
      <c r="I1377">
        <f>IFERROR(SUMIF(A$6:A1377,"&lt;&gt;""",G$6:G1377)-SUMIF(A$6:A1377,"&lt;&gt;""",H$6:H1377),"")</f>
        <v/>
      </c>
    </row>
    <row r="1378">
      <c r="I1378">
        <f>IFERROR(SUMIF(A$6:A1378,"&lt;&gt;""",G$6:G1378)-SUMIF(A$6:A1378,"&lt;&gt;""",H$6:H1378),"")</f>
        <v/>
      </c>
    </row>
    <row r="1379">
      <c r="I1379">
        <f>IFERROR(SUMIF(A$6:A1379,"&lt;&gt;""",G$6:G1379)-SUMIF(A$6:A1379,"&lt;&gt;""",H$6:H1379),"")</f>
        <v/>
      </c>
    </row>
    <row r="1380">
      <c r="I1380">
        <f>IFERROR(SUMIF(A$6:A1380,"&lt;&gt;""",G$6:G1380)-SUMIF(A$6:A1380,"&lt;&gt;""",H$6:H1380),"")</f>
        <v/>
      </c>
    </row>
    <row r="1381">
      <c r="I1381">
        <f>IFERROR(SUMIF(A$6:A1381,"&lt;&gt;""",G$6:G1381)-SUMIF(A$6:A1381,"&lt;&gt;""",H$6:H1381),"")</f>
        <v/>
      </c>
    </row>
    <row r="1382">
      <c r="I1382">
        <f>IFERROR(SUMIF(A$6:A1382,"&lt;&gt;""",G$6:G1382)-SUMIF(A$6:A1382,"&lt;&gt;""",H$6:H1382),"")</f>
        <v/>
      </c>
    </row>
    <row r="1383">
      <c r="I1383">
        <f>IFERROR(SUMIF(A$6:A1383,"&lt;&gt;""",G$6:G1383)-SUMIF(A$6:A1383,"&lt;&gt;""",H$6:H1383),"")</f>
        <v/>
      </c>
    </row>
    <row r="1384">
      <c r="I1384">
        <f>IFERROR(SUMIF(A$6:A1384,"&lt;&gt;""",G$6:G1384)-SUMIF(A$6:A1384,"&lt;&gt;""",H$6:H1384),"")</f>
        <v/>
      </c>
    </row>
    <row r="1385">
      <c r="I1385">
        <f>IFERROR(SUMIF(A$6:A1385,"&lt;&gt;""",G$6:G1385)-SUMIF(A$6:A1385,"&lt;&gt;""",H$6:H1385),"")</f>
        <v/>
      </c>
    </row>
    <row r="1386">
      <c r="I1386">
        <f>IFERROR(SUMIF(A$6:A1386,"&lt;&gt;""",G$6:G1386)-SUMIF(A$6:A1386,"&lt;&gt;""",H$6:H1386),"")</f>
        <v/>
      </c>
    </row>
    <row r="1387">
      <c r="I1387">
        <f>IFERROR(SUMIF(A$6:A1387,"&lt;&gt;""",G$6:G1387)-SUMIF(A$6:A1387,"&lt;&gt;""",H$6:H1387),"")</f>
        <v/>
      </c>
    </row>
    <row r="1388">
      <c r="I1388">
        <f>IFERROR(SUMIF(A$6:A1388,"&lt;&gt;""",G$6:G1388)-SUMIF(A$6:A1388,"&lt;&gt;""",H$6:H1388),"")</f>
        <v/>
      </c>
    </row>
    <row r="1389">
      <c r="I1389">
        <f>IFERROR(SUMIF(A$6:A1389,"&lt;&gt;""",G$6:G1389)-SUMIF(A$6:A1389,"&lt;&gt;""",H$6:H1389),"")</f>
        <v/>
      </c>
    </row>
    <row r="1390">
      <c r="I1390">
        <f>IFERROR(SUMIF(A$6:A1390,"&lt;&gt;""",G$6:G1390)-SUMIF(A$6:A1390,"&lt;&gt;""",H$6:H1390),"")</f>
        <v/>
      </c>
    </row>
    <row r="1391">
      <c r="I1391">
        <f>IFERROR(SUMIF(A$6:A1391,"&lt;&gt;""",G$6:G1391)-SUMIF(A$6:A1391,"&lt;&gt;""",H$6:H1391),"")</f>
        <v/>
      </c>
    </row>
    <row r="1392">
      <c r="I1392">
        <f>IFERROR(SUMIF(A$6:A1392,"&lt;&gt;""",G$6:G1392)-SUMIF(A$6:A1392,"&lt;&gt;""",H$6:H1392),"")</f>
        <v/>
      </c>
    </row>
    <row r="1393">
      <c r="I1393">
        <f>IFERROR(SUMIF(A$6:A1393,"&lt;&gt;""",G$6:G1393)-SUMIF(A$6:A1393,"&lt;&gt;""",H$6:H1393),"")</f>
        <v/>
      </c>
    </row>
    <row r="1394">
      <c r="I1394">
        <f>IFERROR(SUMIF(A$6:A1394,"&lt;&gt;""",G$6:G1394)-SUMIF(A$6:A1394,"&lt;&gt;""",H$6:H1394),"")</f>
        <v/>
      </c>
    </row>
    <row r="1395">
      <c r="I1395">
        <f>IFERROR(SUMIF(A$6:A1395,"&lt;&gt;""",G$6:G1395)-SUMIF(A$6:A1395,"&lt;&gt;""",H$6:H1395),"")</f>
        <v/>
      </c>
    </row>
    <row r="1396">
      <c r="I1396">
        <f>IFERROR(SUMIF(A$6:A1396,"&lt;&gt;""",G$6:G1396)-SUMIF(A$6:A1396,"&lt;&gt;""",H$6:H1396),"")</f>
        <v/>
      </c>
    </row>
    <row r="1397">
      <c r="I1397">
        <f>IFERROR(SUMIF(A$6:A1397,"&lt;&gt;""",G$6:G1397)-SUMIF(A$6:A1397,"&lt;&gt;""",H$6:H1397),"")</f>
        <v/>
      </c>
    </row>
    <row r="1398">
      <c r="I1398">
        <f>IFERROR(SUMIF(A$6:A1398,"&lt;&gt;""",G$6:G1398)-SUMIF(A$6:A1398,"&lt;&gt;""",H$6:H1398),"")</f>
        <v/>
      </c>
    </row>
    <row r="1399">
      <c r="I1399">
        <f>IFERROR(SUMIF(A$6:A1399,"&lt;&gt;""",G$6:G1399)-SUMIF(A$6:A1399,"&lt;&gt;""",H$6:H1399),"")</f>
        <v/>
      </c>
    </row>
    <row r="1400">
      <c r="I1400">
        <f>IFERROR(SUMIF(A$6:A1400,"&lt;&gt;""",G$6:G1400)-SUMIF(A$6:A1400,"&lt;&gt;""",H$6:H1400),"")</f>
        <v/>
      </c>
    </row>
    <row r="1401">
      <c r="I1401">
        <f>IFERROR(SUMIF(A$6:A1401,"&lt;&gt;""",G$6:G1401)-SUMIF(A$6:A1401,"&lt;&gt;""",H$6:H1401),"")</f>
        <v/>
      </c>
    </row>
    <row r="1402">
      <c r="I1402">
        <f>IFERROR(SUMIF(A$6:A1402,"&lt;&gt;""",G$6:G1402)-SUMIF(A$6:A1402,"&lt;&gt;""",H$6:H1402),"")</f>
        <v/>
      </c>
    </row>
    <row r="1403">
      <c r="I1403">
        <f>IFERROR(SUMIF(A$6:A1403,"&lt;&gt;""",G$6:G1403)-SUMIF(A$6:A1403,"&lt;&gt;""",H$6:H1403),"")</f>
        <v/>
      </c>
    </row>
    <row r="1404">
      <c r="I1404">
        <f>IFERROR(SUMIF(A$6:A1404,"&lt;&gt;""",G$6:G1404)-SUMIF(A$6:A1404,"&lt;&gt;""",H$6:H1404),"")</f>
        <v/>
      </c>
    </row>
    <row r="1405">
      <c r="I1405">
        <f>IFERROR(SUMIF(A$6:A1405,"&lt;&gt;""",G$6:G1405)-SUMIF(A$6:A1405,"&lt;&gt;""",H$6:H1405),"")</f>
        <v/>
      </c>
    </row>
    <row r="1406">
      <c r="I1406">
        <f>IFERROR(SUMIF(A$6:A1406,"&lt;&gt;""",G$6:G1406)-SUMIF(A$6:A1406,"&lt;&gt;""",H$6:H1406),"")</f>
        <v/>
      </c>
    </row>
    <row r="1407">
      <c r="I1407">
        <f>IFERROR(SUMIF(A$6:A1407,"&lt;&gt;""",G$6:G1407)-SUMIF(A$6:A1407,"&lt;&gt;""",H$6:H1407),"")</f>
        <v/>
      </c>
    </row>
    <row r="1408">
      <c r="I1408">
        <f>IFERROR(SUMIF(A$6:A1408,"&lt;&gt;""",G$6:G1408)-SUMIF(A$6:A1408,"&lt;&gt;""",H$6:H1408),"")</f>
        <v/>
      </c>
    </row>
    <row r="1409">
      <c r="I1409">
        <f>IFERROR(SUMIF(A$6:A1409,"&lt;&gt;""",G$6:G1409)-SUMIF(A$6:A1409,"&lt;&gt;""",H$6:H1409),"")</f>
        <v/>
      </c>
    </row>
    <row r="1410">
      <c r="I1410">
        <f>IFERROR(SUMIF(A$6:A1410,"&lt;&gt;""",G$6:G1410)-SUMIF(A$6:A1410,"&lt;&gt;""",H$6:H1410),"")</f>
        <v/>
      </c>
    </row>
    <row r="1411">
      <c r="I1411">
        <f>IFERROR(SUMIF(A$6:A1411,"&lt;&gt;""",G$6:G1411)-SUMIF(A$6:A1411,"&lt;&gt;""",H$6:H1411),"")</f>
        <v/>
      </c>
    </row>
    <row r="1412">
      <c r="I1412">
        <f>IFERROR(SUMIF(A$6:A1412,"&lt;&gt;""",G$6:G1412)-SUMIF(A$6:A1412,"&lt;&gt;""",H$6:H1412),"")</f>
        <v/>
      </c>
    </row>
    <row r="1413">
      <c r="I1413">
        <f>IFERROR(SUMIF(A$6:A1413,"&lt;&gt;""",G$6:G1413)-SUMIF(A$6:A1413,"&lt;&gt;""",H$6:H1413),"")</f>
        <v/>
      </c>
    </row>
    <row r="1414">
      <c r="I1414">
        <f>IFERROR(SUMIF(A$6:A1414,"&lt;&gt;""",G$6:G1414)-SUMIF(A$6:A1414,"&lt;&gt;""",H$6:H1414),"")</f>
        <v/>
      </c>
    </row>
    <row r="1415">
      <c r="I1415">
        <f>IFERROR(SUMIF(A$6:A1415,"&lt;&gt;""",G$6:G1415)-SUMIF(A$6:A1415,"&lt;&gt;""",H$6:H1415),"")</f>
        <v/>
      </c>
    </row>
    <row r="1416">
      <c r="I1416">
        <f>IFERROR(SUMIF(A$6:A1416,"&lt;&gt;""",G$6:G1416)-SUMIF(A$6:A1416,"&lt;&gt;""",H$6:H1416),"")</f>
        <v/>
      </c>
    </row>
    <row r="1417">
      <c r="I1417">
        <f>IFERROR(SUMIF(A$6:A1417,"&lt;&gt;""",G$6:G1417)-SUMIF(A$6:A1417,"&lt;&gt;""",H$6:H1417),"")</f>
        <v/>
      </c>
    </row>
    <row r="1418">
      <c r="I1418">
        <f>IFERROR(SUMIF(A$6:A1418,"&lt;&gt;""",G$6:G1418)-SUMIF(A$6:A1418,"&lt;&gt;""",H$6:H1418),"")</f>
        <v/>
      </c>
    </row>
    <row r="1419">
      <c r="I1419">
        <f>IFERROR(SUMIF(A$6:A1419,"&lt;&gt;""",G$6:G1419)-SUMIF(A$6:A1419,"&lt;&gt;""",H$6:H1419),"")</f>
        <v/>
      </c>
    </row>
    <row r="1420">
      <c r="I1420">
        <f>IFERROR(SUMIF(A$6:A1420,"&lt;&gt;""",G$6:G1420)-SUMIF(A$6:A1420,"&lt;&gt;""",H$6:H1420),"")</f>
        <v/>
      </c>
    </row>
    <row r="1421">
      <c r="I1421">
        <f>IFERROR(SUMIF(A$6:A1421,"&lt;&gt;""",G$6:G1421)-SUMIF(A$6:A1421,"&lt;&gt;""",H$6:H1421),"")</f>
        <v/>
      </c>
    </row>
    <row r="1422">
      <c r="I1422">
        <f>IFERROR(SUMIF(A$6:A1422,"&lt;&gt;""",G$6:G1422)-SUMIF(A$6:A1422,"&lt;&gt;""",H$6:H1422),"")</f>
        <v/>
      </c>
    </row>
    <row r="1423">
      <c r="I1423">
        <f>IFERROR(SUMIF(A$6:A1423,"&lt;&gt;""",G$6:G1423)-SUMIF(A$6:A1423,"&lt;&gt;""",H$6:H1423),"")</f>
        <v/>
      </c>
    </row>
    <row r="1424">
      <c r="I1424">
        <f>IFERROR(SUMIF(A$6:A1424,"&lt;&gt;""",G$6:G1424)-SUMIF(A$6:A1424,"&lt;&gt;""",H$6:H1424),"")</f>
        <v/>
      </c>
    </row>
    <row r="1425">
      <c r="I1425">
        <f>IFERROR(SUMIF(A$6:A1425,"&lt;&gt;""",G$6:G1425)-SUMIF(A$6:A1425,"&lt;&gt;""",H$6:H1425),"")</f>
        <v/>
      </c>
    </row>
    <row r="1426">
      <c r="I1426">
        <f>IFERROR(SUMIF(A$6:A1426,"&lt;&gt;""",G$6:G1426)-SUMIF(A$6:A1426,"&lt;&gt;""",H$6:H1426),"")</f>
        <v/>
      </c>
    </row>
    <row r="1427">
      <c r="I1427">
        <f>IFERROR(SUMIF(A$6:A1427,"&lt;&gt;""",G$6:G1427)-SUMIF(A$6:A1427,"&lt;&gt;""",H$6:H1427),"")</f>
        <v/>
      </c>
    </row>
    <row r="1428">
      <c r="I1428">
        <f>IFERROR(SUMIF(A$6:A1428,"&lt;&gt;""",G$6:G1428)-SUMIF(A$6:A1428,"&lt;&gt;""",H$6:H1428),"")</f>
        <v/>
      </c>
    </row>
    <row r="1429">
      <c r="I1429">
        <f>IFERROR(SUMIF(A$6:A1429,"&lt;&gt;""",G$6:G1429)-SUMIF(A$6:A1429,"&lt;&gt;""",H$6:H1429),"")</f>
        <v/>
      </c>
    </row>
    <row r="1430">
      <c r="I1430">
        <f>IFERROR(SUMIF(A$6:A1430,"&lt;&gt;""",G$6:G1430)-SUMIF(A$6:A1430,"&lt;&gt;""",H$6:H1430),"")</f>
        <v/>
      </c>
    </row>
    <row r="1431">
      <c r="I1431">
        <f>IFERROR(SUMIF(A$6:A1431,"&lt;&gt;""",G$6:G1431)-SUMIF(A$6:A1431,"&lt;&gt;""",H$6:H1431),"")</f>
        <v/>
      </c>
    </row>
    <row r="1432">
      <c r="I1432">
        <f>IFERROR(SUMIF(A$6:A1432,"&lt;&gt;""",G$6:G1432)-SUMIF(A$6:A1432,"&lt;&gt;""",H$6:H1432),"")</f>
        <v/>
      </c>
    </row>
    <row r="1433">
      <c r="I1433">
        <f>IFERROR(SUMIF(A$6:A1433,"&lt;&gt;""",G$6:G1433)-SUMIF(A$6:A1433,"&lt;&gt;""",H$6:H1433),"")</f>
        <v/>
      </c>
    </row>
    <row r="1434">
      <c r="I1434">
        <f>IFERROR(SUMIF(A$6:A1434,"&lt;&gt;""",G$6:G1434)-SUMIF(A$6:A1434,"&lt;&gt;""",H$6:H1434),"")</f>
        <v/>
      </c>
    </row>
    <row r="1435">
      <c r="I1435">
        <f>IFERROR(SUMIF(A$6:A1435,"&lt;&gt;""",G$6:G1435)-SUMIF(A$6:A1435,"&lt;&gt;""",H$6:H1435),"")</f>
        <v/>
      </c>
    </row>
    <row r="1436">
      <c r="I1436">
        <f>IFERROR(SUMIF(A$6:A1436,"&lt;&gt;""",G$6:G1436)-SUMIF(A$6:A1436,"&lt;&gt;""",H$6:H1436),"")</f>
        <v/>
      </c>
    </row>
    <row r="1437">
      <c r="I1437">
        <f>IFERROR(SUMIF(A$6:A1437,"&lt;&gt;""",G$6:G1437)-SUMIF(A$6:A1437,"&lt;&gt;""",H$6:H1437),"")</f>
        <v/>
      </c>
    </row>
    <row r="1438">
      <c r="I1438">
        <f>IFERROR(SUMIF(A$6:A1438,"&lt;&gt;""",G$6:G1438)-SUMIF(A$6:A1438,"&lt;&gt;""",H$6:H1438),"")</f>
        <v/>
      </c>
    </row>
    <row r="1439">
      <c r="I1439">
        <f>IFERROR(SUMIF(A$6:A1439,"&lt;&gt;""",G$6:G1439)-SUMIF(A$6:A1439,"&lt;&gt;""",H$6:H1439),"")</f>
        <v/>
      </c>
    </row>
    <row r="1440">
      <c r="I1440">
        <f>IFERROR(SUMIF(A$6:A1440,"&lt;&gt;""",G$6:G1440)-SUMIF(A$6:A1440,"&lt;&gt;""",H$6:H1440),"")</f>
        <v/>
      </c>
    </row>
    <row r="1441">
      <c r="I1441">
        <f>IFERROR(SUMIF(A$6:A1441,"&lt;&gt;""",G$6:G1441)-SUMIF(A$6:A1441,"&lt;&gt;""",H$6:H1441),"")</f>
        <v/>
      </c>
    </row>
    <row r="1442">
      <c r="I1442">
        <f>IFERROR(SUMIF(A$6:A1442,"&lt;&gt;""",G$6:G1442)-SUMIF(A$6:A1442,"&lt;&gt;""",H$6:H1442),"")</f>
        <v/>
      </c>
    </row>
    <row r="1443">
      <c r="I1443">
        <f>IFERROR(SUMIF(A$6:A1443,"&lt;&gt;""",G$6:G1443)-SUMIF(A$6:A1443,"&lt;&gt;""",H$6:H1443),"")</f>
        <v/>
      </c>
    </row>
    <row r="1444">
      <c r="I1444">
        <f>IFERROR(SUMIF(A$6:A1444,"&lt;&gt;""",G$6:G1444)-SUMIF(A$6:A1444,"&lt;&gt;""",H$6:H1444),"")</f>
        <v/>
      </c>
    </row>
    <row r="1445">
      <c r="I1445">
        <f>IFERROR(SUMIF(A$6:A1445,"&lt;&gt;""",G$6:G1445)-SUMIF(A$6:A1445,"&lt;&gt;""",H$6:H1445),"")</f>
        <v/>
      </c>
    </row>
    <row r="1446">
      <c r="I1446">
        <f>IFERROR(SUMIF(A$6:A1446,"&lt;&gt;""",G$6:G1446)-SUMIF(A$6:A1446,"&lt;&gt;""",H$6:H1446),"")</f>
        <v/>
      </c>
    </row>
    <row r="1447">
      <c r="I1447">
        <f>IFERROR(SUMIF(A$6:A1447,"&lt;&gt;""",G$6:G1447)-SUMIF(A$6:A1447,"&lt;&gt;""",H$6:H1447),"")</f>
        <v/>
      </c>
    </row>
    <row r="1448">
      <c r="I1448">
        <f>IFERROR(SUMIF(A$6:A1448,"&lt;&gt;""",G$6:G1448)-SUMIF(A$6:A1448,"&lt;&gt;""",H$6:H1448),"")</f>
        <v/>
      </c>
    </row>
    <row r="1449">
      <c r="I1449">
        <f>IFERROR(SUMIF(A$6:A1449,"&lt;&gt;""",G$6:G1449)-SUMIF(A$6:A1449,"&lt;&gt;""",H$6:H1449),"")</f>
        <v/>
      </c>
    </row>
    <row r="1450">
      <c r="I1450">
        <f>IFERROR(SUMIF(A$6:A1450,"&lt;&gt;""",G$6:G1450)-SUMIF(A$6:A1450,"&lt;&gt;""",H$6:H1450),"")</f>
        <v/>
      </c>
    </row>
    <row r="1451">
      <c r="I1451">
        <f>IFERROR(SUMIF(A$6:A1451,"&lt;&gt;""",G$6:G1451)-SUMIF(A$6:A1451,"&lt;&gt;""",H$6:H1451),"")</f>
        <v/>
      </c>
    </row>
    <row r="1452">
      <c r="I1452">
        <f>IFERROR(SUMIF(A$6:A1452,"&lt;&gt;""",G$6:G1452)-SUMIF(A$6:A1452,"&lt;&gt;""",H$6:H1452),"")</f>
        <v/>
      </c>
    </row>
    <row r="1453">
      <c r="I1453">
        <f>IFERROR(SUMIF(A$6:A1453,"&lt;&gt;""",G$6:G1453)-SUMIF(A$6:A1453,"&lt;&gt;""",H$6:H1453),"")</f>
        <v/>
      </c>
    </row>
    <row r="1454">
      <c r="I1454">
        <f>IFERROR(SUMIF(A$6:A1454,"&lt;&gt;""",G$6:G1454)-SUMIF(A$6:A1454,"&lt;&gt;""",H$6:H1454),"")</f>
        <v/>
      </c>
    </row>
    <row r="1455">
      <c r="I1455">
        <f>IFERROR(SUMIF(A$6:A1455,"&lt;&gt;""",G$6:G1455)-SUMIF(A$6:A1455,"&lt;&gt;""",H$6:H1455),"")</f>
        <v/>
      </c>
    </row>
    <row r="1456">
      <c r="I1456">
        <f>IFERROR(SUMIF(A$6:A1456,"&lt;&gt;""",G$6:G1456)-SUMIF(A$6:A1456,"&lt;&gt;""",H$6:H1456),"")</f>
        <v/>
      </c>
    </row>
    <row r="1457">
      <c r="I1457">
        <f>IFERROR(SUMIF(A$6:A1457,"&lt;&gt;""",G$6:G1457)-SUMIF(A$6:A1457,"&lt;&gt;""",H$6:H1457),"")</f>
        <v/>
      </c>
    </row>
    <row r="1458">
      <c r="I1458">
        <f>IFERROR(SUMIF(A$6:A1458,"&lt;&gt;""",G$6:G1458)-SUMIF(A$6:A1458,"&lt;&gt;""",H$6:H1458),"")</f>
        <v/>
      </c>
    </row>
    <row r="1459">
      <c r="I1459">
        <f>IFERROR(SUMIF(A$6:A1459,"&lt;&gt;""",G$6:G1459)-SUMIF(A$6:A1459,"&lt;&gt;""",H$6:H1459),"")</f>
        <v/>
      </c>
    </row>
    <row r="1460">
      <c r="I1460">
        <f>IFERROR(SUMIF(A$6:A1460,"&lt;&gt;""",G$6:G1460)-SUMIF(A$6:A1460,"&lt;&gt;""",H$6:H1460),"")</f>
        <v/>
      </c>
    </row>
    <row r="1461">
      <c r="I1461">
        <f>IFERROR(SUMIF(A$6:A1461,"&lt;&gt;""",G$6:G1461)-SUMIF(A$6:A1461,"&lt;&gt;""",H$6:H1461),"")</f>
        <v/>
      </c>
    </row>
    <row r="1462">
      <c r="I1462">
        <f>IFERROR(SUMIF(A$6:A1462,"&lt;&gt;""",G$6:G1462)-SUMIF(A$6:A1462,"&lt;&gt;""",H$6:H1462),"")</f>
        <v/>
      </c>
    </row>
    <row r="1463">
      <c r="I1463">
        <f>IFERROR(SUMIF(A$6:A1463,"&lt;&gt;""",G$6:G1463)-SUMIF(A$6:A1463,"&lt;&gt;""",H$6:H1463),"")</f>
        <v/>
      </c>
    </row>
    <row r="1464">
      <c r="I1464">
        <f>IFERROR(SUMIF(A$6:A1464,"&lt;&gt;""",G$6:G1464)-SUMIF(A$6:A1464,"&lt;&gt;""",H$6:H1464),"")</f>
        <v/>
      </c>
    </row>
    <row r="1465">
      <c r="I1465">
        <f>IFERROR(SUMIF(A$6:A1465,"&lt;&gt;""",G$6:G1465)-SUMIF(A$6:A1465,"&lt;&gt;""",H$6:H1465),"")</f>
        <v/>
      </c>
    </row>
    <row r="1466">
      <c r="I1466">
        <f>IFERROR(SUMIF(A$6:A1466,"&lt;&gt;""",G$6:G1466)-SUMIF(A$6:A1466,"&lt;&gt;""",H$6:H1466),"")</f>
        <v/>
      </c>
    </row>
    <row r="1467">
      <c r="I1467">
        <f>IFERROR(SUMIF(A$6:A1467,"&lt;&gt;""",G$6:G1467)-SUMIF(A$6:A1467,"&lt;&gt;""",H$6:H1467),"")</f>
        <v/>
      </c>
    </row>
    <row r="1468">
      <c r="I1468">
        <f>IFERROR(SUMIF(A$6:A1468,"&lt;&gt;""",G$6:G1468)-SUMIF(A$6:A1468,"&lt;&gt;""",H$6:H1468),"")</f>
        <v/>
      </c>
    </row>
    <row r="1469">
      <c r="I1469">
        <f>IFERROR(SUMIF(A$6:A1469,"&lt;&gt;""",G$6:G1469)-SUMIF(A$6:A1469,"&lt;&gt;""",H$6:H1469),"")</f>
        <v/>
      </c>
    </row>
    <row r="1470">
      <c r="I1470">
        <f>IFERROR(SUMIF(A$6:A1470,"&lt;&gt;""",G$6:G1470)-SUMIF(A$6:A1470,"&lt;&gt;""",H$6:H1470),"")</f>
        <v/>
      </c>
    </row>
    <row r="1471">
      <c r="I1471">
        <f>IFERROR(SUMIF(A$6:A1471,"&lt;&gt;""",G$6:G1471)-SUMIF(A$6:A1471,"&lt;&gt;""",H$6:H1471),"")</f>
        <v/>
      </c>
    </row>
    <row r="1472">
      <c r="I1472">
        <f>IFERROR(SUMIF(A$6:A1472,"&lt;&gt;""",G$6:G1472)-SUMIF(A$6:A1472,"&lt;&gt;""",H$6:H1472),"")</f>
        <v/>
      </c>
    </row>
    <row r="1473">
      <c r="I1473">
        <f>IFERROR(SUMIF(A$6:A1473,"&lt;&gt;""",G$6:G1473)-SUMIF(A$6:A1473,"&lt;&gt;""",H$6:H1473),"")</f>
        <v/>
      </c>
    </row>
    <row r="1474">
      <c r="I1474">
        <f>IFERROR(SUMIF(A$6:A1474,"&lt;&gt;""",G$6:G1474)-SUMIF(A$6:A1474,"&lt;&gt;""",H$6:H1474),"")</f>
        <v/>
      </c>
    </row>
    <row r="1475">
      <c r="I1475">
        <f>IFERROR(SUMIF(A$6:A1475,"&lt;&gt;""",G$6:G1475)-SUMIF(A$6:A1475,"&lt;&gt;""",H$6:H1475),"")</f>
        <v/>
      </c>
    </row>
    <row r="1476">
      <c r="I1476">
        <f>IFERROR(SUMIF(A$6:A1476,"&lt;&gt;""",G$6:G1476)-SUMIF(A$6:A1476,"&lt;&gt;""",H$6:H1476),"")</f>
        <v/>
      </c>
    </row>
    <row r="1477">
      <c r="I1477">
        <f>IFERROR(SUMIF(A$6:A1477,"&lt;&gt;""",G$6:G1477)-SUMIF(A$6:A1477,"&lt;&gt;""",H$6:H1477),"")</f>
        <v/>
      </c>
    </row>
    <row r="1478">
      <c r="I1478">
        <f>IFERROR(SUMIF(A$6:A1478,"&lt;&gt;""",G$6:G1478)-SUMIF(A$6:A1478,"&lt;&gt;""",H$6:H1478),"")</f>
        <v/>
      </c>
    </row>
    <row r="1479">
      <c r="I1479">
        <f>IFERROR(SUMIF(A$6:A1479,"&lt;&gt;""",G$6:G1479)-SUMIF(A$6:A1479,"&lt;&gt;""",H$6:H1479),"")</f>
        <v/>
      </c>
    </row>
    <row r="1480">
      <c r="I1480">
        <f>IFERROR(SUMIF(A$6:A1480,"&lt;&gt;""",G$6:G1480)-SUMIF(A$6:A1480,"&lt;&gt;""",H$6:H1480),"")</f>
        <v/>
      </c>
    </row>
    <row r="1481">
      <c r="I1481">
        <f>IFERROR(SUMIF(A$6:A1481,"&lt;&gt;""",G$6:G1481)-SUMIF(A$6:A1481,"&lt;&gt;""",H$6:H1481),"")</f>
        <v/>
      </c>
    </row>
    <row r="1482">
      <c r="I1482">
        <f>IFERROR(SUMIF(A$6:A1482,"&lt;&gt;""",G$6:G1482)-SUMIF(A$6:A1482,"&lt;&gt;""",H$6:H1482),"")</f>
        <v/>
      </c>
    </row>
    <row r="1483">
      <c r="I1483">
        <f>IFERROR(SUMIF(A$6:A1483,"&lt;&gt;""",G$6:G1483)-SUMIF(A$6:A1483,"&lt;&gt;""",H$6:H1483),"")</f>
        <v/>
      </c>
    </row>
    <row r="1484">
      <c r="I1484">
        <f>IFERROR(SUMIF(A$6:A1484,"&lt;&gt;""",G$6:G1484)-SUMIF(A$6:A1484,"&lt;&gt;""",H$6:H1484),"")</f>
        <v/>
      </c>
    </row>
    <row r="1485">
      <c r="I1485">
        <f>IFERROR(SUMIF(A$6:A1485,"&lt;&gt;""",G$6:G1485)-SUMIF(A$6:A1485,"&lt;&gt;""",H$6:H1485),"")</f>
        <v/>
      </c>
    </row>
    <row r="1486">
      <c r="I1486">
        <f>IFERROR(SUMIF(A$6:A1486,"&lt;&gt;""",G$6:G1486)-SUMIF(A$6:A1486,"&lt;&gt;""",H$6:H1486),"")</f>
        <v/>
      </c>
    </row>
    <row r="1487">
      <c r="I1487">
        <f>IFERROR(SUMIF(A$6:A1487,"&lt;&gt;""",G$6:G1487)-SUMIF(A$6:A1487,"&lt;&gt;""",H$6:H1487),"")</f>
        <v/>
      </c>
    </row>
    <row r="1488">
      <c r="I1488">
        <f>IFERROR(SUMIF(A$6:A1488,"&lt;&gt;""",G$6:G1488)-SUMIF(A$6:A1488,"&lt;&gt;""",H$6:H1488),"")</f>
        <v/>
      </c>
    </row>
    <row r="1489">
      <c r="I1489">
        <f>IFERROR(SUMIF(A$6:A1489,"&lt;&gt;""",G$6:G1489)-SUMIF(A$6:A1489,"&lt;&gt;""",H$6:H1489),"")</f>
        <v/>
      </c>
    </row>
    <row r="1490">
      <c r="I1490">
        <f>IFERROR(SUMIF(A$6:A1490,"&lt;&gt;""",G$6:G1490)-SUMIF(A$6:A1490,"&lt;&gt;""",H$6:H1490),"")</f>
        <v/>
      </c>
    </row>
    <row r="1491">
      <c r="I1491">
        <f>IFERROR(SUMIF(A$6:A1491,"&lt;&gt;""",G$6:G1491)-SUMIF(A$6:A1491,"&lt;&gt;""",H$6:H1491),"")</f>
        <v/>
      </c>
    </row>
    <row r="1492">
      <c r="I1492">
        <f>IFERROR(SUMIF(A$6:A1492,"&lt;&gt;""",G$6:G1492)-SUMIF(A$6:A1492,"&lt;&gt;""",H$6:H1492),"")</f>
        <v/>
      </c>
    </row>
    <row r="1493">
      <c r="I1493">
        <f>IFERROR(SUMIF(A$6:A1493,"&lt;&gt;""",G$6:G1493)-SUMIF(A$6:A1493,"&lt;&gt;""",H$6:H1493),"")</f>
        <v/>
      </c>
    </row>
    <row r="1494">
      <c r="I1494">
        <f>IFERROR(SUMIF(A$6:A1494,"&lt;&gt;""",G$6:G1494)-SUMIF(A$6:A1494,"&lt;&gt;""",H$6:H1494),"")</f>
        <v/>
      </c>
    </row>
    <row r="1495">
      <c r="I1495">
        <f>IFERROR(SUMIF(A$6:A1495,"&lt;&gt;""",G$6:G1495)-SUMIF(A$6:A1495,"&lt;&gt;""",H$6:H1495),"")</f>
        <v/>
      </c>
    </row>
    <row r="1496">
      <c r="I1496">
        <f>IFERROR(SUMIF(A$6:A1496,"&lt;&gt;""",G$6:G1496)-SUMIF(A$6:A1496,"&lt;&gt;""",H$6:H1496),"")</f>
        <v/>
      </c>
    </row>
    <row r="1497">
      <c r="I1497">
        <f>IFERROR(SUMIF(A$6:A1497,"&lt;&gt;""",G$6:G1497)-SUMIF(A$6:A1497,"&lt;&gt;""",H$6:H1497),"")</f>
        <v/>
      </c>
    </row>
    <row r="1498">
      <c r="I1498">
        <f>IFERROR(SUMIF(A$6:A1498,"&lt;&gt;""",G$6:G1498)-SUMIF(A$6:A1498,"&lt;&gt;""",H$6:H1498),"")</f>
        <v/>
      </c>
    </row>
    <row r="1499">
      <c r="I1499">
        <f>IFERROR(SUMIF(A$6:A1499,"&lt;&gt;""",G$6:G1499)-SUMIF(A$6:A1499,"&lt;&gt;""",H$6:H1499),"")</f>
        <v/>
      </c>
    </row>
    <row r="1500">
      <c r="I1500">
        <f>IFERROR(SUMIF(A$6:A1500,"&lt;&gt;""",G$6:G1500)-SUMIF(A$6:A1500,"&lt;&gt;""",H$6:H1500),"")</f>
        <v/>
      </c>
    </row>
    <row r="1501">
      <c r="I1501">
        <f>IFERROR(SUMIF(A$6:A1501,"&lt;&gt;""",G$6:G1501)-SUMIF(A$6:A1501,"&lt;&gt;""",H$6:H1501),"")</f>
        <v/>
      </c>
    </row>
    <row r="1502">
      <c r="I1502">
        <f>IFERROR(SUMIF(A$6:A1502,"&lt;&gt;""",G$6:G1502)-SUMIF(A$6:A1502,"&lt;&gt;""",H$6:H1502),"")</f>
        <v/>
      </c>
    </row>
    <row r="1503">
      <c r="I1503">
        <f>IFERROR(SUMIF(A$6:A1503,"&lt;&gt;""",G$6:G1503)-SUMIF(A$6:A1503,"&lt;&gt;""",H$6:H1503),"")</f>
        <v/>
      </c>
    </row>
    <row r="1504">
      <c r="I1504">
        <f>IFERROR(SUMIF(A$6:A1504,"&lt;&gt;""",G$6:G1504)-SUMIF(A$6:A1504,"&lt;&gt;""",H$6:H1504),"")</f>
        <v/>
      </c>
    </row>
    <row r="1505">
      <c r="I1505">
        <f>IFERROR(SUMIF(A$6:A1505,"&lt;&gt;""",G$6:G1505)-SUMIF(A$6:A1505,"&lt;&gt;""",H$6:H1505),"")</f>
        <v/>
      </c>
    </row>
    <row r="1506">
      <c r="I1506">
        <f>IFERROR(SUMIF(A$6:A1506,"&lt;&gt;""",G$6:G1506)-SUMIF(A$6:A1506,"&lt;&gt;""",H$6:H1506),"")</f>
        <v/>
      </c>
    </row>
    <row r="1507">
      <c r="I1507">
        <f>IFERROR(SUMIF(A$6:A1507,"&lt;&gt;""",G$6:G1507)-SUMIF(A$6:A1507,"&lt;&gt;""",H$6:H1507),"")</f>
        <v/>
      </c>
    </row>
    <row r="1508">
      <c r="I1508">
        <f>IFERROR(SUMIF(A$6:A1508,"&lt;&gt;""",G$6:G1508)-SUMIF(A$6:A1508,"&lt;&gt;""",H$6:H1508),"")</f>
        <v/>
      </c>
    </row>
    <row r="1509">
      <c r="I1509">
        <f>IFERROR(SUMIF(A$6:A1509,"&lt;&gt;""",G$6:G1509)-SUMIF(A$6:A1509,"&lt;&gt;""",H$6:H1509),"")</f>
        <v/>
      </c>
    </row>
    <row r="1510">
      <c r="I1510">
        <f>IFERROR(SUMIF(A$6:A1510,"&lt;&gt;""",G$6:G1510)-SUMIF(A$6:A1510,"&lt;&gt;""",H$6:H1510),"")</f>
        <v/>
      </c>
    </row>
    <row r="1511">
      <c r="I1511">
        <f>IFERROR(SUMIF(A$6:A1511,"&lt;&gt;""",G$6:G1511)-SUMIF(A$6:A1511,"&lt;&gt;""",H$6:H1511),"")</f>
        <v/>
      </c>
    </row>
    <row r="1512">
      <c r="I1512">
        <f>IFERROR(SUMIF(A$6:A1512,"&lt;&gt;""",G$6:G1512)-SUMIF(A$6:A1512,"&lt;&gt;""",H$6:H1512),"")</f>
        <v/>
      </c>
    </row>
    <row r="1513">
      <c r="I1513">
        <f>IFERROR(SUMIF(A$6:A1513,"&lt;&gt;""",G$6:G1513)-SUMIF(A$6:A1513,"&lt;&gt;""",H$6:H1513),"")</f>
        <v/>
      </c>
    </row>
    <row r="1514">
      <c r="I1514">
        <f>IFERROR(SUMIF(A$6:A1514,"&lt;&gt;""",G$6:G1514)-SUMIF(A$6:A1514,"&lt;&gt;""",H$6:H1514),"")</f>
        <v/>
      </c>
    </row>
    <row r="1515">
      <c r="I1515">
        <f>IFERROR(SUMIF(A$6:A1515,"&lt;&gt;""",G$6:G1515)-SUMIF(A$6:A1515,"&lt;&gt;""",H$6:H1515),"")</f>
        <v/>
      </c>
    </row>
    <row r="1516">
      <c r="I1516">
        <f>IFERROR(SUMIF(A$6:A1516,"&lt;&gt;""",G$6:G1516)-SUMIF(A$6:A1516,"&lt;&gt;""",H$6:H1516),"")</f>
        <v/>
      </c>
    </row>
    <row r="1517">
      <c r="I1517">
        <f>IFERROR(SUMIF(A$6:A1517,"&lt;&gt;""",G$6:G1517)-SUMIF(A$6:A1517,"&lt;&gt;""",H$6:H1517),"")</f>
        <v/>
      </c>
    </row>
    <row r="1518">
      <c r="I1518">
        <f>IFERROR(SUMIF(A$6:A1518,"&lt;&gt;""",G$6:G1518)-SUMIF(A$6:A1518,"&lt;&gt;""",H$6:H1518),"")</f>
        <v/>
      </c>
    </row>
    <row r="1519">
      <c r="I1519">
        <f>IFERROR(SUMIF(A$6:A1519,"&lt;&gt;""",G$6:G1519)-SUMIF(A$6:A1519,"&lt;&gt;""",H$6:H1519),"")</f>
        <v/>
      </c>
    </row>
    <row r="1520">
      <c r="I1520">
        <f>IFERROR(SUMIF(A$6:A1520,"&lt;&gt;""",G$6:G1520)-SUMIF(A$6:A1520,"&lt;&gt;""",H$6:H1520),"")</f>
        <v/>
      </c>
    </row>
    <row r="1521">
      <c r="I1521">
        <f>IFERROR(SUMIF(A$6:A1521,"&lt;&gt;""",G$6:G1521)-SUMIF(A$6:A1521,"&lt;&gt;""",H$6:H1521),"")</f>
        <v/>
      </c>
    </row>
    <row r="1522">
      <c r="I1522">
        <f>IFERROR(SUMIF(A$6:A1522,"&lt;&gt;""",G$6:G1522)-SUMIF(A$6:A1522,"&lt;&gt;""",H$6:H1522),"")</f>
        <v/>
      </c>
    </row>
    <row r="1523">
      <c r="I1523">
        <f>IFERROR(SUMIF(A$6:A1523,"&lt;&gt;""",G$6:G1523)-SUMIF(A$6:A1523,"&lt;&gt;""",H$6:H1523),"")</f>
        <v/>
      </c>
    </row>
    <row r="1524">
      <c r="I1524">
        <f>IFERROR(SUMIF(A$6:A1524,"&lt;&gt;""",G$6:G1524)-SUMIF(A$6:A1524,"&lt;&gt;""",H$6:H1524),"")</f>
        <v/>
      </c>
    </row>
    <row r="1525">
      <c r="I1525">
        <f>IFERROR(SUMIF(A$6:A1525,"&lt;&gt;""",G$6:G1525)-SUMIF(A$6:A1525,"&lt;&gt;""",H$6:H1525),"")</f>
        <v/>
      </c>
    </row>
    <row r="1526">
      <c r="I1526">
        <f>IFERROR(SUMIF(A$6:A1526,"&lt;&gt;""",G$6:G1526)-SUMIF(A$6:A1526,"&lt;&gt;""",H$6:H1526),"")</f>
        <v/>
      </c>
    </row>
    <row r="1527">
      <c r="I1527">
        <f>IFERROR(SUMIF(A$6:A1527,"&lt;&gt;""",G$6:G1527)-SUMIF(A$6:A1527,"&lt;&gt;""",H$6:H1527),"")</f>
        <v/>
      </c>
    </row>
    <row r="1528">
      <c r="I1528">
        <f>IFERROR(SUMIF(A$6:A1528,"&lt;&gt;""",G$6:G1528)-SUMIF(A$6:A1528,"&lt;&gt;""",H$6:H1528),"")</f>
        <v/>
      </c>
    </row>
    <row r="1529">
      <c r="I1529">
        <f>IFERROR(SUMIF(A$6:A1529,"&lt;&gt;""",G$6:G1529)-SUMIF(A$6:A1529,"&lt;&gt;""",H$6:H1529),"")</f>
        <v/>
      </c>
    </row>
    <row r="1530">
      <c r="I1530">
        <f>IFERROR(SUMIF(A$6:A1530,"&lt;&gt;""",G$6:G1530)-SUMIF(A$6:A1530,"&lt;&gt;""",H$6:H1530),"")</f>
        <v/>
      </c>
    </row>
    <row r="1531">
      <c r="I1531">
        <f>IFERROR(SUMIF(A$6:A1531,"&lt;&gt;""",G$6:G1531)-SUMIF(A$6:A1531,"&lt;&gt;""",H$6:H1531),"")</f>
        <v/>
      </c>
    </row>
    <row r="1532">
      <c r="I1532">
        <f>IFERROR(SUMIF(A$6:A1532,"&lt;&gt;""",G$6:G1532)-SUMIF(A$6:A1532,"&lt;&gt;""",H$6:H1532),"")</f>
        <v/>
      </c>
    </row>
    <row r="1533">
      <c r="I1533">
        <f>IFERROR(SUMIF(A$6:A1533,"&lt;&gt;""",G$6:G1533)-SUMIF(A$6:A1533,"&lt;&gt;""",H$6:H1533),"")</f>
        <v/>
      </c>
    </row>
    <row r="1534">
      <c r="I1534">
        <f>IFERROR(SUMIF(A$6:A1534,"&lt;&gt;""",G$6:G1534)-SUMIF(A$6:A1534,"&lt;&gt;""",H$6:H1534),"")</f>
        <v/>
      </c>
    </row>
    <row r="1535">
      <c r="I1535">
        <f>IFERROR(SUMIF(A$6:A1535,"&lt;&gt;""",G$6:G1535)-SUMIF(A$6:A1535,"&lt;&gt;""",H$6:H1535),"")</f>
        <v/>
      </c>
    </row>
    <row r="1536">
      <c r="I1536">
        <f>IFERROR(SUMIF(A$6:A1536,"&lt;&gt;""",G$6:G1536)-SUMIF(A$6:A1536,"&lt;&gt;""",H$6:H1536),"")</f>
        <v/>
      </c>
    </row>
    <row r="1537">
      <c r="I1537">
        <f>IFERROR(SUMIF(A$6:A1537,"&lt;&gt;""",G$6:G1537)-SUMIF(A$6:A1537,"&lt;&gt;""",H$6:H1537),"")</f>
        <v/>
      </c>
    </row>
    <row r="1538">
      <c r="I1538">
        <f>IFERROR(SUMIF(A$6:A1538,"&lt;&gt;""",G$6:G1538)-SUMIF(A$6:A1538,"&lt;&gt;""",H$6:H1538),"")</f>
        <v/>
      </c>
    </row>
    <row r="1539">
      <c r="I1539">
        <f>IFERROR(SUMIF(A$6:A1539,"&lt;&gt;""",G$6:G1539)-SUMIF(A$6:A1539,"&lt;&gt;""",H$6:H1539),"")</f>
        <v/>
      </c>
    </row>
    <row r="1540">
      <c r="I1540">
        <f>IFERROR(SUMIF(A$6:A1540,"&lt;&gt;""",G$6:G1540)-SUMIF(A$6:A1540,"&lt;&gt;""",H$6:H1540),"")</f>
        <v/>
      </c>
    </row>
    <row r="1541">
      <c r="I1541">
        <f>IFERROR(SUMIF(A$6:A1541,"&lt;&gt;""",G$6:G1541)-SUMIF(A$6:A1541,"&lt;&gt;""",H$6:H1541),"")</f>
        <v/>
      </c>
    </row>
    <row r="1542">
      <c r="I1542">
        <f>IFERROR(SUMIF(A$6:A1542,"&lt;&gt;""",G$6:G1542)-SUMIF(A$6:A1542,"&lt;&gt;""",H$6:H1542),"")</f>
        <v/>
      </c>
    </row>
    <row r="1543">
      <c r="I1543">
        <f>IFERROR(SUMIF(A$6:A1543,"&lt;&gt;""",G$6:G1543)-SUMIF(A$6:A1543,"&lt;&gt;""",H$6:H1543),"")</f>
        <v/>
      </c>
    </row>
    <row r="1544">
      <c r="I1544">
        <f>IFERROR(SUMIF(A$6:A1544,"&lt;&gt;""",G$6:G1544)-SUMIF(A$6:A1544,"&lt;&gt;""",H$6:H1544),"")</f>
        <v/>
      </c>
    </row>
    <row r="1545">
      <c r="I1545">
        <f>IFERROR(SUMIF(A$6:A1545,"&lt;&gt;""",G$6:G1545)-SUMIF(A$6:A1545,"&lt;&gt;""",H$6:H1545),"")</f>
        <v/>
      </c>
    </row>
    <row r="1546">
      <c r="I1546">
        <f>IFERROR(SUMIF(A$6:A1546,"&lt;&gt;""",G$6:G1546)-SUMIF(A$6:A1546,"&lt;&gt;""",H$6:H1546),"")</f>
        <v/>
      </c>
    </row>
    <row r="1547">
      <c r="I1547">
        <f>IFERROR(SUMIF(A$6:A1547,"&lt;&gt;""",G$6:G1547)-SUMIF(A$6:A1547,"&lt;&gt;""",H$6:H1547),"")</f>
        <v/>
      </c>
    </row>
    <row r="1548">
      <c r="I1548">
        <f>IFERROR(SUMIF(A$6:A1548,"&lt;&gt;""",G$6:G1548)-SUMIF(A$6:A1548,"&lt;&gt;""",H$6:H1548),"")</f>
        <v/>
      </c>
    </row>
    <row r="1549">
      <c r="I1549">
        <f>IFERROR(SUMIF(A$6:A1549,"&lt;&gt;""",G$6:G1549)-SUMIF(A$6:A1549,"&lt;&gt;""",H$6:H1549),"")</f>
        <v/>
      </c>
    </row>
    <row r="1550">
      <c r="I1550">
        <f>IFERROR(SUMIF(A$6:A1550,"&lt;&gt;""",G$6:G1550)-SUMIF(A$6:A1550,"&lt;&gt;""",H$6:H1550),"")</f>
        <v/>
      </c>
    </row>
    <row r="1551">
      <c r="I1551">
        <f>IFERROR(SUMIF(A$6:A1551,"&lt;&gt;""",G$6:G1551)-SUMIF(A$6:A1551,"&lt;&gt;""",H$6:H1551),"")</f>
        <v/>
      </c>
    </row>
    <row r="1552">
      <c r="I1552">
        <f>IFERROR(SUMIF(A$6:A1552,"&lt;&gt;""",G$6:G1552)-SUMIF(A$6:A1552,"&lt;&gt;""",H$6:H1552),"")</f>
        <v/>
      </c>
    </row>
    <row r="1553">
      <c r="I1553">
        <f>IFERROR(SUMIF(A$6:A1553,"&lt;&gt;""",G$6:G1553)-SUMIF(A$6:A1553,"&lt;&gt;""",H$6:H1553),"")</f>
        <v/>
      </c>
    </row>
    <row r="1554">
      <c r="I1554">
        <f>IFERROR(SUMIF(A$6:A1554,"&lt;&gt;""",G$6:G1554)-SUMIF(A$6:A1554,"&lt;&gt;""",H$6:H1554),"")</f>
        <v/>
      </c>
    </row>
    <row r="1555">
      <c r="I1555">
        <f>IFERROR(SUMIF(A$6:A1555,"&lt;&gt;""",G$6:G1555)-SUMIF(A$6:A1555,"&lt;&gt;""",H$6:H1555),"")</f>
        <v/>
      </c>
    </row>
    <row r="1556">
      <c r="I1556">
        <f>IFERROR(SUMIF(A$6:A1556,"&lt;&gt;""",G$6:G1556)-SUMIF(A$6:A1556,"&lt;&gt;""",H$6:H1556),"")</f>
        <v/>
      </c>
    </row>
    <row r="1557">
      <c r="I1557">
        <f>IFERROR(SUMIF(A$6:A1557,"&lt;&gt;""",G$6:G1557)-SUMIF(A$6:A1557,"&lt;&gt;""",H$6:H1557),"")</f>
        <v/>
      </c>
    </row>
    <row r="1558">
      <c r="I1558">
        <f>IFERROR(SUMIF(A$6:A1558,"&lt;&gt;""",G$6:G1558)-SUMIF(A$6:A1558,"&lt;&gt;""",H$6:H1558),"")</f>
        <v/>
      </c>
    </row>
    <row r="1559">
      <c r="I1559">
        <f>IFERROR(SUMIF(A$6:A1559,"&lt;&gt;""",G$6:G1559)-SUMIF(A$6:A1559,"&lt;&gt;""",H$6:H1559),"")</f>
        <v/>
      </c>
    </row>
    <row r="1560">
      <c r="I1560">
        <f>IFERROR(SUMIF(A$6:A1560,"&lt;&gt;""",G$6:G1560)-SUMIF(A$6:A1560,"&lt;&gt;""",H$6:H1560),"")</f>
        <v/>
      </c>
    </row>
    <row r="1561">
      <c r="I1561">
        <f>IFERROR(SUMIF(A$6:A1561,"&lt;&gt;""",G$6:G1561)-SUMIF(A$6:A1561,"&lt;&gt;""",H$6:H1561),"")</f>
        <v/>
      </c>
    </row>
    <row r="1562">
      <c r="I1562">
        <f>IFERROR(SUMIF(A$6:A1562,"&lt;&gt;""",G$6:G1562)-SUMIF(A$6:A1562,"&lt;&gt;""",H$6:H1562),"")</f>
        <v/>
      </c>
    </row>
    <row r="1563">
      <c r="I1563">
        <f>IFERROR(SUMIF(A$6:A1563,"&lt;&gt;""",G$6:G1563)-SUMIF(A$6:A1563,"&lt;&gt;""",H$6:H1563),"")</f>
        <v/>
      </c>
    </row>
    <row r="1564">
      <c r="I1564">
        <f>IFERROR(SUMIF(A$6:A1564,"&lt;&gt;""",G$6:G1564)-SUMIF(A$6:A1564,"&lt;&gt;""",H$6:H1564),"")</f>
        <v/>
      </c>
    </row>
    <row r="1565">
      <c r="I1565">
        <f>IFERROR(SUMIF(A$6:A1565,"&lt;&gt;""",G$6:G1565)-SUMIF(A$6:A1565,"&lt;&gt;""",H$6:H1565),"")</f>
        <v/>
      </c>
    </row>
    <row r="1566">
      <c r="I1566">
        <f>IFERROR(SUMIF(A$6:A1566,"&lt;&gt;""",G$6:G1566)-SUMIF(A$6:A1566,"&lt;&gt;""",H$6:H1566),"")</f>
        <v/>
      </c>
    </row>
    <row r="1567">
      <c r="I1567">
        <f>IFERROR(SUMIF(A$6:A1567,"&lt;&gt;""",G$6:G1567)-SUMIF(A$6:A1567,"&lt;&gt;""",H$6:H1567),"")</f>
        <v/>
      </c>
    </row>
    <row r="1568">
      <c r="I1568">
        <f>IFERROR(SUMIF(A$6:A1568,"&lt;&gt;""",G$6:G1568)-SUMIF(A$6:A1568,"&lt;&gt;""",H$6:H1568),"")</f>
        <v/>
      </c>
    </row>
    <row r="1569">
      <c r="I1569">
        <f>IFERROR(SUMIF(A$6:A1569,"&lt;&gt;""",G$6:G1569)-SUMIF(A$6:A1569,"&lt;&gt;""",H$6:H1569),"")</f>
        <v/>
      </c>
    </row>
    <row r="1570">
      <c r="I1570">
        <f>IFERROR(SUMIF(A$6:A1570,"&lt;&gt;""",G$6:G1570)-SUMIF(A$6:A1570,"&lt;&gt;""",H$6:H1570),"")</f>
        <v/>
      </c>
    </row>
    <row r="1571">
      <c r="I1571">
        <f>IFERROR(SUMIF(A$6:A1571,"&lt;&gt;""",G$6:G1571)-SUMIF(A$6:A1571,"&lt;&gt;""",H$6:H1571),"")</f>
        <v/>
      </c>
    </row>
    <row r="1572">
      <c r="I1572">
        <f>IFERROR(SUMIF(A$6:A1572,"&lt;&gt;""",G$6:G1572)-SUMIF(A$6:A1572,"&lt;&gt;""",H$6:H1572),"")</f>
        <v/>
      </c>
    </row>
    <row r="1573">
      <c r="I1573">
        <f>IFERROR(SUMIF(A$6:A1573,"&lt;&gt;""",G$6:G1573)-SUMIF(A$6:A1573,"&lt;&gt;""",H$6:H1573),"")</f>
        <v/>
      </c>
    </row>
    <row r="1574">
      <c r="I1574">
        <f>IFERROR(SUMIF(A$6:A1574,"&lt;&gt;""",G$6:G1574)-SUMIF(A$6:A1574,"&lt;&gt;""",H$6:H1574),"")</f>
        <v/>
      </c>
    </row>
    <row r="1575">
      <c r="I1575">
        <f>IFERROR(SUMIF(A$6:A1575,"&lt;&gt;""",G$6:G1575)-SUMIF(A$6:A1575,"&lt;&gt;""",H$6:H1575),"")</f>
        <v/>
      </c>
    </row>
    <row r="1576">
      <c r="I1576">
        <f>IFERROR(SUMIF(A$6:A1576,"&lt;&gt;""",G$6:G1576)-SUMIF(A$6:A1576,"&lt;&gt;""",H$6:H1576),"")</f>
        <v/>
      </c>
    </row>
    <row r="1577">
      <c r="I1577">
        <f>IFERROR(SUMIF(A$6:A1577,"&lt;&gt;""",G$6:G1577)-SUMIF(A$6:A1577,"&lt;&gt;""",H$6:H1577),"")</f>
        <v/>
      </c>
    </row>
    <row r="1578">
      <c r="I1578">
        <f>IFERROR(SUMIF(A$6:A1578,"&lt;&gt;""",G$6:G1578)-SUMIF(A$6:A1578,"&lt;&gt;""",H$6:H1578),"")</f>
        <v/>
      </c>
    </row>
    <row r="1579">
      <c r="I1579">
        <f>IFERROR(SUMIF(A$6:A1579,"&lt;&gt;""",G$6:G1579)-SUMIF(A$6:A1579,"&lt;&gt;""",H$6:H1579),"")</f>
        <v/>
      </c>
    </row>
    <row r="1580">
      <c r="I1580">
        <f>IFERROR(SUMIF(A$6:A1580,"&lt;&gt;""",G$6:G1580)-SUMIF(A$6:A1580,"&lt;&gt;""",H$6:H1580),"")</f>
        <v/>
      </c>
    </row>
    <row r="1581">
      <c r="I1581">
        <f>IFERROR(SUMIF(A$6:A1581,"&lt;&gt;""",G$6:G1581)-SUMIF(A$6:A1581,"&lt;&gt;""",H$6:H1581),"")</f>
        <v/>
      </c>
    </row>
    <row r="1582">
      <c r="I1582">
        <f>IFERROR(SUMIF(A$6:A1582,"&lt;&gt;""",G$6:G1582)-SUMIF(A$6:A1582,"&lt;&gt;""",H$6:H1582),"")</f>
        <v/>
      </c>
    </row>
    <row r="1583">
      <c r="I1583">
        <f>IFERROR(SUMIF(A$6:A1583,"&lt;&gt;""",G$6:G1583)-SUMIF(A$6:A1583,"&lt;&gt;""",H$6:H1583),"")</f>
        <v/>
      </c>
    </row>
    <row r="1584">
      <c r="I1584">
        <f>IFERROR(SUMIF(A$6:A1584,"&lt;&gt;""",G$6:G1584)-SUMIF(A$6:A1584,"&lt;&gt;""",H$6:H1584),"")</f>
        <v/>
      </c>
    </row>
    <row r="1585">
      <c r="I1585">
        <f>IFERROR(SUMIF(A$6:A1585,"&lt;&gt;""",G$6:G1585)-SUMIF(A$6:A1585,"&lt;&gt;""",H$6:H1585),"")</f>
        <v/>
      </c>
    </row>
    <row r="1586">
      <c r="I1586">
        <f>IFERROR(SUMIF(A$6:A1586,"&lt;&gt;""",G$6:G1586)-SUMIF(A$6:A1586,"&lt;&gt;""",H$6:H1586),"")</f>
        <v/>
      </c>
    </row>
    <row r="1587">
      <c r="I1587">
        <f>IFERROR(SUMIF(A$6:A1587,"&lt;&gt;""",G$6:G1587)-SUMIF(A$6:A1587,"&lt;&gt;""",H$6:H1587),"")</f>
        <v/>
      </c>
    </row>
    <row r="1588">
      <c r="I1588">
        <f>IFERROR(SUMIF(A$6:A1588,"&lt;&gt;""",G$6:G1588)-SUMIF(A$6:A1588,"&lt;&gt;""",H$6:H1588),"")</f>
        <v/>
      </c>
    </row>
    <row r="1589">
      <c r="I1589">
        <f>IFERROR(SUMIF(A$6:A1589,"&lt;&gt;""",G$6:G1589)-SUMIF(A$6:A1589,"&lt;&gt;""",H$6:H1589),"")</f>
        <v/>
      </c>
    </row>
    <row r="1590">
      <c r="I1590">
        <f>IFERROR(SUMIF(A$6:A1590,"&lt;&gt;""",G$6:G1590)-SUMIF(A$6:A1590,"&lt;&gt;""",H$6:H1590),"")</f>
        <v/>
      </c>
    </row>
    <row r="1591">
      <c r="I1591">
        <f>IFERROR(SUMIF(A$6:A1591,"&lt;&gt;""",G$6:G1591)-SUMIF(A$6:A1591,"&lt;&gt;""",H$6:H1591),"")</f>
        <v/>
      </c>
    </row>
    <row r="1592">
      <c r="I1592">
        <f>IFERROR(SUMIF(A$6:A1592,"&lt;&gt;""",G$6:G1592)-SUMIF(A$6:A1592,"&lt;&gt;""",H$6:H1592),"")</f>
        <v/>
      </c>
    </row>
    <row r="1593">
      <c r="I1593">
        <f>IFERROR(SUMIF(A$6:A1593,"&lt;&gt;""",G$6:G1593)-SUMIF(A$6:A1593,"&lt;&gt;""",H$6:H1593),"")</f>
        <v/>
      </c>
    </row>
    <row r="1594">
      <c r="I1594">
        <f>IFERROR(SUMIF(A$6:A1594,"&lt;&gt;""",G$6:G1594)-SUMIF(A$6:A1594,"&lt;&gt;""",H$6:H1594),"")</f>
        <v/>
      </c>
    </row>
    <row r="1595">
      <c r="I1595">
        <f>IFERROR(SUMIF(A$6:A1595,"&lt;&gt;""",G$6:G1595)-SUMIF(A$6:A1595,"&lt;&gt;""",H$6:H1595),"")</f>
        <v/>
      </c>
    </row>
    <row r="1596">
      <c r="I1596">
        <f>IFERROR(SUMIF(A$6:A1596,"&lt;&gt;""",G$6:G1596)-SUMIF(A$6:A1596,"&lt;&gt;""",H$6:H1596),"")</f>
        <v/>
      </c>
    </row>
    <row r="1597">
      <c r="I1597">
        <f>IFERROR(SUMIF(A$6:A1597,"&lt;&gt;""",G$6:G1597)-SUMIF(A$6:A1597,"&lt;&gt;""",H$6:H1597),"")</f>
        <v/>
      </c>
    </row>
    <row r="1598">
      <c r="I1598">
        <f>IFERROR(SUMIF(A$6:A1598,"&lt;&gt;""",G$6:G1598)-SUMIF(A$6:A1598,"&lt;&gt;""",H$6:H1598),"")</f>
        <v/>
      </c>
    </row>
    <row r="1599">
      <c r="I1599">
        <f>IFERROR(SUMIF(A$6:A1599,"&lt;&gt;""",G$6:G1599)-SUMIF(A$6:A1599,"&lt;&gt;""",H$6:H1599),"")</f>
        <v/>
      </c>
    </row>
    <row r="1600">
      <c r="I1600">
        <f>IFERROR(SUMIF(A$6:A1600,"&lt;&gt;""",G$6:G1600)-SUMIF(A$6:A1600,"&lt;&gt;""",H$6:H1600),"")</f>
        <v/>
      </c>
    </row>
    <row r="1601">
      <c r="I1601">
        <f>IFERROR(SUMIF(A$6:A1601,"&lt;&gt;""",G$6:G1601)-SUMIF(A$6:A1601,"&lt;&gt;""",H$6:H1601),"")</f>
        <v/>
      </c>
    </row>
    <row r="1602">
      <c r="I1602">
        <f>IFERROR(SUMIF(A$6:A1602,"&lt;&gt;""",G$6:G1602)-SUMIF(A$6:A1602,"&lt;&gt;""",H$6:H1602),"")</f>
        <v/>
      </c>
    </row>
    <row r="1603">
      <c r="I1603">
        <f>IFERROR(SUMIF(A$6:A1603,"&lt;&gt;""",G$6:G1603)-SUMIF(A$6:A1603,"&lt;&gt;""",H$6:H1603),"")</f>
        <v/>
      </c>
    </row>
    <row r="1604">
      <c r="I1604">
        <f>IFERROR(SUMIF(A$6:A1604,"&lt;&gt;""",G$6:G1604)-SUMIF(A$6:A1604,"&lt;&gt;""",H$6:H1604),"")</f>
        <v/>
      </c>
    </row>
    <row r="1605">
      <c r="I1605">
        <f>IFERROR(SUMIF(A$6:A1605,"&lt;&gt;""",G$6:G1605)-SUMIF(A$6:A1605,"&lt;&gt;""",H$6:H1605),"")</f>
        <v/>
      </c>
    </row>
    <row r="1606">
      <c r="I1606">
        <f>IFERROR(SUMIF(A$6:A1606,"&lt;&gt;""",G$6:G1606)-SUMIF(A$6:A1606,"&lt;&gt;""",H$6:H1606),"")</f>
        <v/>
      </c>
    </row>
    <row r="1607">
      <c r="I1607">
        <f>IFERROR(SUMIF(A$6:A1607,"&lt;&gt;""",G$6:G1607)-SUMIF(A$6:A1607,"&lt;&gt;""",H$6:H1607),"")</f>
        <v/>
      </c>
    </row>
    <row r="1608">
      <c r="I1608">
        <f>IFERROR(SUMIF(A$6:A1608,"&lt;&gt;""",G$6:G1608)-SUMIF(A$6:A1608,"&lt;&gt;""",H$6:H1608),"")</f>
        <v/>
      </c>
    </row>
    <row r="1609">
      <c r="I1609">
        <f>IFERROR(SUMIF(A$6:A1609,"&lt;&gt;""",G$6:G1609)-SUMIF(A$6:A1609,"&lt;&gt;""",H$6:H1609),"")</f>
        <v/>
      </c>
    </row>
    <row r="1610">
      <c r="I1610">
        <f>IFERROR(SUMIF(A$6:A1610,"&lt;&gt;""",G$6:G1610)-SUMIF(A$6:A1610,"&lt;&gt;""",H$6:H1610),"")</f>
        <v/>
      </c>
    </row>
    <row r="1611">
      <c r="I1611">
        <f>IFERROR(SUMIF(A$6:A1611,"&lt;&gt;""",G$6:G1611)-SUMIF(A$6:A1611,"&lt;&gt;""",H$6:H1611),"")</f>
        <v/>
      </c>
    </row>
    <row r="1612">
      <c r="I1612">
        <f>IFERROR(SUMIF(A$6:A1612,"&lt;&gt;""",G$6:G1612)-SUMIF(A$6:A1612,"&lt;&gt;""",H$6:H1612),"")</f>
        <v/>
      </c>
    </row>
    <row r="1613">
      <c r="I1613">
        <f>IFERROR(SUMIF(A$6:A1613,"&lt;&gt;""",G$6:G1613)-SUMIF(A$6:A1613,"&lt;&gt;""",H$6:H1613),"")</f>
        <v/>
      </c>
    </row>
    <row r="1614">
      <c r="I1614">
        <f>IFERROR(SUMIF(A$6:A1614,"&lt;&gt;""",G$6:G1614)-SUMIF(A$6:A1614,"&lt;&gt;""",H$6:H1614),"")</f>
        <v/>
      </c>
    </row>
    <row r="1615">
      <c r="I1615">
        <f>IFERROR(SUMIF(A$6:A1615,"&lt;&gt;""",G$6:G1615)-SUMIF(A$6:A1615,"&lt;&gt;""",H$6:H1615),"")</f>
        <v/>
      </c>
    </row>
    <row r="1616">
      <c r="I1616">
        <f>IFERROR(SUMIF(A$6:A1616,"&lt;&gt;""",G$6:G1616)-SUMIF(A$6:A1616,"&lt;&gt;""",H$6:H1616),"")</f>
        <v/>
      </c>
    </row>
    <row r="1617">
      <c r="I1617">
        <f>IFERROR(SUMIF(A$6:A1617,"&lt;&gt;""",G$6:G1617)-SUMIF(A$6:A1617,"&lt;&gt;""",H$6:H1617),"")</f>
        <v/>
      </c>
    </row>
    <row r="1618">
      <c r="I1618">
        <f>IFERROR(SUMIF(A$6:A1618,"&lt;&gt;""",G$6:G1618)-SUMIF(A$6:A1618,"&lt;&gt;""",H$6:H1618),"")</f>
        <v/>
      </c>
    </row>
    <row r="1619">
      <c r="I1619">
        <f>IFERROR(SUMIF(A$6:A1619,"&lt;&gt;""",G$6:G1619)-SUMIF(A$6:A1619,"&lt;&gt;""",H$6:H1619),"")</f>
        <v/>
      </c>
    </row>
    <row r="1620">
      <c r="I1620">
        <f>IFERROR(SUMIF(A$6:A1620,"&lt;&gt;""",G$6:G1620)-SUMIF(A$6:A1620,"&lt;&gt;""",H$6:H1620),"")</f>
        <v/>
      </c>
    </row>
    <row r="1621">
      <c r="I1621">
        <f>IFERROR(SUMIF(A$6:A1621,"&lt;&gt;""",G$6:G1621)-SUMIF(A$6:A1621,"&lt;&gt;""",H$6:H1621),"")</f>
        <v/>
      </c>
    </row>
    <row r="1622">
      <c r="I1622">
        <f>IFERROR(SUMIF(A$6:A1622,"&lt;&gt;""",G$6:G1622)-SUMIF(A$6:A1622,"&lt;&gt;""",H$6:H1622),"")</f>
        <v/>
      </c>
    </row>
    <row r="1623">
      <c r="I1623">
        <f>IFERROR(SUMIF(A$6:A1623,"&lt;&gt;""",G$6:G1623)-SUMIF(A$6:A1623,"&lt;&gt;""",H$6:H1623),"")</f>
        <v/>
      </c>
    </row>
    <row r="1624">
      <c r="I1624">
        <f>IFERROR(SUMIF(A$6:A1624,"&lt;&gt;""",G$6:G1624)-SUMIF(A$6:A1624,"&lt;&gt;""",H$6:H1624),"")</f>
        <v/>
      </c>
    </row>
    <row r="1625">
      <c r="I1625">
        <f>IFERROR(SUMIF(A$6:A1625,"&lt;&gt;""",G$6:G1625)-SUMIF(A$6:A1625,"&lt;&gt;""",H$6:H1625),"")</f>
        <v/>
      </c>
    </row>
    <row r="1626">
      <c r="I1626">
        <f>IFERROR(SUMIF(A$6:A1626,"&lt;&gt;""",G$6:G1626)-SUMIF(A$6:A1626,"&lt;&gt;""",H$6:H1626),"")</f>
        <v/>
      </c>
    </row>
    <row r="1627">
      <c r="I1627">
        <f>IFERROR(SUMIF(A$6:A1627,"&lt;&gt;""",G$6:G1627)-SUMIF(A$6:A1627,"&lt;&gt;""",H$6:H1627),"")</f>
        <v/>
      </c>
    </row>
    <row r="1628">
      <c r="I1628">
        <f>IFERROR(SUMIF(A$6:A1628,"&lt;&gt;""",G$6:G1628)-SUMIF(A$6:A1628,"&lt;&gt;""",H$6:H1628),"")</f>
        <v/>
      </c>
    </row>
    <row r="1629">
      <c r="I1629">
        <f>IFERROR(SUMIF(A$6:A1629,"&lt;&gt;""",G$6:G1629)-SUMIF(A$6:A1629,"&lt;&gt;""",H$6:H1629),"")</f>
        <v/>
      </c>
    </row>
    <row r="1630">
      <c r="I1630">
        <f>IFERROR(SUMIF(A$6:A1630,"&lt;&gt;""",G$6:G1630)-SUMIF(A$6:A1630,"&lt;&gt;""",H$6:H1630),"")</f>
        <v/>
      </c>
    </row>
    <row r="1631">
      <c r="I1631">
        <f>IFERROR(SUMIF(A$6:A1631,"&lt;&gt;""",G$6:G1631)-SUMIF(A$6:A1631,"&lt;&gt;""",H$6:H1631),"")</f>
        <v/>
      </c>
    </row>
    <row r="1632">
      <c r="I1632">
        <f>IFERROR(SUMIF(A$6:A1632,"&lt;&gt;""",G$6:G1632)-SUMIF(A$6:A1632,"&lt;&gt;""",H$6:H1632),"")</f>
        <v/>
      </c>
    </row>
    <row r="1633">
      <c r="I1633">
        <f>IFERROR(SUMIF(A$6:A1633,"&lt;&gt;""",G$6:G1633)-SUMIF(A$6:A1633,"&lt;&gt;""",H$6:H1633),"")</f>
        <v/>
      </c>
    </row>
    <row r="1634">
      <c r="I1634">
        <f>IFERROR(SUMIF(A$6:A1634,"&lt;&gt;""",G$6:G1634)-SUMIF(A$6:A1634,"&lt;&gt;""",H$6:H1634),"")</f>
        <v/>
      </c>
    </row>
    <row r="1635">
      <c r="I1635">
        <f>IFERROR(SUMIF(A$6:A1635,"&lt;&gt;""",G$6:G1635)-SUMIF(A$6:A1635,"&lt;&gt;""",H$6:H1635),"")</f>
        <v/>
      </c>
    </row>
    <row r="1636">
      <c r="I1636">
        <f>IFERROR(SUMIF(A$6:A1636,"&lt;&gt;""",G$6:G1636)-SUMIF(A$6:A1636,"&lt;&gt;""",H$6:H1636),"")</f>
        <v/>
      </c>
    </row>
    <row r="1637">
      <c r="I1637">
        <f>IFERROR(SUMIF(A$6:A1637,"&lt;&gt;""",G$6:G1637)-SUMIF(A$6:A1637,"&lt;&gt;""",H$6:H1637),"")</f>
        <v/>
      </c>
    </row>
    <row r="1638">
      <c r="I1638">
        <f>IFERROR(SUMIF(A$6:A1638,"&lt;&gt;""",G$6:G1638)-SUMIF(A$6:A1638,"&lt;&gt;""",H$6:H1638),"")</f>
        <v/>
      </c>
    </row>
    <row r="1639">
      <c r="I1639">
        <f>IFERROR(SUMIF(A$6:A1639,"&lt;&gt;""",G$6:G1639)-SUMIF(A$6:A1639,"&lt;&gt;""",H$6:H1639),"")</f>
        <v/>
      </c>
    </row>
    <row r="1640">
      <c r="I1640">
        <f>IFERROR(SUMIF(A$6:A1640,"&lt;&gt;""",G$6:G1640)-SUMIF(A$6:A1640,"&lt;&gt;""",H$6:H1640),"")</f>
        <v/>
      </c>
    </row>
    <row r="1641">
      <c r="I1641">
        <f>IFERROR(SUMIF(A$6:A1641,"&lt;&gt;""",G$6:G1641)-SUMIF(A$6:A1641,"&lt;&gt;""",H$6:H1641),"")</f>
        <v/>
      </c>
    </row>
    <row r="1642">
      <c r="I1642">
        <f>IFERROR(SUMIF(A$6:A1642,"&lt;&gt;""",G$6:G1642)-SUMIF(A$6:A1642,"&lt;&gt;""",H$6:H1642),"")</f>
        <v/>
      </c>
    </row>
    <row r="1643">
      <c r="I1643">
        <f>IFERROR(SUMIF(A$6:A1643,"&lt;&gt;""",G$6:G1643)-SUMIF(A$6:A1643,"&lt;&gt;""",H$6:H1643),"")</f>
        <v/>
      </c>
    </row>
    <row r="1644">
      <c r="I1644">
        <f>IFERROR(SUMIF(A$6:A1644,"&lt;&gt;""",G$6:G1644)-SUMIF(A$6:A1644,"&lt;&gt;""",H$6:H1644),"")</f>
        <v/>
      </c>
    </row>
    <row r="1645">
      <c r="I1645">
        <f>IFERROR(SUMIF(A$6:A1645,"&lt;&gt;""",G$6:G1645)-SUMIF(A$6:A1645,"&lt;&gt;""",H$6:H1645),"")</f>
        <v/>
      </c>
    </row>
    <row r="1646">
      <c r="I1646">
        <f>IFERROR(SUMIF(A$6:A1646,"&lt;&gt;""",G$6:G1646)-SUMIF(A$6:A1646,"&lt;&gt;""",H$6:H1646),"")</f>
        <v/>
      </c>
    </row>
    <row r="1647">
      <c r="I1647">
        <f>IFERROR(SUMIF(A$6:A1647,"&lt;&gt;""",G$6:G1647)-SUMIF(A$6:A1647,"&lt;&gt;""",H$6:H1647),"")</f>
        <v/>
      </c>
    </row>
    <row r="1648">
      <c r="I1648">
        <f>IFERROR(SUMIF(A$6:A1648,"&lt;&gt;""",G$6:G1648)-SUMIF(A$6:A1648,"&lt;&gt;""",H$6:H1648),"")</f>
        <v/>
      </c>
    </row>
    <row r="1649">
      <c r="I1649">
        <f>IFERROR(SUMIF(A$6:A1649,"&lt;&gt;""",G$6:G1649)-SUMIF(A$6:A1649,"&lt;&gt;""",H$6:H1649),"")</f>
        <v/>
      </c>
    </row>
    <row r="1650">
      <c r="I1650">
        <f>IFERROR(SUMIF(A$6:A1650,"&lt;&gt;""",G$6:G1650)-SUMIF(A$6:A1650,"&lt;&gt;""",H$6:H1650),"")</f>
        <v/>
      </c>
    </row>
    <row r="1651">
      <c r="I1651">
        <f>IFERROR(SUMIF(A$6:A1651,"&lt;&gt;""",G$6:G1651)-SUMIF(A$6:A1651,"&lt;&gt;""",H$6:H1651),"")</f>
        <v/>
      </c>
    </row>
    <row r="1652">
      <c r="I1652">
        <f>IFERROR(SUMIF(A$6:A1652,"&lt;&gt;""",G$6:G1652)-SUMIF(A$6:A1652,"&lt;&gt;""",H$6:H1652),"")</f>
        <v/>
      </c>
    </row>
    <row r="1653">
      <c r="I1653">
        <f>IFERROR(SUMIF(A$6:A1653,"&lt;&gt;""",G$6:G1653)-SUMIF(A$6:A1653,"&lt;&gt;""",H$6:H1653),"")</f>
        <v/>
      </c>
    </row>
    <row r="1654">
      <c r="I1654">
        <f>IFERROR(SUMIF(A$6:A1654,"&lt;&gt;""",G$6:G1654)-SUMIF(A$6:A1654,"&lt;&gt;""",H$6:H1654),"")</f>
        <v/>
      </c>
    </row>
    <row r="1655">
      <c r="I1655">
        <f>IFERROR(SUMIF(A$6:A1655,"&lt;&gt;""",G$6:G1655)-SUMIF(A$6:A1655,"&lt;&gt;""",H$6:H1655),"")</f>
        <v/>
      </c>
    </row>
    <row r="1656">
      <c r="I1656">
        <f>IFERROR(SUMIF(A$6:A1656,"&lt;&gt;""",G$6:G1656)-SUMIF(A$6:A1656,"&lt;&gt;""",H$6:H1656),"")</f>
        <v/>
      </c>
    </row>
    <row r="1657">
      <c r="I1657">
        <f>IFERROR(SUMIF(A$6:A1657,"&lt;&gt;""",G$6:G1657)-SUMIF(A$6:A1657,"&lt;&gt;""",H$6:H1657),"")</f>
        <v/>
      </c>
    </row>
    <row r="1658">
      <c r="I1658">
        <f>IFERROR(SUMIF(A$6:A1658,"&lt;&gt;""",G$6:G1658)-SUMIF(A$6:A1658,"&lt;&gt;""",H$6:H1658),"")</f>
        <v/>
      </c>
    </row>
    <row r="1659">
      <c r="I1659">
        <f>IFERROR(SUMIF(A$6:A1659,"&lt;&gt;""",G$6:G1659)-SUMIF(A$6:A1659,"&lt;&gt;""",H$6:H1659),"")</f>
        <v/>
      </c>
    </row>
    <row r="1660">
      <c r="I1660">
        <f>IFERROR(SUMIF(A$6:A1660,"&lt;&gt;""",G$6:G1660)-SUMIF(A$6:A1660,"&lt;&gt;""",H$6:H1660),"")</f>
        <v/>
      </c>
    </row>
    <row r="1661">
      <c r="I1661">
        <f>IFERROR(SUMIF(A$6:A1661,"&lt;&gt;""",G$6:G1661)-SUMIF(A$6:A1661,"&lt;&gt;""",H$6:H1661),"")</f>
        <v/>
      </c>
    </row>
    <row r="1662">
      <c r="I1662">
        <f>IFERROR(SUMIF(A$6:A1662,"&lt;&gt;""",G$6:G1662)-SUMIF(A$6:A1662,"&lt;&gt;""",H$6:H1662),"")</f>
        <v/>
      </c>
    </row>
    <row r="1663">
      <c r="I1663">
        <f>IFERROR(SUMIF(A$6:A1663,"&lt;&gt;""",G$6:G1663)-SUMIF(A$6:A1663,"&lt;&gt;""",H$6:H1663),"")</f>
        <v/>
      </c>
    </row>
    <row r="1664">
      <c r="I1664">
        <f>IFERROR(SUMIF(A$6:A1664,"&lt;&gt;""",G$6:G1664)-SUMIF(A$6:A1664,"&lt;&gt;""",H$6:H1664),"")</f>
        <v/>
      </c>
    </row>
    <row r="1665">
      <c r="I1665">
        <f>IFERROR(SUMIF(A$6:A1665,"&lt;&gt;""",G$6:G1665)-SUMIF(A$6:A1665,"&lt;&gt;""",H$6:H1665),"")</f>
        <v/>
      </c>
    </row>
    <row r="1666">
      <c r="I1666">
        <f>IFERROR(SUMIF(A$6:A1666,"&lt;&gt;""",G$6:G1666)-SUMIF(A$6:A1666,"&lt;&gt;""",H$6:H1666),"")</f>
        <v/>
      </c>
    </row>
    <row r="1667">
      <c r="I1667">
        <f>IFERROR(SUMIF(A$6:A1667,"&lt;&gt;""",G$6:G1667)-SUMIF(A$6:A1667,"&lt;&gt;""",H$6:H1667),"")</f>
        <v/>
      </c>
    </row>
    <row r="1668">
      <c r="I1668">
        <f>IFERROR(SUMIF(A$6:A1668,"&lt;&gt;""",G$6:G1668)-SUMIF(A$6:A1668,"&lt;&gt;""",H$6:H1668),"")</f>
        <v/>
      </c>
    </row>
    <row r="1669">
      <c r="I1669">
        <f>IFERROR(SUMIF(A$6:A1669,"&lt;&gt;""",G$6:G1669)-SUMIF(A$6:A1669,"&lt;&gt;""",H$6:H1669),"")</f>
        <v/>
      </c>
    </row>
    <row r="1670">
      <c r="I1670">
        <f>IFERROR(SUMIF(A$6:A1670,"&lt;&gt;""",G$6:G1670)-SUMIF(A$6:A1670,"&lt;&gt;""",H$6:H1670),"")</f>
        <v/>
      </c>
    </row>
    <row r="1671">
      <c r="I1671">
        <f>IFERROR(SUMIF(A$6:A1671,"&lt;&gt;""",G$6:G1671)-SUMIF(A$6:A1671,"&lt;&gt;""",H$6:H1671),"")</f>
        <v/>
      </c>
    </row>
    <row r="1672">
      <c r="I1672">
        <f>IFERROR(SUMIF(A$6:A1672,"&lt;&gt;""",G$6:G1672)-SUMIF(A$6:A1672,"&lt;&gt;""",H$6:H1672),"")</f>
        <v/>
      </c>
    </row>
    <row r="1673">
      <c r="I1673">
        <f>IFERROR(SUMIF(A$6:A1673,"&lt;&gt;""",G$6:G1673)-SUMIF(A$6:A1673,"&lt;&gt;""",H$6:H1673),"")</f>
        <v/>
      </c>
    </row>
    <row r="1674">
      <c r="I1674">
        <f>IFERROR(SUMIF(A$6:A1674,"&lt;&gt;""",G$6:G1674)-SUMIF(A$6:A1674,"&lt;&gt;""",H$6:H1674),"")</f>
        <v/>
      </c>
    </row>
    <row r="1675">
      <c r="I1675">
        <f>IFERROR(SUMIF(A$6:A1675,"&lt;&gt;""",G$6:G1675)-SUMIF(A$6:A1675,"&lt;&gt;""",H$6:H1675),"")</f>
        <v/>
      </c>
    </row>
    <row r="1676">
      <c r="I1676">
        <f>IFERROR(SUMIF(A$6:A1676,"&lt;&gt;""",G$6:G1676)-SUMIF(A$6:A1676,"&lt;&gt;""",H$6:H1676),"")</f>
        <v/>
      </c>
    </row>
    <row r="1677">
      <c r="I1677">
        <f>IFERROR(SUMIF(A$6:A1677,"&lt;&gt;""",G$6:G1677)-SUMIF(A$6:A1677,"&lt;&gt;""",H$6:H1677),"")</f>
        <v/>
      </c>
    </row>
    <row r="1678">
      <c r="I1678">
        <f>IFERROR(SUMIF(A$6:A1678,"&lt;&gt;""",G$6:G1678)-SUMIF(A$6:A1678,"&lt;&gt;""",H$6:H1678),"")</f>
        <v/>
      </c>
    </row>
    <row r="1679">
      <c r="I1679">
        <f>IFERROR(SUMIF(A$6:A1679,"&lt;&gt;""",G$6:G1679)-SUMIF(A$6:A1679,"&lt;&gt;""",H$6:H1679),"")</f>
        <v/>
      </c>
    </row>
    <row r="1680">
      <c r="I1680">
        <f>IFERROR(SUMIF(A$6:A1680,"&lt;&gt;""",G$6:G1680)-SUMIF(A$6:A1680,"&lt;&gt;""",H$6:H1680),"")</f>
        <v/>
      </c>
    </row>
    <row r="1681">
      <c r="I1681">
        <f>IFERROR(SUMIF(A$6:A1681,"&lt;&gt;""",G$6:G1681)-SUMIF(A$6:A1681,"&lt;&gt;""",H$6:H1681),"")</f>
        <v/>
      </c>
    </row>
    <row r="1682">
      <c r="I1682">
        <f>IFERROR(SUMIF(A$6:A1682,"&lt;&gt;""",G$6:G1682)-SUMIF(A$6:A1682,"&lt;&gt;""",H$6:H1682),"")</f>
        <v/>
      </c>
    </row>
    <row r="1683">
      <c r="I1683">
        <f>IFERROR(SUMIF(A$6:A1683,"&lt;&gt;""",G$6:G1683)-SUMIF(A$6:A1683,"&lt;&gt;""",H$6:H1683),"")</f>
        <v/>
      </c>
    </row>
    <row r="1684">
      <c r="I1684">
        <f>IFERROR(SUMIF(A$6:A1684,"&lt;&gt;""",G$6:G1684)-SUMIF(A$6:A1684,"&lt;&gt;""",H$6:H1684),"")</f>
        <v/>
      </c>
    </row>
    <row r="1685">
      <c r="I1685">
        <f>IFERROR(SUMIF(A$6:A1685,"&lt;&gt;""",G$6:G1685)-SUMIF(A$6:A1685,"&lt;&gt;""",H$6:H1685),"")</f>
        <v/>
      </c>
    </row>
    <row r="1686">
      <c r="I1686">
        <f>IFERROR(SUMIF(A$6:A1686,"&lt;&gt;""",G$6:G1686)-SUMIF(A$6:A1686,"&lt;&gt;""",H$6:H1686),"")</f>
        <v/>
      </c>
    </row>
    <row r="1687">
      <c r="I1687">
        <f>IFERROR(SUMIF(A$6:A1687,"&lt;&gt;""",G$6:G1687)-SUMIF(A$6:A1687,"&lt;&gt;""",H$6:H1687),"")</f>
        <v/>
      </c>
    </row>
    <row r="1688">
      <c r="I1688">
        <f>IFERROR(SUMIF(A$6:A1688,"&lt;&gt;""",G$6:G1688)-SUMIF(A$6:A1688,"&lt;&gt;""",H$6:H1688),"")</f>
        <v/>
      </c>
    </row>
    <row r="1689">
      <c r="I1689">
        <f>IFERROR(SUMIF(A$6:A1689,"&lt;&gt;""",G$6:G1689)-SUMIF(A$6:A1689,"&lt;&gt;""",H$6:H1689),"")</f>
        <v/>
      </c>
    </row>
    <row r="1690">
      <c r="I1690">
        <f>IFERROR(SUMIF(A$6:A1690,"&lt;&gt;""",G$6:G1690)-SUMIF(A$6:A1690,"&lt;&gt;""",H$6:H1690),"")</f>
        <v/>
      </c>
    </row>
    <row r="1691">
      <c r="I1691">
        <f>IFERROR(SUMIF(A$6:A1691,"&lt;&gt;""",G$6:G1691)-SUMIF(A$6:A1691,"&lt;&gt;""",H$6:H1691),"")</f>
        <v/>
      </c>
    </row>
    <row r="1692">
      <c r="I1692">
        <f>IFERROR(SUMIF(A$6:A1692,"&lt;&gt;""",G$6:G1692)-SUMIF(A$6:A1692,"&lt;&gt;""",H$6:H1692),"")</f>
        <v/>
      </c>
    </row>
    <row r="1693">
      <c r="I1693">
        <f>IFERROR(SUMIF(A$6:A1693,"&lt;&gt;""",G$6:G1693)-SUMIF(A$6:A1693,"&lt;&gt;""",H$6:H1693),"")</f>
        <v/>
      </c>
    </row>
    <row r="1694">
      <c r="I1694">
        <f>IFERROR(SUMIF(A$6:A1694,"&lt;&gt;""",G$6:G1694)-SUMIF(A$6:A1694,"&lt;&gt;""",H$6:H1694),"")</f>
        <v/>
      </c>
    </row>
    <row r="1695">
      <c r="I1695">
        <f>IFERROR(SUMIF(A$6:A1695,"&lt;&gt;""",G$6:G1695)-SUMIF(A$6:A1695,"&lt;&gt;""",H$6:H1695),"")</f>
        <v/>
      </c>
    </row>
    <row r="1696">
      <c r="I1696">
        <f>IFERROR(SUMIF(A$6:A1696,"&lt;&gt;""",G$6:G1696)-SUMIF(A$6:A1696,"&lt;&gt;""",H$6:H1696),"")</f>
        <v/>
      </c>
    </row>
    <row r="1697">
      <c r="I1697">
        <f>IFERROR(SUMIF(A$6:A1697,"&lt;&gt;""",G$6:G1697)-SUMIF(A$6:A1697,"&lt;&gt;""",H$6:H1697),"")</f>
        <v/>
      </c>
    </row>
    <row r="1698">
      <c r="I1698">
        <f>IFERROR(SUMIF(A$6:A1698,"&lt;&gt;""",G$6:G1698)-SUMIF(A$6:A1698,"&lt;&gt;""",H$6:H1698),"")</f>
        <v/>
      </c>
    </row>
    <row r="1699">
      <c r="I1699">
        <f>IFERROR(SUMIF(A$6:A1699,"&lt;&gt;""",G$6:G1699)-SUMIF(A$6:A1699,"&lt;&gt;""",H$6:H1699),"")</f>
        <v/>
      </c>
    </row>
    <row r="1700">
      <c r="I1700">
        <f>IFERROR(SUMIF(A$6:A1700,"&lt;&gt;""",G$6:G1700)-SUMIF(A$6:A1700,"&lt;&gt;""",H$6:H1700),"")</f>
        <v/>
      </c>
    </row>
    <row r="1701">
      <c r="I1701">
        <f>IFERROR(SUMIF(A$6:A1701,"&lt;&gt;""",G$6:G1701)-SUMIF(A$6:A1701,"&lt;&gt;""",H$6:H1701),"")</f>
        <v/>
      </c>
    </row>
    <row r="1702">
      <c r="I1702">
        <f>IFERROR(SUMIF(A$6:A1702,"&lt;&gt;""",G$6:G1702)-SUMIF(A$6:A1702,"&lt;&gt;""",H$6:H1702),"")</f>
        <v/>
      </c>
    </row>
    <row r="1703">
      <c r="I1703">
        <f>IFERROR(SUMIF(A$6:A1703,"&lt;&gt;""",G$6:G1703)-SUMIF(A$6:A1703,"&lt;&gt;""",H$6:H1703),"")</f>
        <v/>
      </c>
    </row>
    <row r="1704">
      <c r="I1704">
        <f>IFERROR(SUMIF(A$6:A1704,"&lt;&gt;""",G$6:G1704)-SUMIF(A$6:A1704,"&lt;&gt;""",H$6:H1704),"")</f>
        <v/>
      </c>
    </row>
    <row r="1705">
      <c r="I1705">
        <f>IFERROR(SUMIF(A$6:A1705,"&lt;&gt;""",G$6:G1705)-SUMIF(A$6:A1705,"&lt;&gt;""",H$6:H1705),"")</f>
        <v/>
      </c>
    </row>
    <row r="1706">
      <c r="I1706">
        <f>IFERROR(SUMIF(A$6:A1706,"&lt;&gt;""",G$6:G1706)-SUMIF(A$6:A1706,"&lt;&gt;""",H$6:H1706),"")</f>
        <v/>
      </c>
    </row>
    <row r="1707">
      <c r="I1707">
        <f>IFERROR(SUMIF(A$6:A1707,"&lt;&gt;""",G$6:G1707)-SUMIF(A$6:A1707,"&lt;&gt;""",H$6:H1707),"")</f>
        <v/>
      </c>
    </row>
    <row r="1708">
      <c r="I1708">
        <f>IFERROR(SUMIF(A$6:A1708,"&lt;&gt;""",G$6:G1708)-SUMIF(A$6:A1708,"&lt;&gt;""",H$6:H1708),"")</f>
        <v/>
      </c>
    </row>
    <row r="1709">
      <c r="I1709">
        <f>IFERROR(SUMIF(A$6:A1709,"&lt;&gt;""",G$6:G1709)-SUMIF(A$6:A1709,"&lt;&gt;""",H$6:H1709),"")</f>
        <v/>
      </c>
    </row>
    <row r="1710">
      <c r="I1710">
        <f>IFERROR(SUMIF(A$6:A1710,"&lt;&gt;""",G$6:G1710)-SUMIF(A$6:A1710,"&lt;&gt;""",H$6:H1710),"")</f>
        <v/>
      </c>
    </row>
    <row r="1711">
      <c r="I1711">
        <f>IFERROR(SUMIF(A$6:A1711,"&lt;&gt;""",G$6:G1711)-SUMIF(A$6:A1711,"&lt;&gt;""",H$6:H1711),"")</f>
        <v/>
      </c>
    </row>
    <row r="1712">
      <c r="I1712">
        <f>IFERROR(SUMIF(A$6:A1712,"&lt;&gt;""",G$6:G1712)-SUMIF(A$6:A1712,"&lt;&gt;""",H$6:H1712),"")</f>
        <v/>
      </c>
    </row>
    <row r="1713">
      <c r="I1713">
        <f>IFERROR(SUMIF(A$6:A1713,"&lt;&gt;""",G$6:G1713)-SUMIF(A$6:A1713,"&lt;&gt;""",H$6:H1713),"")</f>
        <v/>
      </c>
    </row>
    <row r="1714">
      <c r="I1714">
        <f>IFERROR(SUMIF(A$6:A1714,"&lt;&gt;""",G$6:G1714)-SUMIF(A$6:A1714,"&lt;&gt;""",H$6:H1714),"")</f>
        <v/>
      </c>
    </row>
    <row r="1715">
      <c r="I1715">
        <f>IFERROR(SUMIF(A$6:A1715,"&lt;&gt;""",G$6:G1715)-SUMIF(A$6:A1715,"&lt;&gt;""",H$6:H1715),"")</f>
        <v/>
      </c>
    </row>
    <row r="1716">
      <c r="I1716">
        <f>IFERROR(SUMIF(A$6:A1716,"&lt;&gt;""",G$6:G1716)-SUMIF(A$6:A1716,"&lt;&gt;""",H$6:H1716),"")</f>
        <v/>
      </c>
    </row>
    <row r="1717">
      <c r="I1717">
        <f>IFERROR(SUMIF(A$6:A1717,"&lt;&gt;""",G$6:G1717)-SUMIF(A$6:A1717,"&lt;&gt;""",H$6:H1717),"")</f>
        <v/>
      </c>
    </row>
    <row r="1718">
      <c r="I1718">
        <f>IFERROR(SUMIF(A$6:A1718,"&lt;&gt;""",G$6:G1718)-SUMIF(A$6:A1718,"&lt;&gt;""",H$6:H1718),"")</f>
        <v/>
      </c>
    </row>
    <row r="1719">
      <c r="I1719">
        <f>IFERROR(SUMIF(A$6:A1719,"&lt;&gt;""",G$6:G1719)-SUMIF(A$6:A1719,"&lt;&gt;""",H$6:H1719),"")</f>
        <v/>
      </c>
    </row>
    <row r="1720">
      <c r="I1720">
        <f>IFERROR(SUMIF(A$6:A1720,"&lt;&gt;""",G$6:G1720)-SUMIF(A$6:A1720,"&lt;&gt;""",H$6:H1720),"")</f>
        <v/>
      </c>
    </row>
    <row r="1721">
      <c r="I1721">
        <f>IFERROR(SUMIF(A$6:A1721,"&lt;&gt;""",G$6:G1721)-SUMIF(A$6:A1721,"&lt;&gt;""",H$6:H1721),"")</f>
        <v/>
      </c>
    </row>
    <row r="1722">
      <c r="I1722">
        <f>IFERROR(SUMIF(A$6:A1722,"&lt;&gt;""",G$6:G1722)-SUMIF(A$6:A1722,"&lt;&gt;""",H$6:H1722),"")</f>
        <v/>
      </c>
    </row>
    <row r="1723">
      <c r="I1723">
        <f>IFERROR(SUMIF(A$6:A1723,"&lt;&gt;""",G$6:G1723)-SUMIF(A$6:A1723,"&lt;&gt;""",H$6:H1723),"")</f>
        <v/>
      </c>
    </row>
    <row r="1724">
      <c r="I1724">
        <f>IFERROR(SUMIF(A$6:A1724,"&lt;&gt;""",G$6:G1724)-SUMIF(A$6:A1724,"&lt;&gt;""",H$6:H1724),"")</f>
        <v/>
      </c>
    </row>
    <row r="1725">
      <c r="I1725">
        <f>IFERROR(SUMIF(A$6:A1725,"&lt;&gt;""",G$6:G1725)-SUMIF(A$6:A1725,"&lt;&gt;""",H$6:H1725),"")</f>
        <v/>
      </c>
    </row>
    <row r="1726">
      <c r="I1726">
        <f>IFERROR(SUMIF(A$6:A1726,"&lt;&gt;""",G$6:G1726)-SUMIF(A$6:A1726,"&lt;&gt;""",H$6:H1726),"")</f>
        <v/>
      </c>
    </row>
    <row r="1727">
      <c r="I1727">
        <f>IFERROR(SUMIF(A$6:A1727,"&lt;&gt;""",G$6:G1727)-SUMIF(A$6:A1727,"&lt;&gt;""",H$6:H1727),"")</f>
        <v/>
      </c>
    </row>
    <row r="1728">
      <c r="I1728">
        <f>IFERROR(SUMIF(A$6:A1728,"&lt;&gt;""",G$6:G1728)-SUMIF(A$6:A1728,"&lt;&gt;""",H$6:H1728),"")</f>
        <v/>
      </c>
    </row>
    <row r="1729">
      <c r="I1729">
        <f>IFERROR(SUMIF(A$6:A1729,"&lt;&gt;""",G$6:G1729)-SUMIF(A$6:A1729,"&lt;&gt;""",H$6:H1729),"")</f>
        <v/>
      </c>
    </row>
    <row r="1730">
      <c r="I1730">
        <f>IFERROR(SUMIF(A$6:A1730,"&lt;&gt;""",G$6:G1730)-SUMIF(A$6:A1730,"&lt;&gt;""",H$6:H1730),"")</f>
        <v/>
      </c>
    </row>
    <row r="1731">
      <c r="I1731">
        <f>IFERROR(SUMIF(A$6:A1731,"&lt;&gt;""",G$6:G1731)-SUMIF(A$6:A1731,"&lt;&gt;""",H$6:H1731),"")</f>
        <v/>
      </c>
    </row>
    <row r="1732">
      <c r="I1732">
        <f>IFERROR(SUMIF(A$6:A1732,"&lt;&gt;""",G$6:G1732)-SUMIF(A$6:A1732,"&lt;&gt;""",H$6:H1732),"")</f>
        <v/>
      </c>
    </row>
    <row r="1733">
      <c r="I1733">
        <f>IFERROR(SUMIF(A$6:A1733,"&lt;&gt;""",G$6:G1733)-SUMIF(A$6:A1733,"&lt;&gt;""",H$6:H1733),"")</f>
        <v/>
      </c>
    </row>
    <row r="1734">
      <c r="I1734">
        <f>IFERROR(SUMIF(A$6:A1734,"&lt;&gt;""",G$6:G1734)-SUMIF(A$6:A1734,"&lt;&gt;""",H$6:H1734),"")</f>
        <v/>
      </c>
    </row>
    <row r="1735">
      <c r="I1735">
        <f>IFERROR(SUMIF(A$6:A1735,"&lt;&gt;""",G$6:G1735)-SUMIF(A$6:A1735,"&lt;&gt;""",H$6:H1735),"")</f>
        <v/>
      </c>
    </row>
    <row r="1736">
      <c r="I1736">
        <f>IFERROR(SUMIF(A$6:A1736,"&lt;&gt;""",G$6:G1736)-SUMIF(A$6:A1736,"&lt;&gt;""",H$6:H1736),"")</f>
        <v/>
      </c>
    </row>
    <row r="1737">
      <c r="I1737">
        <f>IFERROR(SUMIF(A$6:A1737,"&lt;&gt;""",G$6:G1737)-SUMIF(A$6:A1737,"&lt;&gt;""",H$6:H1737),"")</f>
        <v/>
      </c>
    </row>
    <row r="1738">
      <c r="I1738">
        <f>IFERROR(SUMIF(A$6:A1738,"&lt;&gt;""",G$6:G1738)-SUMIF(A$6:A1738,"&lt;&gt;""",H$6:H1738),"")</f>
        <v/>
      </c>
    </row>
    <row r="1739">
      <c r="I1739">
        <f>IFERROR(SUMIF(A$6:A1739,"&lt;&gt;""",G$6:G1739)-SUMIF(A$6:A1739,"&lt;&gt;""",H$6:H1739),"")</f>
        <v/>
      </c>
    </row>
    <row r="1740">
      <c r="I1740">
        <f>IFERROR(SUMIF(A$6:A1740,"&lt;&gt;""",G$6:G1740)-SUMIF(A$6:A1740,"&lt;&gt;""",H$6:H1740),"")</f>
        <v/>
      </c>
    </row>
    <row r="1741">
      <c r="I1741">
        <f>IFERROR(SUMIF(A$6:A1741,"&lt;&gt;""",G$6:G1741)-SUMIF(A$6:A1741,"&lt;&gt;""",H$6:H1741),"")</f>
        <v/>
      </c>
    </row>
    <row r="1742">
      <c r="I1742">
        <f>IFERROR(SUMIF(A$6:A1742,"&lt;&gt;""",G$6:G1742)-SUMIF(A$6:A1742,"&lt;&gt;""",H$6:H1742),"")</f>
        <v/>
      </c>
    </row>
    <row r="1743">
      <c r="I1743">
        <f>IFERROR(SUMIF(A$6:A1743,"&lt;&gt;""",G$6:G1743)-SUMIF(A$6:A1743,"&lt;&gt;""",H$6:H1743),"")</f>
        <v/>
      </c>
    </row>
    <row r="1744">
      <c r="I1744">
        <f>IFERROR(SUMIF(A$6:A1744,"&lt;&gt;""",G$6:G1744)-SUMIF(A$6:A1744,"&lt;&gt;""",H$6:H1744),"")</f>
        <v/>
      </c>
    </row>
    <row r="1745">
      <c r="I1745">
        <f>IFERROR(SUMIF(A$6:A1745,"&lt;&gt;""",G$6:G1745)-SUMIF(A$6:A1745,"&lt;&gt;""",H$6:H1745),"")</f>
        <v/>
      </c>
    </row>
    <row r="1746">
      <c r="I1746">
        <f>IFERROR(SUMIF(A$6:A1746,"&lt;&gt;""",G$6:G1746)-SUMIF(A$6:A1746,"&lt;&gt;""",H$6:H1746),"")</f>
        <v/>
      </c>
    </row>
    <row r="1747">
      <c r="I1747">
        <f>IFERROR(SUMIF(A$6:A1747,"&lt;&gt;""",G$6:G1747)-SUMIF(A$6:A1747,"&lt;&gt;""",H$6:H1747),"")</f>
        <v/>
      </c>
    </row>
    <row r="1748">
      <c r="I1748">
        <f>IFERROR(SUMIF(A$6:A1748,"&lt;&gt;""",G$6:G1748)-SUMIF(A$6:A1748,"&lt;&gt;""",H$6:H1748),"")</f>
        <v/>
      </c>
    </row>
    <row r="1749">
      <c r="I1749">
        <f>IFERROR(SUMIF(A$6:A1749,"&lt;&gt;""",G$6:G1749)-SUMIF(A$6:A1749,"&lt;&gt;""",H$6:H1749),"")</f>
        <v/>
      </c>
    </row>
    <row r="1750">
      <c r="I1750">
        <f>IFERROR(SUMIF(A$6:A1750,"&lt;&gt;""",G$6:G1750)-SUMIF(A$6:A1750,"&lt;&gt;""",H$6:H1750),"")</f>
        <v/>
      </c>
    </row>
    <row r="1751">
      <c r="I1751">
        <f>IFERROR(SUMIF(A$6:A1751,"&lt;&gt;""",G$6:G1751)-SUMIF(A$6:A1751,"&lt;&gt;""",H$6:H1751),"")</f>
        <v/>
      </c>
    </row>
    <row r="1752">
      <c r="I1752">
        <f>IFERROR(SUMIF(A$6:A1752,"&lt;&gt;""",G$6:G1752)-SUMIF(A$6:A1752,"&lt;&gt;""",H$6:H1752),"")</f>
        <v/>
      </c>
    </row>
    <row r="1753">
      <c r="I1753">
        <f>IFERROR(SUMIF(A$6:A1753,"&lt;&gt;""",G$6:G1753)-SUMIF(A$6:A1753,"&lt;&gt;""",H$6:H1753),"")</f>
        <v/>
      </c>
    </row>
    <row r="1754">
      <c r="I1754">
        <f>IFERROR(SUMIF(A$6:A1754,"&lt;&gt;""",G$6:G1754)-SUMIF(A$6:A1754,"&lt;&gt;""",H$6:H1754),"")</f>
        <v/>
      </c>
    </row>
    <row r="1755">
      <c r="I1755">
        <f>IFERROR(SUMIF(A$6:A1755,"&lt;&gt;""",G$6:G1755)-SUMIF(A$6:A1755,"&lt;&gt;""",H$6:H1755),"")</f>
        <v/>
      </c>
    </row>
    <row r="1756">
      <c r="I1756">
        <f>IFERROR(SUMIF(A$6:A1756,"&lt;&gt;""",G$6:G1756)-SUMIF(A$6:A1756,"&lt;&gt;""",H$6:H1756),"")</f>
        <v/>
      </c>
    </row>
    <row r="1757">
      <c r="I1757">
        <f>IFERROR(SUMIF(A$6:A1757,"&lt;&gt;""",G$6:G1757)-SUMIF(A$6:A1757,"&lt;&gt;""",H$6:H1757),"")</f>
        <v/>
      </c>
    </row>
    <row r="1758">
      <c r="I1758">
        <f>IFERROR(SUMIF(A$6:A1758,"&lt;&gt;""",G$6:G1758)-SUMIF(A$6:A1758,"&lt;&gt;""",H$6:H1758),"")</f>
        <v/>
      </c>
    </row>
    <row r="1759">
      <c r="I1759">
        <f>IFERROR(SUMIF(A$6:A1759,"&lt;&gt;""",G$6:G1759)-SUMIF(A$6:A1759,"&lt;&gt;""",H$6:H1759),"")</f>
        <v/>
      </c>
    </row>
    <row r="1760">
      <c r="I1760">
        <f>IFERROR(SUMIF(A$6:A1760,"&lt;&gt;""",G$6:G1760)-SUMIF(A$6:A1760,"&lt;&gt;""",H$6:H1760),"")</f>
        <v/>
      </c>
    </row>
    <row r="1761">
      <c r="I1761">
        <f>IFERROR(SUMIF(A$6:A1761,"&lt;&gt;""",G$6:G1761)-SUMIF(A$6:A1761,"&lt;&gt;""",H$6:H1761),"")</f>
        <v/>
      </c>
    </row>
    <row r="1762">
      <c r="I1762">
        <f>IFERROR(SUMIF(A$6:A1762,"&lt;&gt;""",G$6:G1762)-SUMIF(A$6:A1762,"&lt;&gt;""",H$6:H1762),"")</f>
        <v/>
      </c>
    </row>
    <row r="1763">
      <c r="I1763">
        <f>IFERROR(SUMIF(A$6:A1763,"&lt;&gt;""",G$6:G1763)-SUMIF(A$6:A1763,"&lt;&gt;""",H$6:H1763),"")</f>
        <v/>
      </c>
    </row>
    <row r="1764">
      <c r="I1764">
        <f>IFERROR(SUMIF(A$6:A1764,"&lt;&gt;""",G$6:G1764)-SUMIF(A$6:A1764,"&lt;&gt;""",H$6:H1764),"")</f>
        <v/>
      </c>
    </row>
    <row r="1765">
      <c r="I1765">
        <f>IFERROR(SUMIF(A$6:A1765,"&lt;&gt;""",G$6:G1765)-SUMIF(A$6:A1765,"&lt;&gt;""",H$6:H1765),"")</f>
        <v/>
      </c>
    </row>
    <row r="1766">
      <c r="I1766">
        <f>IFERROR(SUMIF(A$6:A1766,"&lt;&gt;""",G$6:G1766)-SUMIF(A$6:A1766,"&lt;&gt;""",H$6:H1766),"")</f>
        <v/>
      </c>
    </row>
    <row r="1767">
      <c r="I1767">
        <f>IFERROR(SUMIF(A$6:A1767,"&lt;&gt;""",G$6:G1767)-SUMIF(A$6:A1767,"&lt;&gt;""",H$6:H1767),"")</f>
        <v/>
      </c>
    </row>
    <row r="1768">
      <c r="I1768">
        <f>IFERROR(SUMIF(A$6:A1768,"&lt;&gt;""",G$6:G1768)-SUMIF(A$6:A1768,"&lt;&gt;""",H$6:H1768),"")</f>
        <v/>
      </c>
    </row>
    <row r="1769">
      <c r="I1769">
        <f>IFERROR(SUMIF(A$6:A1769,"&lt;&gt;""",G$6:G1769)-SUMIF(A$6:A1769,"&lt;&gt;""",H$6:H1769),"")</f>
        <v/>
      </c>
    </row>
    <row r="1770">
      <c r="I1770">
        <f>IFERROR(SUMIF(A$6:A1770,"&lt;&gt;""",G$6:G1770)-SUMIF(A$6:A1770,"&lt;&gt;""",H$6:H1770),"")</f>
        <v/>
      </c>
    </row>
    <row r="1771">
      <c r="I1771">
        <f>IFERROR(SUMIF(A$6:A1771,"&lt;&gt;""",G$6:G1771)-SUMIF(A$6:A1771,"&lt;&gt;""",H$6:H1771),"")</f>
        <v/>
      </c>
    </row>
    <row r="1772">
      <c r="I1772">
        <f>IFERROR(SUMIF(A$6:A1772,"&lt;&gt;""",G$6:G1772)-SUMIF(A$6:A1772,"&lt;&gt;""",H$6:H1772),"")</f>
        <v/>
      </c>
    </row>
    <row r="1773">
      <c r="I1773">
        <f>IFERROR(SUMIF(A$6:A1773,"&lt;&gt;""",G$6:G1773)-SUMIF(A$6:A1773,"&lt;&gt;""",H$6:H1773),"")</f>
        <v/>
      </c>
    </row>
    <row r="1774">
      <c r="I1774">
        <f>IFERROR(SUMIF(A$6:A1774,"&lt;&gt;""",G$6:G1774)-SUMIF(A$6:A1774,"&lt;&gt;""",H$6:H1774),"")</f>
        <v/>
      </c>
    </row>
    <row r="1775">
      <c r="I1775">
        <f>IFERROR(SUMIF(A$6:A1775,"&lt;&gt;""",G$6:G1775)-SUMIF(A$6:A1775,"&lt;&gt;""",H$6:H1775),"")</f>
        <v/>
      </c>
    </row>
    <row r="1776">
      <c r="I1776">
        <f>IFERROR(SUMIF(A$6:A1776,"&lt;&gt;""",G$6:G1776)-SUMIF(A$6:A1776,"&lt;&gt;""",H$6:H1776),"")</f>
        <v/>
      </c>
    </row>
    <row r="1777">
      <c r="I1777">
        <f>IFERROR(SUMIF(A$6:A1777,"&lt;&gt;""",G$6:G1777)-SUMIF(A$6:A1777,"&lt;&gt;""",H$6:H1777),"")</f>
        <v/>
      </c>
    </row>
    <row r="1778">
      <c r="I1778">
        <f>IFERROR(SUMIF(A$6:A1778,"&lt;&gt;""",G$6:G1778)-SUMIF(A$6:A1778,"&lt;&gt;""",H$6:H1778),"")</f>
        <v/>
      </c>
    </row>
    <row r="1779">
      <c r="I1779">
        <f>IFERROR(SUMIF(A$6:A1779,"&lt;&gt;""",G$6:G1779)-SUMIF(A$6:A1779,"&lt;&gt;""",H$6:H1779),"")</f>
        <v/>
      </c>
    </row>
    <row r="1780">
      <c r="I1780">
        <f>IFERROR(SUMIF(A$6:A1780,"&lt;&gt;""",G$6:G1780)-SUMIF(A$6:A1780,"&lt;&gt;""",H$6:H1780),"")</f>
        <v/>
      </c>
    </row>
    <row r="1781">
      <c r="I1781">
        <f>IFERROR(SUMIF(A$6:A1781,"&lt;&gt;""",G$6:G1781)-SUMIF(A$6:A1781,"&lt;&gt;""",H$6:H1781),"")</f>
        <v/>
      </c>
    </row>
    <row r="1782">
      <c r="I1782">
        <f>IFERROR(SUMIF(A$6:A1782,"&lt;&gt;""",G$6:G1782)-SUMIF(A$6:A1782,"&lt;&gt;""",H$6:H1782),"")</f>
        <v/>
      </c>
    </row>
    <row r="1783">
      <c r="I1783">
        <f>IFERROR(SUMIF(A$6:A1783,"&lt;&gt;""",G$6:G1783)-SUMIF(A$6:A1783,"&lt;&gt;""",H$6:H1783),"")</f>
        <v/>
      </c>
    </row>
    <row r="1784">
      <c r="I1784">
        <f>IFERROR(SUMIF(A$6:A1784,"&lt;&gt;""",G$6:G1784)-SUMIF(A$6:A1784,"&lt;&gt;""",H$6:H1784),"")</f>
        <v/>
      </c>
    </row>
    <row r="1785">
      <c r="I1785">
        <f>IFERROR(SUMIF(A$6:A1785,"&lt;&gt;""",G$6:G1785)-SUMIF(A$6:A1785,"&lt;&gt;""",H$6:H1785),"")</f>
        <v/>
      </c>
    </row>
    <row r="1786">
      <c r="I1786">
        <f>IFERROR(SUMIF(A$6:A1786,"&lt;&gt;""",G$6:G1786)-SUMIF(A$6:A1786,"&lt;&gt;""",H$6:H1786),"")</f>
        <v/>
      </c>
    </row>
    <row r="1787">
      <c r="I1787">
        <f>IFERROR(SUMIF(A$6:A1787,"&lt;&gt;""",G$6:G1787)-SUMIF(A$6:A1787,"&lt;&gt;""",H$6:H1787),"")</f>
        <v/>
      </c>
    </row>
    <row r="1788">
      <c r="I1788">
        <f>IFERROR(SUMIF(A$6:A1788,"&lt;&gt;""",G$6:G1788)-SUMIF(A$6:A1788,"&lt;&gt;""",H$6:H1788),"")</f>
        <v/>
      </c>
    </row>
    <row r="1789">
      <c r="I1789">
        <f>IFERROR(SUMIF(A$6:A1789,"&lt;&gt;""",G$6:G1789)-SUMIF(A$6:A1789,"&lt;&gt;""",H$6:H1789),"")</f>
        <v/>
      </c>
    </row>
    <row r="1790">
      <c r="I1790">
        <f>IFERROR(SUMIF(A$6:A1790,"&lt;&gt;""",G$6:G1790)-SUMIF(A$6:A1790,"&lt;&gt;""",H$6:H1790),"")</f>
        <v/>
      </c>
    </row>
    <row r="1791">
      <c r="I1791">
        <f>IFERROR(SUMIF(A$6:A1791,"&lt;&gt;""",G$6:G1791)-SUMIF(A$6:A1791,"&lt;&gt;""",H$6:H1791),"")</f>
        <v/>
      </c>
    </row>
    <row r="1792">
      <c r="I1792">
        <f>IFERROR(SUMIF(A$6:A1792,"&lt;&gt;""",G$6:G1792)-SUMIF(A$6:A1792,"&lt;&gt;""",H$6:H1792),"")</f>
        <v/>
      </c>
    </row>
    <row r="1793">
      <c r="I1793">
        <f>IFERROR(SUMIF(A$6:A1793,"&lt;&gt;""",G$6:G1793)-SUMIF(A$6:A1793,"&lt;&gt;""",H$6:H1793),"")</f>
        <v/>
      </c>
    </row>
    <row r="1794">
      <c r="I1794">
        <f>IFERROR(SUMIF(A$6:A1794,"&lt;&gt;""",G$6:G1794)-SUMIF(A$6:A1794,"&lt;&gt;""",H$6:H1794),"")</f>
        <v/>
      </c>
    </row>
    <row r="1795">
      <c r="I1795">
        <f>IFERROR(SUMIF(A$6:A1795,"&lt;&gt;""",G$6:G1795)-SUMIF(A$6:A1795,"&lt;&gt;""",H$6:H1795),"")</f>
        <v/>
      </c>
    </row>
    <row r="1796">
      <c r="I1796">
        <f>IFERROR(SUMIF(A$6:A1796,"&lt;&gt;""",G$6:G1796)-SUMIF(A$6:A1796,"&lt;&gt;""",H$6:H1796),"")</f>
        <v/>
      </c>
    </row>
    <row r="1797">
      <c r="I1797">
        <f>IFERROR(SUMIF(A$6:A1797,"&lt;&gt;""",G$6:G1797)-SUMIF(A$6:A1797,"&lt;&gt;""",H$6:H1797),"")</f>
        <v/>
      </c>
    </row>
    <row r="1798">
      <c r="I1798">
        <f>IFERROR(SUMIF(A$6:A1798,"&lt;&gt;""",G$6:G1798)-SUMIF(A$6:A1798,"&lt;&gt;""",H$6:H1798),"")</f>
        <v/>
      </c>
    </row>
    <row r="1799">
      <c r="I1799">
        <f>IFERROR(SUMIF(A$6:A1799,"&lt;&gt;""",G$6:G1799)-SUMIF(A$6:A1799,"&lt;&gt;""",H$6:H1799),"")</f>
        <v/>
      </c>
    </row>
    <row r="1800">
      <c r="I1800">
        <f>IFERROR(SUMIF(A$6:A1800,"&lt;&gt;""",G$6:G1800)-SUMIF(A$6:A1800,"&lt;&gt;""",H$6:H1800),"")</f>
        <v/>
      </c>
    </row>
    <row r="1801">
      <c r="I1801">
        <f>IFERROR(SUMIF(A$6:A1801,"&lt;&gt;""",G$6:G1801)-SUMIF(A$6:A1801,"&lt;&gt;""",H$6:H1801),"")</f>
        <v/>
      </c>
    </row>
    <row r="1802">
      <c r="I1802">
        <f>IFERROR(SUMIF(A$6:A1802,"&lt;&gt;""",G$6:G1802)-SUMIF(A$6:A1802,"&lt;&gt;""",H$6:H1802),"")</f>
        <v/>
      </c>
    </row>
    <row r="1803">
      <c r="I1803">
        <f>IFERROR(SUMIF(A$6:A1803,"&lt;&gt;""",G$6:G1803)-SUMIF(A$6:A1803,"&lt;&gt;""",H$6:H1803),"")</f>
        <v/>
      </c>
    </row>
    <row r="1804">
      <c r="I1804">
        <f>IFERROR(SUMIF(A$6:A1804,"&lt;&gt;""",G$6:G1804)-SUMIF(A$6:A1804,"&lt;&gt;""",H$6:H1804),"")</f>
        <v/>
      </c>
    </row>
    <row r="1805">
      <c r="I1805">
        <f>IFERROR(SUMIF(A$6:A1805,"&lt;&gt;""",G$6:G1805)-SUMIF(A$6:A1805,"&lt;&gt;""",H$6:H1805),"")</f>
        <v/>
      </c>
    </row>
    <row r="1806">
      <c r="I1806">
        <f>IFERROR(SUMIF(A$6:A1806,"&lt;&gt;""",G$6:G1806)-SUMIF(A$6:A1806,"&lt;&gt;""",H$6:H1806),"")</f>
        <v/>
      </c>
    </row>
    <row r="1807">
      <c r="I1807">
        <f>IFERROR(SUMIF(A$6:A1807,"&lt;&gt;""",G$6:G1807)-SUMIF(A$6:A1807,"&lt;&gt;""",H$6:H1807),"")</f>
        <v/>
      </c>
    </row>
    <row r="1808">
      <c r="I1808">
        <f>IFERROR(SUMIF(A$6:A1808,"&lt;&gt;""",G$6:G1808)-SUMIF(A$6:A1808,"&lt;&gt;""",H$6:H1808),"")</f>
        <v/>
      </c>
    </row>
    <row r="1809">
      <c r="I1809">
        <f>IFERROR(SUMIF(A$6:A1809,"&lt;&gt;""",G$6:G1809)-SUMIF(A$6:A1809,"&lt;&gt;""",H$6:H1809),"")</f>
        <v/>
      </c>
    </row>
    <row r="1810">
      <c r="I1810">
        <f>IFERROR(SUMIF(A$6:A1810,"&lt;&gt;""",G$6:G1810)-SUMIF(A$6:A1810,"&lt;&gt;""",H$6:H1810),"")</f>
        <v/>
      </c>
    </row>
    <row r="1811">
      <c r="I1811">
        <f>IFERROR(SUMIF(A$6:A1811,"&lt;&gt;""",G$6:G1811)-SUMIF(A$6:A1811,"&lt;&gt;""",H$6:H1811),"")</f>
        <v/>
      </c>
    </row>
    <row r="1812">
      <c r="I1812">
        <f>IFERROR(SUMIF(A$6:A1812,"&lt;&gt;""",G$6:G1812)-SUMIF(A$6:A1812,"&lt;&gt;""",H$6:H1812),"")</f>
        <v/>
      </c>
    </row>
    <row r="1813">
      <c r="I1813">
        <f>IFERROR(SUMIF(A$6:A1813,"&lt;&gt;""",G$6:G1813)-SUMIF(A$6:A1813,"&lt;&gt;""",H$6:H1813),"")</f>
        <v/>
      </c>
    </row>
    <row r="1814">
      <c r="I1814">
        <f>IFERROR(SUMIF(A$6:A1814,"&lt;&gt;""",G$6:G1814)-SUMIF(A$6:A1814,"&lt;&gt;""",H$6:H1814),"")</f>
        <v/>
      </c>
    </row>
    <row r="1815">
      <c r="I1815">
        <f>IFERROR(SUMIF(A$6:A1815,"&lt;&gt;""",G$6:G1815)-SUMIF(A$6:A1815,"&lt;&gt;""",H$6:H1815),"")</f>
        <v/>
      </c>
    </row>
    <row r="1816">
      <c r="I1816">
        <f>IFERROR(SUMIF(A$6:A1816,"&lt;&gt;""",G$6:G1816)-SUMIF(A$6:A1816,"&lt;&gt;""",H$6:H1816),"")</f>
        <v/>
      </c>
    </row>
    <row r="1817">
      <c r="I1817">
        <f>IFERROR(SUMIF(A$6:A1817,"&lt;&gt;""",G$6:G1817)-SUMIF(A$6:A1817,"&lt;&gt;""",H$6:H1817),"")</f>
        <v/>
      </c>
    </row>
    <row r="1818">
      <c r="I1818">
        <f>IFERROR(SUMIF(A$6:A1818,"&lt;&gt;""",G$6:G1818)-SUMIF(A$6:A1818,"&lt;&gt;""",H$6:H1818),"")</f>
        <v/>
      </c>
    </row>
    <row r="1819">
      <c r="I1819">
        <f>IFERROR(SUMIF(A$6:A1819,"&lt;&gt;""",G$6:G1819)-SUMIF(A$6:A1819,"&lt;&gt;""",H$6:H1819),"")</f>
        <v/>
      </c>
    </row>
    <row r="1820">
      <c r="I1820">
        <f>IFERROR(SUMIF(A$6:A1820,"&lt;&gt;""",G$6:G1820)-SUMIF(A$6:A1820,"&lt;&gt;""",H$6:H1820),"")</f>
        <v/>
      </c>
    </row>
    <row r="1821">
      <c r="I1821">
        <f>IFERROR(SUMIF(A$6:A1821,"&lt;&gt;""",G$6:G1821)-SUMIF(A$6:A1821,"&lt;&gt;""",H$6:H1821),"")</f>
        <v/>
      </c>
    </row>
    <row r="1822">
      <c r="I1822">
        <f>IFERROR(SUMIF(A$6:A1822,"&lt;&gt;""",G$6:G1822)-SUMIF(A$6:A1822,"&lt;&gt;""",H$6:H1822),"")</f>
        <v/>
      </c>
    </row>
    <row r="1823">
      <c r="I1823">
        <f>IFERROR(SUMIF(A$6:A1823,"&lt;&gt;""",G$6:G1823)-SUMIF(A$6:A1823,"&lt;&gt;""",H$6:H1823),"")</f>
        <v/>
      </c>
    </row>
    <row r="1824">
      <c r="I1824">
        <f>IFERROR(SUMIF(A$6:A1824,"&lt;&gt;""",G$6:G1824)-SUMIF(A$6:A1824,"&lt;&gt;""",H$6:H1824),"")</f>
        <v/>
      </c>
    </row>
    <row r="1825">
      <c r="I1825">
        <f>IFERROR(SUMIF(A$6:A1825,"&lt;&gt;""",G$6:G1825)-SUMIF(A$6:A1825,"&lt;&gt;""",H$6:H1825),"")</f>
        <v/>
      </c>
    </row>
    <row r="1826">
      <c r="I1826">
        <f>IFERROR(SUMIF(A$6:A1826,"&lt;&gt;""",G$6:G1826)-SUMIF(A$6:A1826,"&lt;&gt;""",H$6:H1826),"")</f>
        <v/>
      </c>
    </row>
    <row r="1827">
      <c r="I1827">
        <f>IFERROR(SUMIF(A$6:A1827,"&lt;&gt;""",G$6:G1827)-SUMIF(A$6:A1827,"&lt;&gt;""",H$6:H1827),"")</f>
        <v/>
      </c>
    </row>
    <row r="1828">
      <c r="I1828">
        <f>IFERROR(SUMIF(A$6:A1828,"&lt;&gt;""",G$6:G1828)-SUMIF(A$6:A1828,"&lt;&gt;""",H$6:H1828),"")</f>
        <v/>
      </c>
    </row>
    <row r="1829">
      <c r="I1829">
        <f>IFERROR(SUMIF(A$6:A1829,"&lt;&gt;""",G$6:G1829)-SUMIF(A$6:A1829,"&lt;&gt;""",H$6:H1829),"")</f>
        <v/>
      </c>
    </row>
    <row r="1830">
      <c r="I1830">
        <f>IFERROR(SUMIF(A$6:A1830,"&lt;&gt;""",G$6:G1830)-SUMIF(A$6:A1830,"&lt;&gt;""",H$6:H1830),"")</f>
        <v/>
      </c>
    </row>
    <row r="1831">
      <c r="I1831">
        <f>IFERROR(SUMIF(A$6:A1831,"&lt;&gt;""",G$6:G1831)-SUMIF(A$6:A1831,"&lt;&gt;""",H$6:H1831),"")</f>
        <v/>
      </c>
    </row>
    <row r="1832">
      <c r="I1832">
        <f>IFERROR(SUMIF(A$6:A1832,"&lt;&gt;""",G$6:G1832)-SUMIF(A$6:A1832,"&lt;&gt;""",H$6:H1832),"")</f>
        <v/>
      </c>
    </row>
    <row r="1833">
      <c r="I1833">
        <f>IFERROR(SUMIF(A$6:A1833,"&lt;&gt;""",G$6:G1833)-SUMIF(A$6:A1833,"&lt;&gt;""",H$6:H1833),"")</f>
        <v/>
      </c>
    </row>
    <row r="1834">
      <c r="I1834">
        <f>IFERROR(SUMIF(A$6:A1834,"&lt;&gt;""",G$6:G1834)-SUMIF(A$6:A1834,"&lt;&gt;""",H$6:H1834),"")</f>
        <v/>
      </c>
    </row>
    <row r="1835">
      <c r="I1835">
        <f>IFERROR(SUMIF(A$6:A1835,"&lt;&gt;""",G$6:G1835)-SUMIF(A$6:A1835,"&lt;&gt;""",H$6:H1835),"")</f>
        <v/>
      </c>
    </row>
    <row r="1836">
      <c r="I1836">
        <f>IFERROR(SUMIF(A$6:A1836,"&lt;&gt;""",G$6:G1836)-SUMIF(A$6:A1836,"&lt;&gt;""",H$6:H1836),"")</f>
        <v/>
      </c>
    </row>
    <row r="1837">
      <c r="I1837">
        <f>IFERROR(SUMIF(A$6:A1837,"&lt;&gt;""",G$6:G1837)-SUMIF(A$6:A1837,"&lt;&gt;""",H$6:H1837),"")</f>
        <v/>
      </c>
    </row>
    <row r="1838">
      <c r="I1838">
        <f>IFERROR(SUMIF(A$6:A1838,"&lt;&gt;""",G$6:G1838)-SUMIF(A$6:A1838,"&lt;&gt;""",H$6:H1838),"")</f>
        <v/>
      </c>
    </row>
    <row r="1839">
      <c r="I1839">
        <f>IFERROR(SUMIF(A$6:A1839,"&lt;&gt;""",G$6:G1839)-SUMIF(A$6:A1839,"&lt;&gt;""",H$6:H1839),"")</f>
        <v/>
      </c>
    </row>
    <row r="1840">
      <c r="I1840">
        <f>IFERROR(SUMIF(A$6:A1840,"&lt;&gt;""",G$6:G1840)-SUMIF(A$6:A1840,"&lt;&gt;""",H$6:H1840),"")</f>
        <v/>
      </c>
    </row>
    <row r="1841">
      <c r="I1841">
        <f>IFERROR(SUMIF(A$6:A1841,"&lt;&gt;""",G$6:G1841)-SUMIF(A$6:A1841,"&lt;&gt;""",H$6:H1841),"")</f>
        <v/>
      </c>
    </row>
    <row r="1842">
      <c r="I1842">
        <f>IFERROR(SUMIF(A$6:A1842,"&lt;&gt;""",G$6:G1842)-SUMIF(A$6:A1842,"&lt;&gt;""",H$6:H1842),"")</f>
        <v/>
      </c>
    </row>
    <row r="1843">
      <c r="I1843">
        <f>IFERROR(SUMIF(A$6:A1843,"&lt;&gt;""",G$6:G1843)-SUMIF(A$6:A1843,"&lt;&gt;""",H$6:H1843),"")</f>
        <v/>
      </c>
    </row>
    <row r="1844">
      <c r="I1844">
        <f>IFERROR(SUMIF(A$6:A1844,"&lt;&gt;""",G$6:G1844)-SUMIF(A$6:A1844,"&lt;&gt;""",H$6:H1844),"")</f>
        <v/>
      </c>
    </row>
    <row r="1845">
      <c r="I1845">
        <f>IFERROR(SUMIF(A$6:A1845,"&lt;&gt;""",G$6:G1845)-SUMIF(A$6:A1845,"&lt;&gt;""",H$6:H1845),"")</f>
        <v/>
      </c>
    </row>
    <row r="1846">
      <c r="I1846">
        <f>IFERROR(SUMIF(A$6:A1846,"&lt;&gt;""",G$6:G1846)-SUMIF(A$6:A1846,"&lt;&gt;""",H$6:H1846),"")</f>
        <v/>
      </c>
    </row>
    <row r="1847">
      <c r="I1847">
        <f>IFERROR(SUMIF(A$6:A1847,"&lt;&gt;""",G$6:G1847)-SUMIF(A$6:A1847,"&lt;&gt;""",H$6:H1847),"")</f>
        <v/>
      </c>
    </row>
    <row r="1848">
      <c r="I1848">
        <f>IFERROR(SUMIF(A$6:A1848,"&lt;&gt;""",G$6:G1848)-SUMIF(A$6:A1848,"&lt;&gt;""",H$6:H1848),"")</f>
        <v/>
      </c>
    </row>
    <row r="1849">
      <c r="I1849">
        <f>IFERROR(SUMIF(A$6:A1849,"&lt;&gt;""",G$6:G1849)-SUMIF(A$6:A1849,"&lt;&gt;""",H$6:H1849),"")</f>
        <v/>
      </c>
    </row>
    <row r="1850">
      <c r="I1850">
        <f>IFERROR(SUMIF(A$6:A1850,"&lt;&gt;""",G$6:G1850)-SUMIF(A$6:A1850,"&lt;&gt;""",H$6:H1850),"")</f>
        <v/>
      </c>
    </row>
    <row r="1851">
      <c r="I1851">
        <f>IFERROR(SUMIF(A$6:A1851,"&lt;&gt;""",G$6:G1851)-SUMIF(A$6:A1851,"&lt;&gt;""",H$6:H1851),"")</f>
        <v/>
      </c>
    </row>
    <row r="1852">
      <c r="I1852">
        <f>IFERROR(SUMIF(A$6:A1852,"&lt;&gt;""",G$6:G1852)-SUMIF(A$6:A1852,"&lt;&gt;""",H$6:H1852),"")</f>
        <v/>
      </c>
    </row>
    <row r="1853">
      <c r="I1853">
        <f>IFERROR(SUMIF(A$6:A1853,"&lt;&gt;""",G$6:G1853)-SUMIF(A$6:A1853,"&lt;&gt;""",H$6:H1853),"")</f>
        <v/>
      </c>
    </row>
    <row r="1854">
      <c r="I1854">
        <f>IFERROR(SUMIF(A$6:A1854,"&lt;&gt;""",G$6:G1854)-SUMIF(A$6:A1854,"&lt;&gt;""",H$6:H1854),"")</f>
        <v/>
      </c>
    </row>
    <row r="1855">
      <c r="I1855">
        <f>IFERROR(SUMIF(A$6:A1855,"&lt;&gt;""",G$6:G1855)-SUMIF(A$6:A1855,"&lt;&gt;""",H$6:H1855),"")</f>
        <v/>
      </c>
    </row>
    <row r="1856">
      <c r="I1856">
        <f>IFERROR(SUMIF(A$6:A1856,"&lt;&gt;""",G$6:G1856)-SUMIF(A$6:A1856,"&lt;&gt;""",H$6:H1856),"")</f>
        <v/>
      </c>
    </row>
    <row r="1857">
      <c r="I1857">
        <f>IFERROR(SUMIF(A$6:A1857,"&lt;&gt;""",G$6:G1857)-SUMIF(A$6:A1857,"&lt;&gt;""",H$6:H1857),"")</f>
        <v/>
      </c>
    </row>
    <row r="1858">
      <c r="I1858">
        <f>IFERROR(SUMIF(A$6:A1858,"&lt;&gt;""",G$6:G1858)-SUMIF(A$6:A1858,"&lt;&gt;""",H$6:H1858),"")</f>
        <v/>
      </c>
    </row>
    <row r="1859">
      <c r="I1859">
        <f>IFERROR(SUMIF(A$6:A1859,"&lt;&gt;""",G$6:G1859)-SUMIF(A$6:A1859,"&lt;&gt;""",H$6:H1859),"")</f>
        <v/>
      </c>
    </row>
    <row r="1860">
      <c r="I1860">
        <f>IFERROR(SUMIF(A$6:A1860,"&lt;&gt;""",G$6:G1860)-SUMIF(A$6:A1860,"&lt;&gt;""",H$6:H1860),"")</f>
        <v/>
      </c>
    </row>
    <row r="1861">
      <c r="I1861">
        <f>IFERROR(SUMIF(A$6:A1861,"&lt;&gt;""",G$6:G1861)-SUMIF(A$6:A1861,"&lt;&gt;""",H$6:H1861),"")</f>
        <v/>
      </c>
    </row>
    <row r="1862">
      <c r="I1862">
        <f>IFERROR(SUMIF(A$6:A1862,"&lt;&gt;""",G$6:G1862)-SUMIF(A$6:A1862,"&lt;&gt;""",H$6:H1862),"")</f>
        <v/>
      </c>
    </row>
    <row r="1863">
      <c r="I1863">
        <f>IFERROR(SUMIF(A$6:A1863,"&lt;&gt;""",G$6:G1863)-SUMIF(A$6:A1863,"&lt;&gt;""",H$6:H1863),"")</f>
        <v/>
      </c>
    </row>
    <row r="1864">
      <c r="I1864">
        <f>IFERROR(SUMIF(A$6:A1864,"&lt;&gt;""",G$6:G1864)-SUMIF(A$6:A1864,"&lt;&gt;""",H$6:H1864),"")</f>
        <v/>
      </c>
    </row>
    <row r="1865">
      <c r="I1865">
        <f>IFERROR(SUMIF(A$6:A1865,"&lt;&gt;""",G$6:G1865)-SUMIF(A$6:A1865,"&lt;&gt;""",H$6:H1865),"")</f>
        <v/>
      </c>
    </row>
    <row r="1866">
      <c r="I1866">
        <f>IFERROR(SUMIF(A$6:A1866,"&lt;&gt;""",G$6:G1866)-SUMIF(A$6:A1866,"&lt;&gt;""",H$6:H1866),"")</f>
        <v/>
      </c>
    </row>
    <row r="1867">
      <c r="I1867">
        <f>IFERROR(SUMIF(A$6:A1867,"&lt;&gt;""",G$6:G1867)-SUMIF(A$6:A1867,"&lt;&gt;""",H$6:H1867),"")</f>
        <v/>
      </c>
    </row>
    <row r="1868">
      <c r="I1868">
        <f>IFERROR(SUMIF(A$6:A1868,"&lt;&gt;""",G$6:G1868)-SUMIF(A$6:A1868,"&lt;&gt;""",H$6:H1868),"")</f>
        <v/>
      </c>
    </row>
    <row r="1869">
      <c r="I1869">
        <f>IFERROR(SUMIF(A$6:A1869,"&lt;&gt;""",G$6:G1869)-SUMIF(A$6:A1869,"&lt;&gt;""",H$6:H1869),"")</f>
        <v/>
      </c>
    </row>
    <row r="1870">
      <c r="I1870">
        <f>IFERROR(SUMIF(A$6:A1870,"&lt;&gt;""",G$6:G1870)-SUMIF(A$6:A1870,"&lt;&gt;""",H$6:H1870),"")</f>
        <v/>
      </c>
    </row>
    <row r="1871">
      <c r="I1871">
        <f>IFERROR(SUMIF(A$6:A1871,"&lt;&gt;""",G$6:G1871)-SUMIF(A$6:A1871,"&lt;&gt;""",H$6:H1871),"")</f>
        <v/>
      </c>
    </row>
    <row r="1872">
      <c r="I1872">
        <f>IFERROR(SUMIF(A$6:A1872,"&lt;&gt;""",G$6:G1872)-SUMIF(A$6:A1872,"&lt;&gt;""",H$6:H1872),"")</f>
        <v/>
      </c>
    </row>
    <row r="1873">
      <c r="I1873">
        <f>IFERROR(SUMIF(A$6:A1873,"&lt;&gt;""",G$6:G1873)-SUMIF(A$6:A1873,"&lt;&gt;""",H$6:H1873),"")</f>
        <v/>
      </c>
    </row>
    <row r="1874">
      <c r="I1874">
        <f>IFERROR(SUMIF(A$6:A1874,"&lt;&gt;""",G$6:G1874)-SUMIF(A$6:A1874,"&lt;&gt;""",H$6:H1874),"")</f>
        <v/>
      </c>
    </row>
    <row r="1875">
      <c r="I1875">
        <f>IFERROR(SUMIF(A$6:A1875,"&lt;&gt;""",G$6:G1875)-SUMIF(A$6:A1875,"&lt;&gt;""",H$6:H1875),"")</f>
        <v/>
      </c>
    </row>
    <row r="1876">
      <c r="I1876">
        <f>IFERROR(SUMIF(A$6:A1876,"&lt;&gt;""",G$6:G1876)-SUMIF(A$6:A1876,"&lt;&gt;""",H$6:H1876),"")</f>
        <v/>
      </c>
    </row>
    <row r="1877">
      <c r="I1877">
        <f>IFERROR(SUMIF(A$6:A1877,"&lt;&gt;""",G$6:G1877)-SUMIF(A$6:A1877,"&lt;&gt;""",H$6:H1877),"")</f>
        <v/>
      </c>
    </row>
    <row r="1878">
      <c r="I1878">
        <f>IFERROR(SUMIF(A$6:A1878,"&lt;&gt;""",G$6:G1878)-SUMIF(A$6:A1878,"&lt;&gt;""",H$6:H1878),"")</f>
        <v/>
      </c>
    </row>
    <row r="1879">
      <c r="I1879">
        <f>IFERROR(SUMIF(A$6:A1879,"&lt;&gt;""",G$6:G1879)-SUMIF(A$6:A1879,"&lt;&gt;""",H$6:H1879),"")</f>
        <v/>
      </c>
    </row>
    <row r="1880">
      <c r="I1880">
        <f>IFERROR(SUMIF(A$6:A1880,"&lt;&gt;""",G$6:G1880)-SUMIF(A$6:A1880,"&lt;&gt;""",H$6:H1880),"")</f>
        <v/>
      </c>
    </row>
    <row r="1881">
      <c r="I1881">
        <f>IFERROR(SUMIF(A$6:A1881,"&lt;&gt;""",G$6:G1881)-SUMIF(A$6:A1881,"&lt;&gt;""",H$6:H1881),"")</f>
        <v/>
      </c>
    </row>
    <row r="1882">
      <c r="I1882">
        <f>IFERROR(SUMIF(A$6:A1882,"&lt;&gt;""",G$6:G1882)-SUMIF(A$6:A1882,"&lt;&gt;""",H$6:H1882),"")</f>
        <v/>
      </c>
    </row>
    <row r="1883">
      <c r="I1883">
        <f>IFERROR(SUMIF(A$6:A1883,"&lt;&gt;""",G$6:G1883)-SUMIF(A$6:A1883,"&lt;&gt;""",H$6:H1883),"")</f>
        <v/>
      </c>
    </row>
    <row r="1884">
      <c r="I1884">
        <f>IFERROR(SUMIF(A$6:A1884,"&lt;&gt;""",G$6:G1884)-SUMIF(A$6:A1884,"&lt;&gt;""",H$6:H1884),"")</f>
        <v/>
      </c>
    </row>
    <row r="1885">
      <c r="I1885">
        <f>IFERROR(SUMIF(A$6:A1885,"&lt;&gt;""",G$6:G1885)-SUMIF(A$6:A1885,"&lt;&gt;""",H$6:H1885),"")</f>
        <v/>
      </c>
    </row>
    <row r="1886">
      <c r="I1886">
        <f>IFERROR(SUMIF(A$6:A1886,"&lt;&gt;""",G$6:G1886)-SUMIF(A$6:A1886,"&lt;&gt;""",H$6:H1886),"")</f>
        <v/>
      </c>
    </row>
    <row r="1887">
      <c r="I1887">
        <f>IFERROR(SUMIF(A$6:A1887,"&lt;&gt;""",G$6:G1887)-SUMIF(A$6:A1887,"&lt;&gt;""",H$6:H1887),"")</f>
        <v/>
      </c>
    </row>
    <row r="1888">
      <c r="I1888">
        <f>IFERROR(SUMIF(A$6:A1888,"&lt;&gt;""",G$6:G1888)-SUMIF(A$6:A1888,"&lt;&gt;""",H$6:H1888),"")</f>
        <v/>
      </c>
    </row>
    <row r="1889">
      <c r="I1889">
        <f>IFERROR(SUMIF(A$6:A1889,"&lt;&gt;""",G$6:G1889)-SUMIF(A$6:A1889,"&lt;&gt;""",H$6:H1889),"")</f>
        <v/>
      </c>
    </row>
    <row r="1890">
      <c r="I1890">
        <f>IFERROR(SUMIF(A$6:A1890,"&lt;&gt;""",G$6:G1890)-SUMIF(A$6:A1890,"&lt;&gt;""",H$6:H1890),"")</f>
        <v/>
      </c>
    </row>
    <row r="1891">
      <c r="I1891">
        <f>IFERROR(SUMIF(A$6:A1891,"&lt;&gt;""",G$6:G1891)-SUMIF(A$6:A1891,"&lt;&gt;""",H$6:H1891),"")</f>
        <v/>
      </c>
    </row>
    <row r="1892">
      <c r="I1892">
        <f>IFERROR(SUMIF(A$6:A1892,"&lt;&gt;""",G$6:G1892)-SUMIF(A$6:A1892,"&lt;&gt;""",H$6:H1892),"")</f>
        <v/>
      </c>
    </row>
    <row r="1893">
      <c r="I1893">
        <f>IFERROR(SUMIF(A$6:A1893,"&lt;&gt;""",G$6:G1893)-SUMIF(A$6:A1893,"&lt;&gt;""",H$6:H1893),"")</f>
        <v/>
      </c>
    </row>
    <row r="1894">
      <c r="I1894">
        <f>IFERROR(SUMIF(A$6:A1894,"&lt;&gt;""",G$6:G1894)-SUMIF(A$6:A1894,"&lt;&gt;""",H$6:H1894),"")</f>
        <v/>
      </c>
    </row>
    <row r="1895">
      <c r="I1895">
        <f>IFERROR(SUMIF(A$6:A1895,"&lt;&gt;""",G$6:G1895)-SUMIF(A$6:A1895,"&lt;&gt;""",H$6:H1895),"")</f>
        <v/>
      </c>
    </row>
    <row r="1896">
      <c r="I1896">
        <f>IFERROR(SUMIF(A$6:A1896,"&lt;&gt;""",G$6:G1896)-SUMIF(A$6:A1896,"&lt;&gt;""",H$6:H1896),"")</f>
        <v/>
      </c>
    </row>
    <row r="1897">
      <c r="I1897">
        <f>IFERROR(SUMIF(A$6:A1897,"&lt;&gt;""",G$6:G1897)-SUMIF(A$6:A1897,"&lt;&gt;""",H$6:H1897),"")</f>
        <v/>
      </c>
    </row>
    <row r="1898">
      <c r="I1898">
        <f>IFERROR(SUMIF(A$6:A1898,"&lt;&gt;""",G$6:G1898)-SUMIF(A$6:A1898,"&lt;&gt;""",H$6:H1898),"")</f>
        <v/>
      </c>
    </row>
    <row r="1899">
      <c r="I1899">
        <f>IFERROR(SUMIF(A$6:A1899,"&lt;&gt;""",G$6:G1899)-SUMIF(A$6:A1899,"&lt;&gt;""",H$6:H1899),"")</f>
        <v/>
      </c>
    </row>
    <row r="1900">
      <c r="I1900">
        <f>IFERROR(SUMIF(A$6:A1900,"&lt;&gt;""",G$6:G1900)-SUMIF(A$6:A1900,"&lt;&gt;""",H$6:H1900),"")</f>
        <v/>
      </c>
    </row>
    <row r="1901">
      <c r="I1901">
        <f>IFERROR(SUMIF(A$6:A1901,"&lt;&gt;""",G$6:G1901)-SUMIF(A$6:A1901,"&lt;&gt;""",H$6:H1901),"")</f>
        <v/>
      </c>
    </row>
    <row r="1902">
      <c r="I1902">
        <f>IFERROR(SUMIF(A$6:A1902,"&lt;&gt;""",G$6:G1902)-SUMIF(A$6:A1902,"&lt;&gt;""",H$6:H1902),"")</f>
        <v/>
      </c>
    </row>
    <row r="1903">
      <c r="I1903">
        <f>IFERROR(SUMIF(A$6:A1903,"&lt;&gt;""",G$6:G1903)-SUMIF(A$6:A1903,"&lt;&gt;""",H$6:H1903),"")</f>
        <v/>
      </c>
    </row>
    <row r="1904">
      <c r="I1904">
        <f>IFERROR(SUMIF(A$6:A1904,"&lt;&gt;""",G$6:G1904)-SUMIF(A$6:A1904,"&lt;&gt;""",H$6:H1904),"")</f>
        <v/>
      </c>
    </row>
    <row r="1905">
      <c r="I1905">
        <f>IFERROR(SUMIF(A$6:A1905,"&lt;&gt;""",G$6:G1905)-SUMIF(A$6:A1905,"&lt;&gt;""",H$6:H1905),"")</f>
        <v/>
      </c>
    </row>
    <row r="1906">
      <c r="I1906">
        <f>IFERROR(SUMIF(A$6:A1906,"&lt;&gt;""",G$6:G1906)-SUMIF(A$6:A1906,"&lt;&gt;""",H$6:H1906),"")</f>
        <v/>
      </c>
    </row>
    <row r="1907">
      <c r="I1907">
        <f>IFERROR(SUMIF(A$6:A1907,"&lt;&gt;""",G$6:G1907)-SUMIF(A$6:A1907,"&lt;&gt;""",H$6:H1907),"")</f>
        <v/>
      </c>
    </row>
    <row r="1908">
      <c r="I1908">
        <f>IFERROR(SUMIF(A$6:A1908,"&lt;&gt;""",G$6:G1908)-SUMIF(A$6:A1908,"&lt;&gt;""",H$6:H1908),"")</f>
        <v/>
      </c>
    </row>
    <row r="1909">
      <c r="I1909">
        <f>IFERROR(SUMIF(A$6:A1909,"&lt;&gt;""",G$6:G1909)-SUMIF(A$6:A1909,"&lt;&gt;""",H$6:H1909),"")</f>
        <v/>
      </c>
    </row>
    <row r="1910">
      <c r="I1910">
        <f>IFERROR(SUMIF(A$6:A1910,"&lt;&gt;""",G$6:G1910)-SUMIF(A$6:A1910,"&lt;&gt;""",H$6:H1910),"")</f>
        <v/>
      </c>
    </row>
    <row r="1911">
      <c r="I1911">
        <f>IFERROR(SUMIF(A$6:A1911,"&lt;&gt;""",G$6:G1911)-SUMIF(A$6:A1911,"&lt;&gt;""",H$6:H1911),"")</f>
        <v/>
      </c>
    </row>
    <row r="1912">
      <c r="I1912">
        <f>IFERROR(SUMIF(A$6:A1912,"&lt;&gt;""",G$6:G1912)-SUMIF(A$6:A1912,"&lt;&gt;""",H$6:H1912),"")</f>
        <v/>
      </c>
    </row>
    <row r="1913">
      <c r="I1913">
        <f>IFERROR(SUMIF(A$6:A1913,"&lt;&gt;""",G$6:G1913)-SUMIF(A$6:A1913,"&lt;&gt;""",H$6:H1913),"")</f>
        <v/>
      </c>
    </row>
    <row r="1914">
      <c r="I1914">
        <f>IFERROR(SUMIF(A$6:A1914,"&lt;&gt;""",G$6:G1914)-SUMIF(A$6:A1914,"&lt;&gt;""",H$6:H1914),"")</f>
        <v/>
      </c>
    </row>
    <row r="1915">
      <c r="I1915">
        <f>IFERROR(SUMIF(A$6:A1915,"&lt;&gt;""",G$6:G1915)-SUMIF(A$6:A1915,"&lt;&gt;""",H$6:H1915),"")</f>
        <v/>
      </c>
    </row>
    <row r="1916">
      <c r="I1916">
        <f>IFERROR(SUMIF(A$6:A1916,"&lt;&gt;""",G$6:G1916)-SUMIF(A$6:A1916,"&lt;&gt;""",H$6:H1916),"")</f>
        <v/>
      </c>
    </row>
    <row r="1917">
      <c r="I1917">
        <f>IFERROR(SUMIF(A$6:A1917,"&lt;&gt;""",G$6:G1917)-SUMIF(A$6:A1917,"&lt;&gt;""",H$6:H1917),"")</f>
        <v/>
      </c>
    </row>
    <row r="1918">
      <c r="I1918">
        <f>IFERROR(SUMIF(A$6:A1918,"&lt;&gt;""",G$6:G1918)-SUMIF(A$6:A1918,"&lt;&gt;""",H$6:H1918),"")</f>
        <v/>
      </c>
    </row>
    <row r="1919">
      <c r="I1919">
        <f>IFERROR(SUMIF(A$6:A1919,"&lt;&gt;""",G$6:G1919)-SUMIF(A$6:A1919,"&lt;&gt;""",H$6:H1919),"")</f>
        <v/>
      </c>
    </row>
    <row r="1920">
      <c r="I1920">
        <f>IFERROR(SUMIF(A$6:A1920,"&lt;&gt;""",G$6:G1920)-SUMIF(A$6:A1920,"&lt;&gt;""",H$6:H1920),"")</f>
        <v/>
      </c>
    </row>
    <row r="1921">
      <c r="I1921">
        <f>IFERROR(SUMIF(A$6:A1921,"&lt;&gt;""",G$6:G1921)-SUMIF(A$6:A1921,"&lt;&gt;""",H$6:H1921),"")</f>
        <v/>
      </c>
    </row>
    <row r="1922">
      <c r="I1922">
        <f>IFERROR(SUMIF(A$6:A1922,"&lt;&gt;""",G$6:G1922)-SUMIF(A$6:A1922,"&lt;&gt;""",H$6:H1922),"")</f>
        <v/>
      </c>
    </row>
    <row r="1923">
      <c r="I1923">
        <f>IFERROR(SUMIF(A$6:A1923,"&lt;&gt;""",G$6:G1923)-SUMIF(A$6:A1923,"&lt;&gt;""",H$6:H1923),"")</f>
        <v/>
      </c>
    </row>
    <row r="1924">
      <c r="I1924">
        <f>IFERROR(SUMIF(A$6:A1924,"&lt;&gt;""",G$6:G1924)-SUMIF(A$6:A1924,"&lt;&gt;""",H$6:H1924),"")</f>
        <v/>
      </c>
    </row>
    <row r="1925">
      <c r="I1925">
        <f>IFERROR(SUMIF(A$6:A1925,"&lt;&gt;""",G$6:G1925)-SUMIF(A$6:A1925,"&lt;&gt;""",H$6:H1925),"")</f>
        <v/>
      </c>
    </row>
    <row r="1926">
      <c r="I1926">
        <f>IFERROR(SUMIF(A$6:A1926,"&lt;&gt;""",G$6:G1926)-SUMIF(A$6:A1926,"&lt;&gt;""",H$6:H1926),"")</f>
        <v/>
      </c>
    </row>
    <row r="1927">
      <c r="I1927">
        <f>IFERROR(SUMIF(A$6:A1927,"&lt;&gt;""",G$6:G1927)-SUMIF(A$6:A1927,"&lt;&gt;""",H$6:H1927),"")</f>
        <v/>
      </c>
    </row>
    <row r="1928">
      <c r="I1928">
        <f>IFERROR(SUMIF(A$6:A1928,"&lt;&gt;""",G$6:G1928)-SUMIF(A$6:A1928,"&lt;&gt;""",H$6:H1928),"")</f>
        <v/>
      </c>
    </row>
    <row r="1929">
      <c r="I1929">
        <f>IFERROR(SUMIF(A$6:A1929,"&lt;&gt;""",G$6:G1929)-SUMIF(A$6:A1929,"&lt;&gt;""",H$6:H1929),"")</f>
        <v/>
      </c>
    </row>
    <row r="1930">
      <c r="I1930">
        <f>IFERROR(SUMIF(A$6:A1930,"&lt;&gt;""",G$6:G1930)-SUMIF(A$6:A1930,"&lt;&gt;""",H$6:H1930),"")</f>
        <v/>
      </c>
    </row>
    <row r="1931">
      <c r="I1931">
        <f>IFERROR(SUMIF(A$6:A1931,"&lt;&gt;""",G$6:G1931)-SUMIF(A$6:A1931,"&lt;&gt;""",H$6:H1931),"")</f>
        <v/>
      </c>
    </row>
    <row r="1932">
      <c r="I1932">
        <f>IFERROR(SUMIF(A$6:A1932,"&lt;&gt;""",G$6:G1932)-SUMIF(A$6:A1932,"&lt;&gt;""",H$6:H1932),"")</f>
        <v/>
      </c>
    </row>
    <row r="1933">
      <c r="I1933">
        <f>IFERROR(SUMIF(A$6:A1933,"&lt;&gt;""",G$6:G1933)-SUMIF(A$6:A1933,"&lt;&gt;""",H$6:H1933),"")</f>
        <v/>
      </c>
    </row>
    <row r="1934">
      <c r="I1934">
        <f>IFERROR(SUMIF(A$6:A1934,"&lt;&gt;""",G$6:G1934)-SUMIF(A$6:A1934,"&lt;&gt;""",H$6:H1934),"")</f>
        <v/>
      </c>
    </row>
    <row r="1935">
      <c r="I1935">
        <f>IFERROR(SUMIF(A$6:A1935,"&lt;&gt;""",G$6:G1935)-SUMIF(A$6:A1935,"&lt;&gt;""",H$6:H1935),"")</f>
        <v/>
      </c>
    </row>
    <row r="1936">
      <c r="I1936">
        <f>IFERROR(SUMIF(A$6:A1936,"&lt;&gt;""",G$6:G1936)-SUMIF(A$6:A1936,"&lt;&gt;""",H$6:H1936),"")</f>
        <v/>
      </c>
    </row>
    <row r="1937">
      <c r="I1937">
        <f>IFERROR(SUMIF(A$6:A1937,"&lt;&gt;""",G$6:G1937)-SUMIF(A$6:A1937,"&lt;&gt;""",H$6:H1937),"")</f>
        <v/>
      </c>
    </row>
    <row r="1938">
      <c r="I1938">
        <f>IFERROR(SUMIF(A$6:A1938,"&lt;&gt;""",G$6:G1938)-SUMIF(A$6:A1938,"&lt;&gt;""",H$6:H1938),"")</f>
        <v/>
      </c>
    </row>
    <row r="1939">
      <c r="I1939">
        <f>IFERROR(SUMIF(A$6:A1939,"&lt;&gt;""",G$6:G1939)-SUMIF(A$6:A1939,"&lt;&gt;""",H$6:H1939),"")</f>
        <v/>
      </c>
    </row>
    <row r="1940">
      <c r="I1940">
        <f>IFERROR(SUMIF(A$6:A1940,"&lt;&gt;""",G$6:G1940)-SUMIF(A$6:A1940,"&lt;&gt;""",H$6:H1940),"")</f>
        <v/>
      </c>
    </row>
    <row r="1941">
      <c r="I1941">
        <f>IFERROR(SUMIF(A$6:A1941,"&lt;&gt;""",G$6:G1941)-SUMIF(A$6:A1941,"&lt;&gt;""",H$6:H1941),"")</f>
        <v/>
      </c>
    </row>
    <row r="1942">
      <c r="I1942">
        <f>IFERROR(SUMIF(A$6:A1942,"&lt;&gt;""",G$6:G1942)-SUMIF(A$6:A1942,"&lt;&gt;""",H$6:H1942),"")</f>
        <v/>
      </c>
    </row>
    <row r="1943">
      <c r="I1943">
        <f>IFERROR(SUMIF(A$6:A1943,"&lt;&gt;""",G$6:G1943)-SUMIF(A$6:A1943,"&lt;&gt;""",H$6:H1943),"")</f>
        <v/>
      </c>
    </row>
    <row r="1944">
      <c r="I1944">
        <f>IFERROR(SUMIF(A$6:A1944,"&lt;&gt;""",G$6:G1944)-SUMIF(A$6:A1944,"&lt;&gt;""",H$6:H1944),"")</f>
        <v/>
      </c>
    </row>
    <row r="1945">
      <c r="I1945">
        <f>IFERROR(SUMIF(A$6:A1945,"&lt;&gt;""",G$6:G1945)-SUMIF(A$6:A1945,"&lt;&gt;""",H$6:H1945),"")</f>
        <v/>
      </c>
    </row>
    <row r="1946">
      <c r="I1946">
        <f>IFERROR(SUMIF(A$6:A1946,"&lt;&gt;""",G$6:G1946)-SUMIF(A$6:A1946,"&lt;&gt;""",H$6:H1946),"")</f>
        <v/>
      </c>
    </row>
    <row r="1947">
      <c r="I1947">
        <f>IFERROR(SUMIF(A$6:A1947,"&lt;&gt;""",G$6:G1947)-SUMIF(A$6:A1947,"&lt;&gt;""",H$6:H1947),"")</f>
        <v/>
      </c>
    </row>
    <row r="1948">
      <c r="I1948">
        <f>IFERROR(SUMIF(A$6:A1948,"&lt;&gt;""",G$6:G1948)-SUMIF(A$6:A1948,"&lt;&gt;""",H$6:H1948),"")</f>
        <v/>
      </c>
    </row>
    <row r="1949">
      <c r="I1949">
        <f>IFERROR(SUMIF(A$6:A1949,"&lt;&gt;""",G$6:G1949)-SUMIF(A$6:A1949,"&lt;&gt;""",H$6:H1949),"")</f>
        <v/>
      </c>
    </row>
    <row r="1950">
      <c r="I1950">
        <f>IFERROR(SUMIF(A$6:A1950,"&lt;&gt;""",G$6:G1950)-SUMIF(A$6:A1950,"&lt;&gt;""",H$6:H1950),"")</f>
        <v/>
      </c>
    </row>
    <row r="1951">
      <c r="I1951">
        <f>IFERROR(SUMIF(A$6:A1951,"&lt;&gt;""",G$6:G1951)-SUMIF(A$6:A1951,"&lt;&gt;""",H$6:H1951),"")</f>
        <v/>
      </c>
    </row>
    <row r="1952">
      <c r="I1952">
        <f>IFERROR(SUMIF(A$6:A1952,"&lt;&gt;""",G$6:G1952)-SUMIF(A$6:A1952,"&lt;&gt;""",H$6:H1952),"")</f>
        <v/>
      </c>
    </row>
    <row r="1953">
      <c r="I1953">
        <f>IFERROR(SUMIF(A$6:A1953,"&lt;&gt;""",G$6:G1953)-SUMIF(A$6:A1953,"&lt;&gt;""",H$6:H1953),"")</f>
        <v/>
      </c>
    </row>
    <row r="1954">
      <c r="I1954">
        <f>IFERROR(SUMIF(A$6:A1954,"&lt;&gt;""",G$6:G1954)-SUMIF(A$6:A1954,"&lt;&gt;""",H$6:H1954),"")</f>
        <v/>
      </c>
    </row>
    <row r="1955">
      <c r="I1955">
        <f>IFERROR(SUMIF(A$6:A1955,"&lt;&gt;""",G$6:G1955)-SUMIF(A$6:A1955,"&lt;&gt;""",H$6:H1955),"")</f>
        <v/>
      </c>
    </row>
    <row r="1956">
      <c r="I1956">
        <f>IFERROR(SUMIF(A$6:A1956,"&lt;&gt;""",G$6:G1956)-SUMIF(A$6:A1956,"&lt;&gt;""",H$6:H1956),"")</f>
        <v/>
      </c>
    </row>
    <row r="1957">
      <c r="I1957">
        <f>IFERROR(SUMIF(A$6:A1957,"&lt;&gt;""",G$6:G1957)-SUMIF(A$6:A1957,"&lt;&gt;""",H$6:H1957),"")</f>
        <v/>
      </c>
    </row>
    <row r="1958">
      <c r="I1958">
        <f>IFERROR(SUMIF(A$6:A1958,"&lt;&gt;""",G$6:G1958)-SUMIF(A$6:A1958,"&lt;&gt;""",H$6:H1958),"")</f>
        <v/>
      </c>
    </row>
    <row r="1959">
      <c r="I1959">
        <f>IFERROR(SUMIF(A$6:A1959,"&lt;&gt;""",G$6:G1959)-SUMIF(A$6:A1959,"&lt;&gt;""",H$6:H1959),"")</f>
        <v/>
      </c>
    </row>
    <row r="1960">
      <c r="I1960">
        <f>IFERROR(SUMIF(A$6:A1960,"&lt;&gt;""",G$6:G1960)-SUMIF(A$6:A1960,"&lt;&gt;""",H$6:H1960),"")</f>
        <v/>
      </c>
    </row>
    <row r="1961">
      <c r="I1961">
        <f>IFERROR(SUMIF(A$6:A1961,"&lt;&gt;""",G$6:G1961)-SUMIF(A$6:A1961,"&lt;&gt;""",H$6:H1961),"")</f>
        <v/>
      </c>
    </row>
    <row r="1962">
      <c r="I1962">
        <f>IFERROR(SUMIF(A$6:A1962,"&lt;&gt;""",G$6:G1962)-SUMIF(A$6:A1962,"&lt;&gt;""",H$6:H1962),"")</f>
        <v/>
      </c>
    </row>
    <row r="1963">
      <c r="I1963">
        <f>IFERROR(SUMIF(A$6:A1963,"&lt;&gt;""",G$6:G1963)-SUMIF(A$6:A1963,"&lt;&gt;""",H$6:H1963),"")</f>
        <v/>
      </c>
    </row>
    <row r="1964">
      <c r="I1964">
        <f>IFERROR(SUMIF(A$6:A1964,"&lt;&gt;""",G$6:G1964)-SUMIF(A$6:A1964,"&lt;&gt;""",H$6:H1964),"")</f>
        <v/>
      </c>
    </row>
    <row r="1965">
      <c r="I1965">
        <f>IFERROR(SUMIF(A$6:A1965,"&lt;&gt;""",G$6:G1965)-SUMIF(A$6:A1965,"&lt;&gt;""",H$6:H1965),"")</f>
        <v/>
      </c>
    </row>
    <row r="1966">
      <c r="I1966">
        <f>IFERROR(SUMIF(A$6:A1966,"&lt;&gt;""",G$6:G1966)-SUMIF(A$6:A1966,"&lt;&gt;""",H$6:H1966),"")</f>
        <v/>
      </c>
    </row>
    <row r="1967">
      <c r="I1967">
        <f>IFERROR(SUMIF(A$6:A1967,"&lt;&gt;""",G$6:G1967)-SUMIF(A$6:A1967,"&lt;&gt;""",H$6:H1967),"")</f>
        <v/>
      </c>
    </row>
    <row r="1968">
      <c r="I1968">
        <f>IFERROR(SUMIF(A$6:A1968,"&lt;&gt;""",G$6:G1968)-SUMIF(A$6:A1968,"&lt;&gt;""",H$6:H1968),"")</f>
        <v/>
      </c>
    </row>
    <row r="1969">
      <c r="I1969">
        <f>IFERROR(SUMIF(A$6:A1969,"&lt;&gt;""",G$6:G1969)-SUMIF(A$6:A1969,"&lt;&gt;""",H$6:H1969),"")</f>
        <v/>
      </c>
    </row>
    <row r="1970">
      <c r="I1970">
        <f>IFERROR(SUMIF(A$6:A1970,"&lt;&gt;""",G$6:G1970)-SUMIF(A$6:A1970,"&lt;&gt;""",H$6:H1970),"")</f>
        <v/>
      </c>
    </row>
    <row r="1971">
      <c r="I1971">
        <f>IFERROR(SUMIF(A$6:A1971,"&lt;&gt;""",G$6:G1971)-SUMIF(A$6:A1971,"&lt;&gt;""",H$6:H1971),"")</f>
        <v/>
      </c>
    </row>
    <row r="1972">
      <c r="I1972">
        <f>IFERROR(SUMIF(A$6:A1972,"&lt;&gt;""",G$6:G1972)-SUMIF(A$6:A1972,"&lt;&gt;""",H$6:H1972),"")</f>
        <v/>
      </c>
    </row>
    <row r="1973">
      <c r="I1973">
        <f>IFERROR(SUMIF(A$6:A1973,"&lt;&gt;""",G$6:G1973)-SUMIF(A$6:A1973,"&lt;&gt;""",H$6:H1973),"")</f>
        <v/>
      </c>
    </row>
    <row r="1974">
      <c r="I1974">
        <f>IFERROR(SUMIF(A$6:A1974,"&lt;&gt;""",G$6:G1974)-SUMIF(A$6:A1974,"&lt;&gt;""",H$6:H1974),"")</f>
        <v/>
      </c>
    </row>
    <row r="1975">
      <c r="I1975">
        <f>IFERROR(SUMIF(A$6:A1975,"&lt;&gt;""",G$6:G1975)-SUMIF(A$6:A1975,"&lt;&gt;""",H$6:H1975),"")</f>
        <v/>
      </c>
    </row>
    <row r="1976">
      <c r="I1976">
        <f>IFERROR(SUMIF(A$6:A1976,"&lt;&gt;""",G$6:G1976)-SUMIF(A$6:A1976,"&lt;&gt;""",H$6:H1976),"")</f>
        <v/>
      </c>
    </row>
    <row r="1977">
      <c r="I1977">
        <f>IFERROR(SUMIF(A$6:A1977,"&lt;&gt;""",G$6:G1977)-SUMIF(A$6:A1977,"&lt;&gt;""",H$6:H1977),"")</f>
        <v/>
      </c>
    </row>
    <row r="1978">
      <c r="I1978">
        <f>IFERROR(SUMIF(A$6:A1978,"&lt;&gt;""",G$6:G1978)-SUMIF(A$6:A1978,"&lt;&gt;""",H$6:H1978),"")</f>
        <v/>
      </c>
    </row>
    <row r="1979">
      <c r="I1979">
        <f>IFERROR(SUMIF(A$6:A1979,"&lt;&gt;""",G$6:G1979)-SUMIF(A$6:A1979,"&lt;&gt;""",H$6:H1979),"")</f>
        <v/>
      </c>
    </row>
    <row r="1980">
      <c r="I1980">
        <f>IFERROR(SUMIF(A$6:A1980,"&lt;&gt;""",G$6:G1980)-SUMIF(A$6:A1980,"&lt;&gt;""",H$6:H1980),"")</f>
        <v/>
      </c>
    </row>
    <row r="1981">
      <c r="I1981">
        <f>IFERROR(SUMIF(A$6:A1981,"&lt;&gt;""",G$6:G1981)-SUMIF(A$6:A1981,"&lt;&gt;""",H$6:H1981),"")</f>
        <v/>
      </c>
    </row>
    <row r="1982">
      <c r="I1982">
        <f>IFERROR(SUMIF(A$6:A1982,"&lt;&gt;""",G$6:G1982)-SUMIF(A$6:A1982,"&lt;&gt;""",H$6:H1982),"")</f>
        <v/>
      </c>
    </row>
    <row r="1983">
      <c r="I1983">
        <f>IFERROR(SUMIF(A$6:A1983,"&lt;&gt;""",G$6:G1983)-SUMIF(A$6:A1983,"&lt;&gt;""",H$6:H1983),"")</f>
        <v/>
      </c>
    </row>
    <row r="1984">
      <c r="I1984">
        <f>IFERROR(SUMIF(A$6:A1984,"&lt;&gt;""",G$6:G1984)-SUMIF(A$6:A1984,"&lt;&gt;""",H$6:H1984),"")</f>
        <v/>
      </c>
    </row>
    <row r="1985">
      <c r="I1985">
        <f>IFERROR(SUMIF(A$6:A1985,"&lt;&gt;""",G$6:G1985)-SUMIF(A$6:A1985,"&lt;&gt;""",H$6:H1985),"")</f>
        <v/>
      </c>
    </row>
    <row r="1986">
      <c r="I1986">
        <f>IFERROR(SUMIF(A$6:A1986,"&lt;&gt;""",G$6:G1986)-SUMIF(A$6:A1986,"&lt;&gt;""",H$6:H1986),"")</f>
        <v/>
      </c>
    </row>
    <row r="1987">
      <c r="I1987">
        <f>IFERROR(SUMIF(A$6:A1987,"&lt;&gt;""",G$6:G1987)-SUMIF(A$6:A1987,"&lt;&gt;""",H$6:H1987),"")</f>
        <v/>
      </c>
    </row>
    <row r="1988">
      <c r="I1988">
        <f>IFERROR(SUMIF(A$6:A1988,"&lt;&gt;""",G$6:G1988)-SUMIF(A$6:A1988,"&lt;&gt;""",H$6:H1988),"")</f>
        <v/>
      </c>
    </row>
    <row r="1989">
      <c r="I1989">
        <f>IFERROR(SUMIF(A$6:A1989,"&lt;&gt;""",G$6:G1989)-SUMIF(A$6:A1989,"&lt;&gt;""",H$6:H1989),"")</f>
        <v/>
      </c>
    </row>
    <row r="1990">
      <c r="I1990">
        <f>IFERROR(SUMIF(A$6:A1990,"&lt;&gt;""",G$6:G1990)-SUMIF(A$6:A1990,"&lt;&gt;""",H$6:H1990),"")</f>
        <v/>
      </c>
    </row>
    <row r="1991">
      <c r="I1991">
        <f>IFERROR(SUMIF(A$6:A1991,"&lt;&gt;""",G$6:G1991)-SUMIF(A$6:A1991,"&lt;&gt;""",H$6:H1991),"")</f>
        <v/>
      </c>
    </row>
    <row r="1992">
      <c r="I1992">
        <f>IFERROR(SUMIF(A$6:A1992,"&lt;&gt;""",G$6:G1992)-SUMIF(A$6:A1992,"&lt;&gt;""",H$6:H1992),"")</f>
        <v/>
      </c>
    </row>
    <row r="1993">
      <c r="I1993">
        <f>IFERROR(SUMIF(A$6:A1993,"&lt;&gt;""",G$6:G1993)-SUMIF(A$6:A1993,"&lt;&gt;""",H$6:H1993),"")</f>
        <v/>
      </c>
    </row>
    <row r="1994">
      <c r="I1994">
        <f>IFERROR(SUMIF(A$6:A1994,"&lt;&gt;""",G$6:G1994)-SUMIF(A$6:A1994,"&lt;&gt;""",H$6:H1994),"")</f>
        <v/>
      </c>
    </row>
    <row r="1995">
      <c r="I1995">
        <f>IFERROR(SUMIF(A$6:A1995,"&lt;&gt;""",G$6:G1995)-SUMIF(A$6:A1995,"&lt;&gt;""",H$6:H1995),"")</f>
        <v/>
      </c>
    </row>
    <row r="1996">
      <c r="I1996">
        <f>IFERROR(SUMIF(A$6:A1996,"&lt;&gt;""",G$6:G1996)-SUMIF(A$6:A1996,"&lt;&gt;""",H$6:H1996),"")</f>
        <v/>
      </c>
    </row>
    <row r="1997">
      <c r="I1997">
        <f>IFERROR(SUMIF(A$6:A1997,"&lt;&gt;""",G$6:G1997)-SUMIF(A$6:A1997,"&lt;&gt;""",H$6:H1997),"")</f>
        <v/>
      </c>
    </row>
    <row r="1998">
      <c r="I1998">
        <f>IFERROR(SUMIF(A$6:A1998,"&lt;&gt;""",G$6:G1998)-SUMIF(A$6:A1998,"&lt;&gt;""",H$6:H1998),"")</f>
        <v/>
      </c>
    </row>
    <row r="1999">
      <c r="I1999">
        <f>IFERROR(SUMIF(A$6:A1999,"&lt;&gt;""",G$6:G1999)-SUMIF(A$6:A1999,"&lt;&gt;""",H$6:H1999),"")</f>
        <v/>
      </c>
    </row>
    <row r="2000">
      <c r="I2000">
        <f>IFERROR(SUMIF(A$6:A2000,"&lt;&gt;""",G$6:G2000)-SUMIF(A$6:A2000,"&lt;&gt;""",H$6:H2000),"")</f>
        <v/>
      </c>
    </row>
    <row r="2001">
      <c r="I2001">
        <f>IFERROR(SUMIF(A$6:A2001,"&lt;&gt;""",G$6:G2001)-SUMIF(A$6:A2001,"&lt;&gt;""",H$6:H2001),"")</f>
        <v/>
      </c>
    </row>
    <row r="2002">
      <c r="I2002">
        <f>IFERROR(SUMIF(A$6:A2002,"&lt;&gt;""",G$6:G2002)-SUMIF(A$6:A2002,"&lt;&gt;""",H$6:H2002),"")</f>
        <v/>
      </c>
    </row>
    <row r="2003">
      <c r="I2003">
        <f>IFERROR(SUMIF(A$6:A2003,"&lt;&gt;""",G$6:G2003)-SUMIF(A$6:A2003,"&lt;&gt;""",H$6:H2003),"")</f>
        <v/>
      </c>
    </row>
    <row r="2004">
      <c r="I2004">
        <f>IFERROR(SUMIF(A$6:A2004,"&lt;&gt;""",G$6:G2004)-SUMIF(A$6:A2004,"&lt;&gt;""",H$6:H2004),"")</f>
        <v/>
      </c>
    </row>
    <row r="2005">
      <c r="I2005">
        <f>IFERROR(SUMIF(A$6:A2005,"&lt;&gt;""",G$6:G2005)-SUMIF(A$6:A2005,"&lt;&gt;""",H$6:H2005),"")</f>
        <v/>
      </c>
    </row>
    <row r="2006">
      <c r="I2006">
        <f>IFERROR(SUMIF(A$6:A2006,"&lt;&gt;""",G$6:G2006)-SUMIF(A$6:A2006,"&lt;&gt;""",H$6:H2006),"")</f>
        <v/>
      </c>
    </row>
    <row r="2007">
      <c r="I2007">
        <f>IFERROR(SUMIF(A$6:A2007,"&lt;&gt;""",G$6:G2007)-SUMIF(A$6:A2007,"&lt;&gt;""",H$6:H2007),"")</f>
        <v/>
      </c>
    </row>
    <row r="2008">
      <c r="I2008">
        <f>IFERROR(SUMIF(A$6:A2008,"&lt;&gt;""",G$6:G2008)-SUMIF(A$6:A2008,"&lt;&gt;""",H$6:H2008),"")</f>
        <v/>
      </c>
    </row>
    <row r="2009">
      <c r="I2009">
        <f>IFERROR(SUMIF(A$6:A2009,"&lt;&gt;""",G$6:G2009)-SUMIF(A$6:A2009,"&lt;&gt;""",H$6:H2009),"")</f>
        <v/>
      </c>
    </row>
    <row r="2010">
      <c r="I2010">
        <f>IFERROR(SUMIF(A$6:A2010,"&lt;&gt;""",G$6:G2010)-SUMIF(A$6:A2010,"&lt;&gt;""",H$6:H2010),"")</f>
        <v/>
      </c>
    </row>
    <row r="2011">
      <c r="I2011">
        <f>IFERROR(SUMIF(A$6:A2011,"&lt;&gt;""",G$6:G2011)-SUMIF(A$6:A2011,"&lt;&gt;""",H$6:H2011),"")</f>
        <v/>
      </c>
    </row>
    <row r="2012">
      <c r="I2012">
        <f>IFERROR(SUMIF(A$6:A2012,"&lt;&gt;""",G$6:G2012)-SUMIF(A$6:A2012,"&lt;&gt;""",H$6:H2012),"")</f>
        <v/>
      </c>
    </row>
    <row r="2013">
      <c r="I2013">
        <f>IFERROR(SUMIF(A$6:A2013,"&lt;&gt;""",G$6:G2013)-SUMIF(A$6:A2013,"&lt;&gt;""",H$6:H2013),"")</f>
        <v/>
      </c>
    </row>
    <row r="2014">
      <c r="I2014">
        <f>IFERROR(SUMIF(A$6:A2014,"&lt;&gt;""",G$6:G2014)-SUMIF(A$6:A2014,"&lt;&gt;""",H$6:H2014),"")</f>
        <v/>
      </c>
    </row>
    <row r="2015">
      <c r="I2015">
        <f>IFERROR(SUMIF(A$6:A2015,"&lt;&gt;""",G$6:G2015)-SUMIF(A$6:A2015,"&lt;&gt;""",H$6:H2015),"")</f>
        <v/>
      </c>
    </row>
    <row r="2016">
      <c r="I2016">
        <f>IFERROR(SUMIF(A$6:A2016,"&lt;&gt;""",G$6:G2016)-SUMIF(A$6:A2016,"&lt;&gt;""",H$6:H2016),"")</f>
        <v/>
      </c>
    </row>
    <row r="2017">
      <c r="I2017">
        <f>IFERROR(SUMIF(A$6:A2017,"&lt;&gt;""",G$6:G2017)-SUMIF(A$6:A2017,"&lt;&gt;""",H$6:H2017),"")</f>
        <v/>
      </c>
    </row>
    <row r="2018">
      <c r="I2018">
        <f>IFERROR(SUMIF(A$6:A2018,"&lt;&gt;""",G$6:G2018)-SUMIF(A$6:A2018,"&lt;&gt;""",H$6:H2018),"")</f>
        <v/>
      </c>
    </row>
    <row r="2019">
      <c r="I2019">
        <f>IFERROR(SUMIF(A$6:A2019,"&lt;&gt;""",G$6:G2019)-SUMIF(A$6:A2019,"&lt;&gt;""",H$6:H2019),"")</f>
        <v/>
      </c>
    </row>
    <row r="2020">
      <c r="I2020">
        <f>IFERROR(SUMIF(A$6:A2020,"&lt;&gt;""",G$6:G2020)-SUMIF(A$6:A2020,"&lt;&gt;""",H$6:H2020),"")</f>
        <v/>
      </c>
    </row>
    <row r="2021">
      <c r="I2021">
        <f>IFERROR(SUMIF(A$6:A2021,"&lt;&gt;""",G$6:G2021)-SUMIF(A$6:A2021,"&lt;&gt;""",H$6:H2021),"")</f>
        <v/>
      </c>
    </row>
    <row r="2022">
      <c r="I2022">
        <f>IFERROR(SUMIF(A$6:A2022,"&lt;&gt;""",G$6:G2022)-SUMIF(A$6:A2022,"&lt;&gt;""",H$6:H2022),"")</f>
        <v/>
      </c>
    </row>
    <row r="2023">
      <c r="I2023">
        <f>IFERROR(SUMIF(A$6:A2023,"&lt;&gt;""",G$6:G2023)-SUMIF(A$6:A2023,"&lt;&gt;""",H$6:H2023),"")</f>
        <v/>
      </c>
    </row>
    <row r="2024">
      <c r="I2024">
        <f>IFERROR(SUMIF(A$6:A2024,"&lt;&gt;""",G$6:G2024)-SUMIF(A$6:A2024,"&lt;&gt;""",H$6:H2024),"")</f>
        <v/>
      </c>
    </row>
    <row r="2025">
      <c r="I2025">
        <f>IFERROR(SUMIF(A$6:A2025,"&lt;&gt;""",G$6:G2025)-SUMIF(A$6:A2025,"&lt;&gt;""",H$6:H2025),"")</f>
        <v/>
      </c>
    </row>
    <row r="2026">
      <c r="I2026">
        <f>IFERROR(SUMIF(A$6:A2026,"&lt;&gt;""",G$6:G2026)-SUMIF(A$6:A2026,"&lt;&gt;""",H$6:H2026),"")</f>
        <v/>
      </c>
    </row>
    <row r="2027">
      <c r="I2027">
        <f>IFERROR(SUMIF(A$6:A2027,"&lt;&gt;""",G$6:G2027)-SUMIF(A$6:A2027,"&lt;&gt;""",H$6:H2027),"")</f>
        <v/>
      </c>
    </row>
    <row r="2028">
      <c r="I2028">
        <f>IFERROR(SUMIF(A$6:A2028,"&lt;&gt;""",G$6:G2028)-SUMIF(A$6:A2028,"&lt;&gt;""",H$6:H2028),"")</f>
        <v/>
      </c>
    </row>
    <row r="2029">
      <c r="I2029">
        <f>IFERROR(SUMIF(A$6:A2029,"&lt;&gt;""",G$6:G2029)-SUMIF(A$6:A2029,"&lt;&gt;""",H$6:H2029),"")</f>
        <v/>
      </c>
    </row>
    <row r="2030">
      <c r="I2030">
        <f>IFERROR(SUMIF(A$6:A2030,"&lt;&gt;""",G$6:G2030)-SUMIF(A$6:A2030,"&lt;&gt;""",H$6:H2030),"")</f>
        <v/>
      </c>
    </row>
    <row r="2031">
      <c r="I2031">
        <f>IFERROR(SUMIF(A$6:A2031,"&lt;&gt;""",G$6:G2031)-SUMIF(A$6:A2031,"&lt;&gt;""",H$6:H2031),"")</f>
        <v/>
      </c>
    </row>
    <row r="2032">
      <c r="I2032">
        <f>IFERROR(SUMIF(A$6:A2032,"&lt;&gt;""",G$6:G2032)-SUMIF(A$6:A2032,"&lt;&gt;""",H$6:H2032),"")</f>
        <v/>
      </c>
    </row>
    <row r="2033">
      <c r="I2033">
        <f>IFERROR(SUMIF(A$6:A2033,"&lt;&gt;""",G$6:G2033)-SUMIF(A$6:A2033,"&lt;&gt;""",H$6:H2033),"")</f>
        <v/>
      </c>
    </row>
    <row r="2034">
      <c r="I2034">
        <f>IFERROR(SUMIF(A$6:A2034,"&lt;&gt;""",G$6:G2034)-SUMIF(A$6:A2034,"&lt;&gt;""",H$6:H2034),"")</f>
        <v/>
      </c>
    </row>
    <row r="2035">
      <c r="I2035">
        <f>IFERROR(SUMIF(A$6:A2035,"&lt;&gt;""",G$6:G2035)-SUMIF(A$6:A2035,"&lt;&gt;""",H$6:H2035),"")</f>
        <v/>
      </c>
    </row>
    <row r="2036">
      <c r="I2036">
        <f>IFERROR(SUMIF(A$6:A2036,"&lt;&gt;""",G$6:G2036)-SUMIF(A$6:A2036,"&lt;&gt;""",H$6:H2036),"")</f>
        <v/>
      </c>
    </row>
    <row r="2037">
      <c r="I2037">
        <f>IFERROR(SUMIF(A$6:A2037,"&lt;&gt;""",G$6:G2037)-SUMIF(A$6:A2037,"&lt;&gt;""",H$6:H2037),"")</f>
        <v/>
      </c>
    </row>
    <row r="2038">
      <c r="I2038">
        <f>IFERROR(SUMIF(A$6:A2038,"&lt;&gt;""",G$6:G2038)-SUMIF(A$6:A2038,"&lt;&gt;""",H$6:H2038),"")</f>
        <v/>
      </c>
    </row>
    <row r="2039">
      <c r="I2039">
        <f>IFERROR(SUMIF(A$6:A2039,"&lt;&gt;""",G$6:G2039)-SUMIF(A$6:A2039,"&lt;&gt;""",H$6:H2039),"")</f>
        <v/>
      </c>
    </row>
    <row r="2040">
      <c r="I2040">
        <f>IFERROR(SUMIF(A$6:A2040,"&lt;&gt;""",G$6:G2040)-SUMIF(A$6:A2040,"&lt;&gt;""",H$6:H2040),"")</f>
        <v/>
      </c>
    </row>
    <row r="2041">
      <c r="I2041">
        <f>IFERROR(SUMIF(A$6:A2041,"&lt;&gt;""",G$6:G2041)-SUMIF(A$6:A2041,"&lt;&gt;""",H$6:H2041),"")</f>
        <v/>
      </c>
    </row>
    <row r="2042">
      <c r="I2042">
        <f>IFERROR(SUMIF(A$6:A2042,"&lt;&gt;""",G$6:G2042)-SUMIF(A$6:A2042,"&lt;&gt;""",H$6:H2042),"")</f>
        <v/>
      </c>
    </row>
    <row r="2043">
      <c r="I2043">
        <f>IFERROR(SUMIF(A$6:A2043,"&lt;&gt;""",G$6:G2043)-SUMIF(A$6:A2043,"&lt;&gt;""",H$6:H2043),"")</f>
        <v/>
      </c>
    </row>
    <row r="2044">
      <c r="I2044">
        <f>IFERROR(SUMIF(A$6:A2044,"&lt;&gt;""",G$6:G2044)-SUMIF(A$6:A2044,"&lt;&gt;""",H$6:H2044),"")</f>
        <v/>
      </c>
    </row>
    <row r="2045">
      <c r="I2045">
        <f>IFERROR(SUMIF(A$6:A2045,"&lt;&gt;""",G$6:G2045)-SUMIF(A$6:A2045,"&lt;&gt;""",H$6:H2045),"")</f>
        <v/>
      </c>
    </row>
    <row r="2046">
      <c r="I2046">
        <f>IFERROR(SUMIF(A$6:A2046,"&lt;&gt;""",G$6:G2046)-SUMIF(A$6:A2046,"&lt;&gt;""",H$6:H2046),"")</f>
        <v/>
      </c>
    </row>
    <row r="2047">
      <c r="I2047">
        <f>IFERROR(SUMIF(A$6:A2047,"&lt;&gt;""",G$6:G2047)-SUMIF(A$6:A2047,"&lt;&gt;""",H$6:H2047),"")</f>
        <v/>
      </c>
    </row>
    <row r="2048">
      <c r="I2048">
        <f>IFERROR(SUMIF(A$6:A2048,"&lt;&gt;""",G$6:G2048)-SUMIF(A$6:A2048,"&lt;&gt;""",H$6:H2048),"")</f>
        <v/>
      </c>
    </row>
    <row r="2049">
      <c r="I2049">
        <f>IFERROR(SUMIF(A$6:A2049,"&lt;&gt;""",G$6:G2049)-SUMIF(A$6:A2049,"&lt;&gt;""",H$6:H2049),"")</f>
        <v/>
      </c>
    </row>
    <row r="2050">
      <c r="I2050">
        <f>IFERROR(SUMIF(A$6:A2050,"&lt;&gt;""",G$6:G2050)-SUMIF(A$6:A2050,"&lt;&gt;""",H$6:H2050),"")</f>
        <v/>
      </c>
    </row>
    <row r="2051">
      <c r="I2051">
        <f>IFERROR(SUMIF(A$6:A2051,"&lt;&gt;""",G$6:G2051)-SUMIF(A$6:A2051,"&lt;&gt;""",H$6:H2051),"")</f>
        <v/>
      </c>
    </row>
    <row r="2052">
      <c r="I2052">
        <f>IFERROR(SUMIF(A$6:A2052,"&lt;&gt;""",G$6:G2052)-SUMIF(A$6:A2052,"&lt;&gt;""",H$6:H2052),"")</f>
        <v/>
      </c>
    </row>
    <row r="2053">
      <c r="I2053">
        <f>IFERROR(SUMIF(A$6:A2053,"&lt;&gt;""",G$6:G2053)-SUMIF(A$6:A2053,"&lt;&gt;""",H$6:H2053),"")</f>
        <v/>
      </c>
    </row>
    <row r="2054">
      <c r="I2054">
        <f>IFERROR(SUMIF(A$6:A2054,"&lt;&gt;""",G$6:G2054)-SUMIF(A$6:A2054,"&lt;&gt;""",H$6:H2054),"")</f>
        <v/>
      </c>
    </row>
    <row r="2055">
      <c r="I2055">
        <f>IFERROR(SUMIF(A$6:A2055,"&lt;&gt;""",G$6:G2055)-SUMIF(A$6:A2055,"&lt;&gt;""",H$6:H2055),"")</f>
        <v/>
      </c>
    </row>
    <row r="2056">
      <c r="I2056">
        <f>IFERROR(SUMIF(A$6:A2056,"&lt;&gt;""",G$6:G2056)-SUMIF(A$6:A2056,"&lt;&gt;""",H$6:H2056),"")</f>
        <v/>
      </c>
    </row>
    <row r="2057">
      <c r="I2057">
        <f>IFERROR(SUMIF(A$6:A2057,"&lt;&gt;""",G$6:G2057)-SUMIF(A$6:A2057,"&lt;&gt;""",H$6:H2057),"")</f>
        <v/>
      </c>
    </row>
    <row r="2058">
      <c r="I2058">
        <f>IFERROR(SUMIF(A$6:A2058,"&lt;&gt;""",G$6:G2058)-SUMIF(A$6:A2058,"&lt;&gt;""",H$6:H2058),"")</f>
        <v/>
      </c>
    </row>
    <row r="2059">
      <c r="I2059">
        <f>IFERROR(SUMIF(A$6:A2059,"&lt;&gt;""",G$6:G2059)-SUMIF(A$6:A2059,"&lt;&gt;""",H$6:H2059),"")</f>
        <v/>
      </c>
    </row>
    <row r="2060">
      <c r="I2060">
        <f>IFERROR(SUMIF(A$6:A2060,"&lt;&gt;""",G$6:G2060)-SUMIF(A$6:A2060,"&lt;&gt;""",H$6:H2060),"")</f>
        <v/>
      </c>
    </row>
    <row r="2061">
      <c r="I2061">
        <f>IFERROR(SUMIF(A$6:A2061,"&lt;&gt;""",G$6:G2061)-SUMIF(A$6:A2061,"&lt;&gt;""",H$6:H2061),"")</f>
        <v/>
      </c>
    </row>
    <row r="2062">
      <c r="I2062">
        <f>IFERROR(SUMIF(A$6:A2062,"&lt;&gt;""",G$6:G2062)-SUMIF(A$6:A2062,"&lt;&gt;""",H$6:H2062),"")</f>
        <v/>
      </c>
    </row>
    <row r="2063">
      <c r="I2063">
        <f>IFERROR(SUMIF(A$6:A2063,"&lt;&gt;""",G$6:G2063)-SUMIF(A$6:A2063,"&lt;&gt;""",H$6:H2063),"")</f>
        <v/>
      </c>
    </row>
    <row r="2064">
      <c r="I2064">
        <f>IFERROR(SUMIF(A$6:A2064,"&lt;&gt;""",G$6:G2064)-SUMIF(A$6:A2064,"&lt;&gt;""",H$6:H2064),"")</f>
        <v/>
      </c>
    </row>
    <row r="2065">
      <c r="I2065">
        <f>IFERROR(SUMIF(A$6:A2065,"&lt;&gt;""",G$6:G2065)-SUMIF(A$6:A2065,"&lt;&gt;""",H$6:H2065),"")</f>
        <v/>
      </c>
    </row>
    <row r="2066">
      <c r="I2066">
        <f>IFERROR(SUMIF(A$6:A2066,"&lt;&gt;""",G$6:G2066)-SUMIF(A$6:A2066,"&lt;&gt;""",H$6:H2066),"")</f>
        <v/>
      </c>
    </row>
    <row r="2067">
      <c r="I2067">
        <f>IFERROR(SUMIF(A$6:A2067,"&lt;&gt;""",G$6:G2067)-SUMIF(A$6:A2067,"&lt;&gt;""",H$6:H2067),"")</f>
        <v/>
      </c>
    </row>
    <row r="2068">
      <c r="I2068">
        <f>IFERROR(SUMIF(A$6:A2068,"&lt;&gt;""",G$6:G2068)-SUMIF(A$6:A2068,"&lt;&gt;""",H$6:H2068),"")</f>
        <v/>
      </c>
    </row>
    <row r="2069">
      <c r="I2069">
        <f>IFERROR(SUMIF(A$6:A2069,"&lt;&gt;""",G$6:G2069)-SUMIF(A$6:A2069,"&lt;&gt;""",H$6:H2069),"")</f>
        <v/>
      </c>
    </row>
    <row r="2070">
      <c r="I2070">
        <f>IFERROR(SUMIF(A$6:A2070,"&lt;&gt;""",G$6:G2070)-SUMIF(A$6:A2070,"&lt;&gt;""",H$6:H2070),"")</f>
        <v/>
      </c>
    </row>
    <row r="2071">
      <c r="I2071">
        <f>IFERROR(SUMIF(A$6:A2071,"&lt;&gt;""",G$6:G2071)-SUMIF(A$6:A2071,"&lt;&gt;""",H$6:H2071),"")</f>
        <v/>
      </c>
    </row>
    <row r="2072">
      <c r="I2072">
        <f>IFERROR(SUMIF(A$6:A2072,"&lt;&gt;""",G$6:G2072)-SUMIF(A$6:A2072,"&lt;&gt;""",H$6:H2072),"")</f>
        <v/>
      </c>
    </row>
    <row r="2073">
      <c r="I2073">
        <f>IFERROR(SUMIF(A$6:A2073,"&lt;&gt;""",G$6:G2073)-SUMIF(A$6:A2073,"&lt;&gt;""",H$6:H2073),"")</f>
        <v/>
      </c>
    </row>
    <row r="2074">
      <c r="I2074">
        <f>IFERROR(SUMIF(A$6:A2074,"&lt;&gt;""",G$6:G2074)-SUMIF(A$6:A2074,"&lt;&gt;""",H$6:H2074),"")</f>
        <v/>
      </c>
    </row>
    <row r="2075">
      <c r="I2075">
        <f>IFERROR(SUMIF(A$6:A2075,"&lt;&gt;""",G$6:G2075)-SUMIF(A$6:A2075,"&lt;&gt;""",H$6:H2075),"")</f>
        <v/>
      </c>
    </row>
    <row r="2076">
      <c r="I2076">
        <f>IFERROR(SUMIF(A$6:A2076,"&lt;&gt;""",G$6:G2076)-SUMIF(A$6:A2076,"&lt;&gt;""",H$6:H2076),"")</f>
        <v/>
      </c>
    </row>
    <row r="2077">
      <c r="I2077">
        <f>IFERROR(SUMIF(A$6:A2077,"&lt;&gt;""",G$6:G2077)-SUMIF(A$6:A2077,"&lt;&gt;""",H$6:H2077),"")</f>
        <v/>
      </c>
    </row>
    <row r="2078">
      <c r="I2078">
        <f>IFERROR(SUMIF(A$6:A2078,"&lt;&gt;""",G$6:G2078)-SUMIF(A$6:A2078,"&lt;&gt;""",H$6:H2078),"")</f>
        <v/>
      </c>
    </row>
    <row r="2079">
      <c r="I2079">
        <f>IFERROR(SUMIF(A$6:A2079,"&lt;&gt;""",G$6:G2079)-SUMIF(A$6:A2079,"&lt;&gt;""",H$6:H2079),"")</f>
        <v/>
      </c>
    </row>
    <row r="2080">
      <c r="I2080">
        <f>IFERROR(SUMIF(A$6:A2080,"&lt;&gt;""",G$6:G2080)-SUMIF(A$6:A2080,"&lt;&gt;""",H$6:H2080),"")</f>
        <v/>
      </c>
    </row>
    <row r="2081">
      <c r="I2081">
        <f>IFERROR(SUMIF(A$6:A2081,"&lt;&gt;""",G$6:G2081)-SUMIF(A$6:A2081,"&lt;&gt;""",H$6:H2081),"")</f>
        <v/>
      </c>
    </row>
    <row r="2082">
      <c r="I2082">
        <f>IFERROR(SUMIF(A$6:A2082,"&lt;&gt;""",G$6:G2082)-SUMIF(A$6:A2082,"&lt;&gt;""",H$6:H2082),"")</f>
        <v/>
      </c>
    </row>
    <row r="2083">
      <c r="I2083">
        <f>IFERROR(SUMIF(A$6:A2083,"&lt;&gt;""",G$6:G2083)-SUMIF(A$6:A2083,"&lt;&gt;""",H$6:H2083),"")</f>
        <v/>
      </c>
    </row>
    <row r="2084">
      <c r="I2084">
        <f>IFERROR(SUMIF(A$6:A2084,"&lt;&gt;""",G$6:G2084)-SUMIF(A$6:A2084,"&lt;&gt;""",H$6:H2084),"")</f>
        <v/>
      </c>
    </row>
    <row r="2085">
      <c r="I2085">
        <f>IFERROR(SUMIF(A$6:A2085,"&lt;&gt;""",G$6:G2085)-SUMIF(A$6:A2085,"&lt;&gt;""",H$6:H2085),"")</f>
        <v/>
      </c>
    </row>
    <row r="2086">
      <c r="I2086">
        <f>IFERROR(SUMIF(A$6:A2086,"&lt;&gt;""",G$6:G2086)-SUMIF(A$6:A2086,"&lt;&gt;""",H$6:H2086),"")</f>
        <v/>
      </c>
    </row>
    <row r="2087">
      <c r="I2087">
        <f>IFERROR(SUMIF(A$6:A2087,"&lt;&gt;""",G$6:G2087)-SUMIF(A$6:A2087,"&lt;&gt;""",H$6:H2087),"")</f>
        <v/>
      </c>
    </row>
    <row r="2088">
      <c r="I2088">
        <f>IFERROR(SUMIF(A$6:A2088,"&lt;&gt;""",G$6:G2088)-SUMIF(A$6:A2088,"&lt;&gt;""",H$6:H2088),"")</f>
        <v/>
      </c>
    </row>
    <row r="2089">
      <c r="I2089">
        <f>IFERROR(SUMIF(A$6:A2089,"&lt;&gt;""",G$6:G2089)-SUMIF(A$6:A2089,"&lt;&gt;""",H$6:H2089),"")</f>
        <v/>
      </c>
    </row>
    <row r="2090">
      <c r="I2090">
        <f>IFERROR(SUMIF(A$6:A2090,"&lt;&gt;""",G$6:G2090)-SUMIF(A$6:A2090,"&lt;&gt;""",H$6:H2090),"")</f>
        <v/>
      </c>
    </row>
    <row r="2091">
      <c r="I2091">
        <f>IFERROR(SUMIF(A$6:A2091,"&lt;&gt;""",G$6:G2091)-SUMIF(A$6:A2091,"&lt;&gt;""",H$6:H2091),"")</f>
        <v/>
      </c>
    </row>
    <row r="2092">
      <c r="I2092">
        <f>IFERROR(SUMIF(A$6:A2092,"&lt;&gt;""",G$6:G2092)-SUMIF(A$6:A2092,"&lt;&gt;""",H$6:H2092),"")</f>
        <v/>
      </c>
    </row>
    <row r="2093">
      <c r="I2093">
        <f>IFERROR(SUMIF(A$6:A2093,"&lt;&gt;""",G$6:G2093)-SUMIF(A$6:A2093,"&lt;&gt;""",H$6:H2093),"")</f>
        <v/>
      </c>
    </row>
    <row r="2094">
      <c r="I2094">
        <f>IFERROR(SUMIF(A$6:A2094,"&lt;&gt;""",G$6:G2094)-SUMIF(A$6:A2094,"&lt;&gt;""",H$6:H2094),"")</f>
        <v/>
      </c>
    </row>
    <row r="2095">
      <c r="I2095">
        <f>IFERROR(SUMIF(A$6:A2095,"&lt;&gt;""",G$6:G2095)-SUMIF(A$6:A2095,"&lt;&gt;""",H$6:H2095),"")</f>
        <v/>
      </c>
    </row>
    <row r="2096">
      <c r="I2096">
        <f>IFERROR(SUMIF(A$6:A2096,"&lt;&gt;""",G$6:G2096)-SUMIF(A$6:A2096,"&lt;&gt;""",H$6:H2096),"")</f>
        <v/>
      </c>
    </row>
    <row r="2097">
      <c r="I2097">
        <f>IFERROR(SUMIF(A$6:A2097,"&lt;&gt;""",G$6:G2097)-SUMIF(A$6:A2097,"&lt;&gt;""",H$6:H2097),"")</f>
        <v/>
      </c>
    </row>
    <row r="2098">
      <c r="I2098">
        <f>IFERROR(SUMIF(A$6:A2098,"&lt;&gt;""",G$6:G2098)-SUMIF(A$6:A2098,"&lt;&gt;""",H$6:H2098),"")</f>
        <v/>
      </c>
    </row>
    <row r="2099">
      <c r="I2099">
        <f>IFERROR(SUMIF(A$6:A2099,"&lt;&gt;""",G$6:G2099)-SUMIF(A$6:A2099,"&lt;&gt;""",H$6:H2099),"")</f>
        <v/>
      </c>
    </row>
    <row r="2100">
      <c r="I2100">
        <f>IFERROR(SUMIF(A$6:A2100,"&lt;&gt;""",G$6:G2100)-SUMIF(A$6:A2100,"&lt;&gt;""",H$6:H2100),"")</f>
        <v/>
      </c>
    </row>
    <row r="2101">
      <c r="I2101">
        <f>IFERROR(SUMIF(A$6:A2101,"&lt;&gt;""",G$6:G2101)-SUMIF(A$6:A2101,"&lt;&gt;""",H$6:H2101),"")</f>
        <v/>
      </c>
    </row>
    <row r="2102">
      <c r="I2102">
        <f>IFERROR(SUMIF(A$6:A2102,"&lt;&gt;""",G$6:G2102)-SUMIF(A$6:A2102,"&lt;&gt;""",H$6:H2102),"")</f>
        <v/>
      </c>
    </row>
    <row r="2103">
      <c r="I2103">
        <f>IFERROR(SUMIF(A$6:A2103,"&lt;&gt;""",G$6:G2103)-SUMIF(A$6:A2103,"&lt;&gt;""",H$6:H2103),"")</f>
        <v/>
      </c>
    </row>
    <row r="2104">
      <c r="I2104">
        <f>IFERROR(SUMIF(A$6:A2104,"&lt;&gt;""",G$6:G2104)-SUMIF(A$6:A2104,"&lt;&gt;""",H$6:H2104),"")</f>
        <v/>
      </c>
    </row>
    <row r="2105">
      <c r="I2105">
        <f>IFERROR(SUMIF(A$6:A2105,"&lt;&gt;""",G$6:G2105)-SUMIF(A$6:A2105,"&lt;&gt;""",H$6:H2105),"")</f>
        <v/>
      </c>
    </row>
    <row r="2106">
      <c r="I2106">
        <f>IFERROR(SUMIF(A$6:A2106,"&lt;&gt;""",G$6:G2106)-SUMIF(A$6:A2106,"&lt;&gt;""",H$6:H2106),"")</f>
        <v/>
      </c>
    </row>
    <row r="2107">
      <c r="I2107">
        <f>IFERROR(SUMIF(A$6:A2107,"&lt;&gt;""",G$6:G2107)-SUMIF(A$6:A2107,"&lt;&gt;""",H$6:H2107),"")</f>
        <v/>
      </c>
    </row>
    <row r="2108">
      <c r="I2108">
        <f>IFERROR(SUMIF(A$6:A2108,"&lt;&gt;""",G$6:G2108)-SUMIF(A$6:A2108,"&lt;&gt;""",H$6:H2108),"")</f>
        <v/>
      </c>
    </row>
    <row r="2109">
      <c r="I2109">
        <f>IFERROR(SUMIF(A$6:A2109,"&lt;&gt;""",G$6:G2109)-SUMIF(A$6:A2109,"&lt;&gt;""",H$6:H2109),"")</f>
        <v/>
      </c>
    </row>
    <row r="2110">
      <c r="I2110">
        <f>IFERROR(SUMIF(A$6:A2110,"&lt;&gt;""",G$6:G2110)-SUMIF(A$6:A2110,"&lt;&gt;""",H$6:H2110),"")</f>
        <v/>
      </c>
    </row>
    <row r="2111">
      <c r="I2111">
        <f>IFERROR(SUMIF(A$6:A2111,"&lt;&gt;""",G$6:G2111)-SUMIF(A$6:A2111,"&lt;&gt;""",H$6:H2111),"")</f>
        <v/>
      </c>
    </row>
    <row r="2112">
      <c r="I2112">
        <f>IFERROR(SUMIF(A$6:A2112,"&lt;&gt;""",G$6:G2112)-SUMIF(A$6:A2112,"&lt;&gt;""",H$6:H2112),"")</f>
        <v/>
      </c>
    </row>
    <row r="2113">
      <c r="I2113">
        <f>IFERROR(SUMIF(A$6:A2113,"&lt;&gt;""",G$6:G2113)-SUMIF(A$6:A2113,"&lt;&gt;""",H$6:H2113),"")</f>
        <v/>
      </c>
    </row>
    <row r="2114">
      <c r="I2114">
        <f>IFERROR(SUMIF(A$6:A2114,"&lt;&gt;""",G$6:G2114)-SUMIF(A$6:A2114,"&lt;&gt;""",H$6:H2114),"")</f>
        <v/>
      </c>
    </row>
    <row r="2115">
      <c r="I2115">
        <f>IFERROR(SUMIF(A$6:A2115,"&lt;&gt;""",G$6:G2115)-SUMIF(A$6:A2115,"&lt;&gt;""",H$6:H2115),"")</f>
        <v/>
      </c>
    </row>
    <row r="2116">
      <c r="I2116">
        <f>IFERROR(SUMIF(A$6:A2116,"&lt;&gt;""",G$6:G2116)-SUMIF(A$6:A2116,"&lt;&gt;""",H$6:H2116),"")</f>
        <v/>
      </c>
    </row>
    <row r="2117">
      <c r="I2117">
        <f>IFERROR(SUMIF(A$6:A2117,"&lt;&gt;""",G$6:G2117)-SUMIF(A$6:A2117,"&lt;&gt;""",H$6:H2117),"")</f>
        <v/>
      </c>
    </row>
    <row r="2118">
      <c r="I2118">
        <f>IFERROR(SUMIF(A$6:A2118,"&lt;&gt;""",G$6:G2118)-SUMIF(A$6:A2118,"&lt;&gt;""",H$6:H2118),"")</f>
        <v/>
      </c>
    </row>
    <row r="2119">
      <c r="I2119">
        <f>IFERROR(SUMIF(A$6:A2119,"&lt;&gt;""",G$6:G2119)-SUMIF(A$6:A2119,"&lt;&gt;""",H$6:H2119),"")</f>
        <v/>
      </c>
    </row>
    <row r="2120">
      <c r="I2120">
        <f>IFERROR(SUMIF(A$6:A2120,"&lt;&gt;""",G$6:G2120)-SUMIF(A$6:A2120,"&lt;&gt;""",H$6:H2120),"")</f>
        <v/>
      </c>
    </row>
    <row r="2121">
      <c r="I2121">
        <f>IFERROR(SUMIF(A$6:A2121,"&lt;&gt;""",G$6:G2121)-SUMIF(A$6:A2121,"&lt;&gt;""",H$6:H2121),"")</f>
        <v/>
      </c>
    </row>
    <row r="2122">
      <c r="I2122">
        <f>IFERROR(SUMIF(A$6:A2122,"&lt;&gt;""",G$6:G2122)-SUMIF(A$6:A2122,"&lt;&gt;""",H$6:H2122),"")</f>
        <v/>
      </c>
    </row>
    <row r="2123">
      <c r="I2123">
        <f>IFERROR(SUMIF(A$6:A2123,"&lt;&gt;""",G$6:G2123)-SUMIF(A$6:A2123,"&lt;&gt;""",H$6:H2123),"")</f>
        <v/>
      </c>
    </row>
    <row r="2124">
      <c r="I2124">
        <f>IFERROR(SUMIF(A$6:A2124,"&lt;&gt;""",G$6:G2124)-SUMIF(A$6:A2124,"&lt;&gt;""",H$6:H2124),"")</f>
        <v/>
      </c>
    </row>
    <row r="2125">
      <c r="I2125">
        <f>IFERROR(SUMIF(A$6:A2125,"&lt;&gt;""",G$6:G2125)-SUMIF(A$6:A2125,"&lt;&gt;""",H$6:H2125),"")</f>
        <v/>
      </c>
    </row>
    <row r="2126">
      <c r="I2126">
        <f>IFERROR(SUMIF(A$6:A2126,"&lt;&gt;""",G$6:G2126)-SUMIF(A$6:A2126,"&lt;&gt;""",H$6:H2126),"")</f>
        <v/>
      </c>
    </row>
    <row r="2127">
      <c r="I2127">
        <f>IFERROR(SUMIF(A$6:A2127,"&lt;&gt;""",G$6:G2127)-SUMIF(A$6:A2127,"&lt;&gt;""",H$6:H2127),"")</f>
        <v/>
      </c>
    </row>
    <row r="2128">
      <c r="I2128">
        <f>IFERROR(SUMIF(A$6:A2128,"&lt;&gt;""",G$6:G2128)-SUMIF(A$6:A2128,"&lt;&gt;""",H$6:H2128),"")</f>
        <v/>
      </c>
    </row>
    <row r="2129">
      <c r="I2129">
        <f>IFERROR(SUMIF(A$6:A2129,"&lt;&gt;""",G$6:G2129)-SUMIF(A$6:A2129,"&lt;&gt;""",H$6:H2129),"")</f>
        <v/>
      </c>
    </row>
    <row r="2130">
      <c r="I2130">
        <f>IFERROR(SUMIF(A$6:A2130,"&lt;&gt;""",G$6:G2130)-SUMIF(A$6:A2130,"&lt;&gt;""",H$6:H2130),"")</f>
        <v/>
      </c>
    </row>
    <row r="2131">
      <c r="I2131">
        <f>IFERROR(SUMIF(A$6:A2131,"&lt;&gt;""",G$6:G2131)-SUMIF(A$6:A2131,"&lt;&gt;""",H$6:H2131),"")</f>
        <v/>
      </c>
    </row>
    <row r="2132">
      <c r="I2132">
        <f>IFERROR(SUMIF(A$6:A2132,"&lt;&gt;""",G$6:G2132)-SUMIF(A$6:A2132,"&lt;&gt;""",H$6:H2132),"")</f>
        <v/>
      </c>
    </row>
    <row r="2133">
      <c r="I2133">
        <f>IFERROR(SUMIF(A$6:A2133,"&lt;&gt;""",G$6:G2133)-SUMIF(A$6:A2133,"&lt;&gt;""",H$6:H2133),"")</f>
        <v/>
      </c>
    </row>
    <row r="2134">
      <c r="I2134">
        <f>IFERROR(SUMIF(A$6:A2134,"&lt;&gt;""",G$6:G2134)-SUMIF(A$6:A2134,"&lt;&gt;""",H$6:H2134),"")</f>
        <v/>
      </c>
    </row>
    <row r="2135">
      <c r="I2135">
        <f>IFERROR(SUMIF(A$6:A2135,"&lt;&gt;""",G$6:G2135)-SUMIF(A$6:A2135,"&lt;&gt;""",H$6:H2135),"")</f>
        <v/>
      </c>
    </row>
    <row r="2136">
      <c r="I2136">
        <f>IFERROR(SUMIF(A$6:A2136,"&lt;&gt;""",G$6:G2136)-SUMIF(A$6:A2136,"&lt;&gt;""",H$6:H2136),"")</f>
        <v/>
      </c>
    </row>
    <row r="2137">
      <c r="I2137">
        <f>IFERROR(SUMIF(A$6:A2137,"&lt;&gt;""",G$6:G2137)-SUMIF(A$6:A2137,"&lt;&gt;""",H$6:H2137),"")</f>
        <v/>
      </c>
    </row>
    <row r="2138">
      <c r="I2138">
        <f>IFERROR(SUMIF(A$6:A2138,"&lt;&gt;""",G$6:G2138)-SUMIF(A$6:A2138,"&lt;&gt;""",H$6:H2138),"")</f>
        <v/>
      </c>
    </row>
    <row r="2139">
      <c r="I2139">
        <f>IFERROR(SUMIF(A$6:A2139,"&lt;&gt;""",G$6:G2139)-SUMIF(A$6:A2139,"&lt;&gt;""",H$6:H2139),"")</f>
        <v/>
      </c>
    </row>
    <row r="2140">
      <c r="I2140">
        <f>IFERROR(SUMIF(A$6:A2140,"&lt;&gt;""",G$6:G2140)-SUMIF(A$6:A2140,"&lt;&gt;""",H$6:H2140),"")</f>
        <v/>
      </c>
    </row>
    <row r="2141">
      <c r="I2141">
        <f>IFERROR(SUMIF(A$6:A2141,"&lt;&gt;""",G$6:G2141)-SUMIF(A$6:A2141,"&lt;&gt;""",H$6:H2141),"")</f>
        <v/>
      </c>
    </row>
    <row r="2142">
      <c r="I2142">
        <f>IFERROR(SUMIF(A$6:A2142,"&lt;&gt;""",G$6:G2142)-SUMIF(A$6:A2142,"&lt;&gt;""",H$6:H2142),"")</f>
        <v/>
      </c>
    </row>
    <row r="2143">
      <c r="I2143">
        <f>IFERROR(SUMIF(A$6:A2143,"&lt;&gt;""",G$6:G2143)-SUMIF(A$6:A2143,"&lt;&gt;""",H$6:H2143),"")</f>
        <v/>
      </c>
    </row>
    <row r="2144">
      <c r="I2144">
        <f>IFERROR(SUMIF(A$6:A2144,"&lt;&gt;""",G$6:G2144)-SUMIF(A$6:A2144,"&lt;&gt;""",H$6:H2144),"")</f>
        <v/>
      </c>
    </row>
    <row r="2145">
      <c r="I2145">
        <f>IFERROR(SUMIF(A$6:A2145,"&lt;&gt;""",G$6:G2145)-SUMIF(A$6:A2145,"&lt;&gt;""",H$6:H2145),"")</f>
        <v/>
      </c>
    </row>
    <row r="2146">
      <c r="I2146">
        <f>IFERROR(SUMIF(A$6:A2146,"&lt;&gt;""",G$6:G2146)-SUMIF(A$6:A2146,"&lt;&gt;""",H$6:H2146),"")</f>
        <v/>
      </c>
    </row>
    <row r="2147">
      <c r="I2147">
        <f>IFERROR(SUMIF(A$6:A2147,"&lt;&gt;""",G$6:G2147)-SUMIF(A$6:A2147,"&lt;&gt;""",H$6:H2147),"")</f>
        <v/>
      </c>
    </row>
    <row r="2148">
      <c r="I2148">
        <f>IFERROR(SUMIF(A$6:A2148,"&lt;&gt;""",G$6:G2148)-SUMIF(A$6:A2148,"&lt;&gt;""",H$6:H2148),"")</f>
        <v/>
      </c>
    </row>
    <row r="2149">
      <c r="I2149">
        <f>IFERROR(SUMIF(A$6:A2149,"&lt;&gt;""",G$6:G2149)-SUMIF(A$6:A2149,"&lt;&gt;""",H$6:H2149),"")</f>
        <v/>
      </c>
    </row>
    <row r="2150">
      <c r="I2150">
        <f>IFERROR(SUMIF(A$6:A2150,"&lt;&gt;""",G$6:G2150)-SUMIF(A$6:A2150,"&lt;&gt;""",H$6:H2150),"")</f>
        <v/>
      </c>
    </row>
    <row r="2151">
      <c r="I2151">
        <f>IFERROR(SUMIF(A$6:A2151,"&lt;&gt;""",G$6:G2151)-SUMIF(A$6:A2151,"&lt;&gt;""",H$6:H2151),"")</f>
        <v/>
      </c>
    </row>
    <row r="2152">
      <c r="I2152">
        <f>IFERROR(SUMIF(A$6:A2152,"&lt;&gt;""",G$6:G2152)-SUMIF(A$6:A2152,"&lt;&gt;""",H$6:H2152),"")</f>
        <v/>
      </c>
    </row>
    <row r="2153">
      <c r="I2153">
        <f>IFERROR(SUMIF(A$6:A2153,"&lt;&gt;""",G$6:G2153)-SUMIF(A$6:A2153,"&lt;&gt;""",H$6:H2153),"")</f>
        <v/>
      </c>
    </row>
    <row r="2154">
      <c r="I2154">
        <f>IFERROR(SUMIF(A$6:A2154,"&lt;&gt;""",G$6:G2154)-SUMIF(A$6:A2154,"&lt;&gt;""",H$6:H2154),"")</f>
        <v/>
      </c>
    </row>
    <row r="2155">
      <c r="I2155">
        <f>IFERROR(SUMIF(A$6:A2155,"&lt;&gt;""",G$6:G2155)-SUMIF(A$6:A2155,"&lt;&gt;""",H$6:H2155),"")</f>
        <v/>
      </c>
    </row>
    <row r="2156">
      <c r="I2156">
        <f>IFERROR(SUMIF(A$6:A2156,"&lt;&gt;""",G$6:G2156)-SUMIF(A$6:A2156,"&lt;&gt;""",H$6:H2156),"")</f>
        <v/>
      </c>
    </row>
    <row r="2157">
      <c r="I2157">
        <f>IFERROR(SUMIF(A$6:A2157,"&lt;&gt;""",G$6:G2157)-SUMIF(A$6:A2157,"&lt;&gt;""",H$6:H2157),"")</f>
        <v/>
      </c>
    </row>
    <row r="2158">
      <c r="I2158">
        <f>IFERROR(SUMIF(A$6:A2158,"&lt;&gt;""",G$6:G2158)-SUMIF(A$6:A2158,"&lt;&gt;""",H$6:H2158),"")</f>
        <v/>
      </c>
    </row>
    <row r="2159">
      <c r="I2159">
        <f>IFERROR(SUMIF(A$6:A2159,"&lt;&gt;""",G$6:G2159)-SUMIF(A$6:A2159,"&lt;&gt;""",H$6:H2159),"")</f>
        <v/>
      </c>
    </row>
    <row r="2160">
      <c r="I2160">
        <f>IFERROR(SUMIF(A$6:A2160,"&lt;&gt;""",G$6:G2160)-SUMIF(A$6:A2160,"&lt;&gt;""",H$6:H2160),"")</f>
        <v/>
      </c>
    </row>
    <row r="2161">
      <c r="I2161">
        <f>IFERROR(SUMIF(A$6:A2161,"&lt;&gt;""",G$6:G2161)-SUMIF(A$6:A2161,"&lt;&gt;""",H$6:H2161),"")</f>
        <v/>
      </c>
    </row>
    <row r="2162">
      <c r="I2162">
        <f>IFERROR(SUMIF(A$6:A2162,"&lt;&gt;""",G$6:G2162)-SUMIF(A$6:A2162,"&lt;&gt;""",H$6:H2162),"")</f>
        <v/>
      </c>
    </row>
    <row r="2163">
      <c r="I2163">
        <f>IFERROR(SUMIF(A$6:A2163,"&lt;&gt;""",G$6:G2163)-SUMIF(A$6:A2163,"&lt;&gt;""",H$6:H2163),"")</f>
        <v/>
      </c>
    </row>
    <row r="2164">
      <c r="I2164">
        <f>IFERROR(SUMIF(A$6:A2164,"&lt;&gt;""",G$6:G2164)-SUMIF(A$6:A2164,"&lt;&gt;""",H$6:H2164),"")</f>
        <v/>
      </c>
    </row>
    <row r="2165">
      <c r="I2165">
        <f>IFERROR(SUMIF(A$6:A2165,"&lt;&gt;""",G$6:G2165)-SUMIF(A$6:A2165,"&lt;&gt;""",H$6:H2165),"")</f>
        <v/>
      </c>
    </row>
    <row r="2166">
      <c r="I2166">
        <f>IFERROR(SUMIF(A$6:A2166,"&lt;&gt;""",G$6:G2166)-SUMIF(A$6:A2166,"&lt;&gt;""",H$6:H2166),"")</f>
        <v/>
      </c>
    </row>
    <row r="2167">
      <c r="I2167">
        <f>IFERROR(SUMIF(A$6:A2167,"&lt;&gt;""",G$6:G2167)-SUMIF(A$6:A2167,"&lt;&gt;""",H$6:H2167),"")</f>
        <v/>
      </c>
    </row>
    <row r="2168">
      <c r="I2168">
        <f>IFERROR(SUMIF(A$6:A2168,"&lt;&gt;""",G$6:G2168)-SUMIF(A$6:A2168,"&lt;&gt;""",H$6:H2168),"")</f>
        <v/>
      </c>
    </row>
    <row r="2169">
      <c r="I2169">
        <f>IFERROR(SUMIF(A$6:A2169,"&lt;&gt;""",G$6:G2169)-SUMIF(A$6:A2169,"&lt;&gt;""",H$6:H2169),"")</f>
        <v/>
      </c>
    </row>
    <row r="2170">
      <c r="I2170">
        <f>IFERROR(SUMIF(A$6:A2170,"&lt;&gt;""",G$6:G2170)-SUMIF(A$6:A2170,"&lt;&gt;""",H$6:H2170),"")</f>
        <v/>
      </c>
    </row>
    <row r="2171">
      <c r="I2171">
        <f>IFERROR(SUMIF(A$6:A2171,"&lt;&gt;""",G$6:G2171)-SUMIF(A$6:A2171,"&lt;&gt;""",H$6:H2171),"")</f>
        <v/>
      </c>
    </row>
    <row r="2172">
      <c r="I2172">
        <f>IFERROR(SUMIF(A$6:A2172,"&lt;&gt;""",G$6:G2172)-SUMIF(A$6:A2172,"&lt;&gt;""",H$6:H2172),"")</f>
        <v/>
      </c>
    </row>
    <row r="2173">
      <c r="I2173">
        <f>IFERROR(SUMIF(A$6:A2173,"&lt;&gt;""",G$6:G2173)-SUMIF(A$6:A2173,"&lt;&gt;""",H$6:H2173),"")</f>
        <v/>
      </c>
    </row>
    <row r="2174">
      <c r="I2174">
        <f>IFERROR(SUMIF(A$6:A2174,"&lt;&gt;""",G$6:G2174)-SUMIF(A$6:A2174,"&lt;&gt;""",H$6:H2174),"")</f>
        <v/>
      </c>
    </row>
    <row r="2175">
      <c r="I2175">
        <f>IFERROR(SUMIF(A$6:A2175,"&lt;&gt;""",G$6:G2175)-SUMIF(A$6:A2175,"&lt;&gt;""",H$6:H2175),"")</f>
        <v/>
      </c>
    </row>
    <row r="2176">
      <c r="I2176">
        <f>IFERROR(SUMIF(A$6:A2176,"&lt;&gt;""",G$6:G2176)-SUMIF(A$6:A2176,"&lt;&gt;""",H$6:H2176),"")</f>
        <v/>
      </c>
    </row>
    <row r="2177">
      <c r="I2177">
        <f>IFERROR(SUMIF(A$6:A2177,"&lt;&gt;""",G$6:G2177)-SUMIF(A$6:A2177,"&lt;&gt;""",H$6:H2177),"")</f>
        <v/>
      </c>
    </row>
    <row r="2178">
      <c r="I2178">
        <f>IFERROR(SUMIF(A$6:A2178,"&lt;&gt;""",G$6:G2178)-SUMIF(A$6:A2178,"&lt;&gt;""",H$6:H2178),"")</f>
        <v/>
      </c>
    </row>
    <row r="2179">
      <c r="I2179">
        <f>IFERROR(SUMIF(A$6:A2179,"&lt;&gt;""",G$6:G2179)-SUMIF(A$6:A2179,"&lt;&gt;""",H$6:H2179),"")</f>
        <v/>
      </c>
    </row>
    <row r="2180">
      <c r="I2180">
        <f>IFERROR(SUMIF(A$6:A2180,"&lt;&gt;""",G$6:G2180)-SUMIF(A$6:A2180,"&lt;&gt;""",H$6:H2180),"")</f>
        <v/>
      </c>
    </row>
    <row r="2181">
      <c r="I2181">
        <f>IFERROR(SUMIF(A$6:A2181,"&lt;&gt;""",G$6:G2181)-SUMIF(A$6:A2181,"&lt;&gt;""",H$6:H2181),"")</f>
        <v/>
      </c>
    </row>
    <row r="2182">
      <c r="I2182">
        <f>IFERROR(SUMIF(A$6:A2182,"&lt;&gt;""",G$6:G2182)-SUMIF(A$6:A2182,"&lt;&gt;""",H$6:H2182),"")</f>
        <v/>
      </c>
    </row>
    <row r="2183">
      <c r="I2183">
        <f>IFERROR(SUMIF(A$6:A2183,"&lt;&gt;""",G$6:G2183)-SUMIF(A$6:A2183,"&lt;&gt;""",H$6:H2183),"")</f>
        <v/>
      </c>
    </row>
    <row r="2184">
      <c r="I2184">
        <f>IFERROR(SUMIF(A$6:A2184,"&lt;&gt;""",G$6:G2184)-SUMIF(A$6:A2184,"&lt;&gt;""",H$6:H2184),"")</f>
        <v/>
      </c>
    </row>
    <row r="2185">
      <c r="I2185">
        <f>IFERROR(SUMIF(A$6:A2185,"&lt;&gt;""",G$6:G2185)-SUMIF(A$6:A2185,"&lt;&gt;""",H$6:H2185),"")</f>
        <v/>
      </c>
    </row>
    <row r="2186">
      <c r="I2186">
        <f>IFERROR(SUMIF(A$6:A2186,"&lt;&gt;""",G$6:G2186)-SUMIF(A$6:A2186,"&lt;&gt;""",H$6:H2186),"")</f>
        <v/>
      </c>
    </row>
    <row r="2187">
      <c r="I2187">
        <f>IFERROR(SUMIF(A$6:A2187,"&lt;&gt;""",G$6:G2187)-SUMIF(A$6:A2187,"&lt;&gt;""",H$6:H2187),"")</f>
        <v/>
      </c>
    </row>
    <row r="2188">
      <c r="I2188">
        <f>IFERROR(SUMIF(A$6:A2188,"&lt;&gt;""",G$6:G2188)-SUMIF(A$6:A2188,"&lt;&gt;""",H$6:H2188),"")</f>
        <v/>
      </c>
    </row>
    <row r="2189">
      <c r="I2189">
        <f>IFERROR(SUMIF(A$6:A2189,"&lt;&gt;""",G$6:G2189)-SUMIF(A$6:A2189,"&lt;&gt;""",H$6:H2189),"")</f>
        <v/>
      </c>
    </row>
    <row r="2190">
      <c r="I2190">
        <f>IFERROR(SUMIF(A$6:A2190,"&lt;&gt;""",G$6:G2190)-SUMIF(A$6:A2190,"&lt;&gt;""",H$6:H2190),"")</f>
        <v/>
      </c>
    </row>
    <row r="2191">
      <c r="I2191">
        <f>IFERROR(SUMIF(A$6:A2191,"&lt;&gt;""",G$6:G2191)-SUMIF(A$6:A2191,"&lt;&gt;""",H$6:H2191),"")</f>
        <v/>
      </c>
    </row>
    <row r="2192">
      <c r="I2192">
        <f>IFERROR(SUMIF(A$6:A2192,"&lt;&gt;""",G$6:G2192)-SUMIF(A$6:A2192,"&lt;&gt;""",H$6:H2192),"")</f>
        <v/>
      </c>
    </row>
    <row r="2193">
      <c r="I2193">
        <f>IFERROR(SUMIF(A$6:A2193,"&lt;&gt;""",G$6:G2193)-SUMIF(A$6:A2193,"&lt;&gt;""",H$6:H2193),"")</f>
        <v/>
      </c>
    </row>
    <row r="2194">
      <c r="I2194">
        <f>IFERROR(SUMIF(A$6:A2194,"&lt;&gt;""",G$6:G2194)-SUMIF(A$6:A2194,"&lt;&gt;""",H$6:H2194),"")</f>
        <v/>
      </c>
    </row>
    <row r="2195">
      <c r="I2195">
        <f>IFERROR(SUMIF(A$6:A2195,"&lt;&gt;""",G$6:G2195)-SUMIF(A$6:A2195,"&lt;&gt;""",H$6:H2195),"")</f>
        <v/>
      </c>
    </row>
    <row r="2196">
      <c r="I2196">
        <f>IFERROR(SUMIF(A$6:A2196,"&lt;&gt;""",G$6:G2196)-SUMIF(A$6:A2196,"&lt;&gt;""",H$6:H2196),"")</f>
        <v/>
      </c>
    </row>
    <row r="2197">
      <c r="I2197">
        <f>IFERROR(SUMIF(A$6:A2197,"&lt;&gt;""",G$6:G2197)-SUMIF(A$6:A2197,"&lt;&gt;""",H$6:H2197),"")</f>
        <v/>
      </c>
    </row>
    <row r="2198">
      <c r="I2198">
        <f>IFERROR(SUMIF(A$6:A2198,"&lt;&gt;""",G$6:G2198)-SUMIF(A$6:A2198,"&lt;&gt;""",H$6:H2198),"")</f>
        <v/>
      </c>
    </row>
    <row r="2199">
      <c r="I2199">
        <f>IFERROR(SUMIF(A$6:A2199,"&lt;&gt;""",G$6:G2199)-SUMIF(A$6:A2199,"&lt;&gt;""",H$6:H2199),"")</f>
        <v/>
      </c>
    </row>
    <row r="2200">
      <c r="I2200">
        <f>IFERROR(SUMIF(A$6:A2200,"&lt;&gt;""",G$6:G2200)-SUMIF(A$6:A2200,"&lt;&gt;""",H$6:H2200),"")</f>
        <v/>
      </c>
    </row>
    <row r="2201">
      <c r="I2201">
        <f>IFERROR(SUMIF(A$6:A2201,"&lt;&gt;""",G$6:G2201)-SUMIF(A$6:A2201,"&lt;&gt;""",H$6:H2201),"")</f>
        <v/>
      </c>
    </row>
    <row r="2202">
      <c r="I2202">
        <f>IFERROR(SUMIF(A$6:A2202,"&lt;&gt;""",G$6:G2202)-SUMIF(A$6:A2202,"&lt;&gt;""",H$6:H2202),"")</f>
        <v/>
      </c>
    </row>
    <row r="2203">
      <c r="I2203">
        <f>IFERROR(SUMIF(A$6:A2203,"&lt;&gt;""",G$6:G2203)-SUMIF(A$6:A2203,"&lt;&gt;""",H$6:H2203),"")</f>
        <v/>
      </c>
    </row>
    <row r="2204">
      <c r="I2204">
        <f>IFERROR(SUMIF(A$6:A2204,"&lt;&gt;""",G$6:G2204)-SUMIF(A$6:A2204,"&lt;&gt;""",H$6:H2204),"")</f>
        <v/>
      </c>
    </row>
    <row r="2205">
      <c r="I2205">
        <f>IFERROR(SUMIF(A$6:A2205,"&lt;&gt;""",G$6:G2205)-SUMIF(A$6:A2205,"&lt;&gt;""",H$6:H2205),"")</f>
        <v/>
      </c>
    </row>
    <row r="2206">
      <c r="I2206">
        <f>IFERROR(SUMIF(A$6:A2206,"&lt;&gt;""",G$6:G2206)-SUMIF(A$6:A2206,"&lt;&gt;""",H$6:H2206),"")</f>
        <v/>
      </c>
    </row>
    <row r="2207">
      <c r="I2207">
        <f>IFERROR(SUMIF(A$6:A2207,"&lt;&gt;""",G$6:G2207)-SUMIF(A$6:A2207,"&lt;&gt;""",H$6:H2207),"")</f>
        <v/>
      </c>
    </row>
    <row r="2208">
      <c r="I2208">
        <f>IFERROR(SUMIF(A$6:A2208,"&lt;&gt;""",G$6:G2208)-SUMIF(A$6:A2208,"&lt;&gt;""",H$6:H2208),"")</f>
        <v/>
      </c>
    </row>
    <row r="2209">
      <c r="I2209">
        <f>IFERROR(SUMIF(A$6:A2209,"&lt;&gt;""",G$6:G2209)-SUMIF(A$6:A2209,"&lt;&gt;""",H$6:H2209),"")</f>
        <v/>
      </c>
    </row>
    <row r="2210">
      <c r="I2210">
        <f>IFERROR(SUMIF(A$6:A2210,"&lt;&gt;""",G$6:G2210)-SUMIF(A$6:A2210,"&lt;&gt;""",H$6:H2210),"")</f>
        <v/>
      </c>
    </row>
    <row r="2211">
      <c r="I2211">
        <f>IFERROR(SUMIF(A$6:A2211,"&lt;&gt;""",G$6:G2211)-SUMIF(A$6:A2211,"&lt;&gt;""",H$6:H2211),"")</f>
        <v/>
      </c>
    </row>
    <row r="2212">
      <c r="I2212">
        <f>IFERROR(SUMIF(A$6:A2212,"&lt;&gt;""",G$6:G2212)-SUMIF(A$6:A2212,"&lt;&gt;""",H$6:H2212),"")</f>
        <v/>
      </c>
    </row>
    <row r="2213">
      <c r="I2213">
        <f>IFERROR(SUMIF(A$6:A2213,"&lt;&gt;""",G$6:G2213)-SUMIF(A$6:A2213,"&lt;&gt;""",H$6:H2213),"")</f>
        <v/>
      </c>
    </row>
    <row r="2214">
      <c r="I2214">
        <f>IFERROR(SUMIF(A$6:A2214,"&lt;&gt;""",G$6:G2214)-SUMIF(A$6:A2214,"&lt;&gt;""",H$6:H2214),"")</f>
        <v/>
      </c>
    </row>
    <row r="2215">
      <c r="I2215">
        <f>IFERROR(SUMIF(A$6:A2215,"&lt;&gt;""",G$6:G2215)-SUMIF(A$6:A2215,"&lt;&gt;""",H$6:H2215),"")</f>
        <v/>
      </c>
    </row>
    <row r="2216">
      <c r="I2216">
        <f>IFERROR(SUMIF(A$6:A2216,"&lt;&gt;""",G$6:G2216)-SUMIF(A$6:A2216,"&lt;&gt;""",H$6:H2216),"")</f>
        <v/>
      </c>
    </row>
    <row r="2217">
      <c r="I2217">
        <f>IFERROR(SUMIF(A$6:A2217,"&lt;&gt;""",G$6:G2217)-SUMIF(A$6:A2217,"&lt;&gt;""",H$6:H2217),"")</f>
        <v/>
      </c>
    </row>
    <row r="2218">
      <c r="I2218">
        <f>IFERROR(SUMIF(A$6:A2218,"&lt;&gt;""",G$6:G2218)-SUMIF(A$6:A2218,"&lt;&gt;""",H$6:H2218),"")</f>
        <v/>
      </c>
    </row>
    <row r="2219">
      <c r="I2219">
        <f>IFERROR(SUMIF(A$6:A2219,"&lt;&gt;""",G$6:G2219)-SUMIF(A$6:A2219,"&lt;&gt;""",H$6:H2219),"")</f>
        <v/>
      </c>
    </row>
    <row r="2220">
      <c r="I2220">
        <f>IFERROR(SUMIF(A$6:A2220,"&lt;&gt;""",G$6:G2220)-SUMIF(A$6:A2220,"&lt;&gt;""",H$6:H2220),"")</f>
        <v/>
      </c>
    </row>
    <row r="2221">
      <c r="I2221">
        <f>IFERROR(SUMIF(A$6:A2221,"&lt;&gt;""",G$6:G2221)-SUMIF(A$6:A2221,"&lt;&gt;""",H$6:H2221),"")</f>
        <v/>
      </c>
    </row>
    <row r="2222">
      <c r="I2222">
        <f>IFERROR(SUMIF(A$6:A2222,"&lt;&gt;""",G$6:G2222)-SUMIF(A$6:A2222,"&lt;&gt;""",H$6:H2222),"")</f>
        <v/>
      </c>
    </row>
    <row r="2223">
      <c r="I2223">
        <f>IFERROR(SUMIF(A$6:A2223,"&lt;&gt;""",G$6:G2223)-SUMIF(A$6:A2223,"&lt;&gt;""",H$6:H2223),"")</f>
        <v/>
      </c>
    </row>
    <row r="2224">
      <c r="I2224">
        <f>IFERROR(SUMIF(A$6:A2224,"&lt;&gt;""",G$6:G2224)-SUMIF(A$6:A2224,"&lt;&gt;""",H$6:H2224),"")</f>
        <v/>
      </c>
    </row>
    <row r="2225">
      <c r="I2225">
        <f>IFERROR(SUMIF(A$6:A2225,"&lt;&gt;""",G$6:G2225)-SUMIF(A$6:A2225,"&lt;&gt;""",H$6:H2225),"")</f>
        <v/>
      </c>
    </row>
    <row r="2226">
      <c r="I2226">
        <f>IFERROR(SUMIF(A$6:A2226,"&lt;&gt;""",G$6:G2226)-SUMIF(A$6:A2226,"&lt;&gt;""",H$6:H2226),"")</f>
        <v/>
      </c>
    </row>
    <row r="2227">
      <c r="I2227">
        <f>IFERROR(SUMIF(A$6:A2227,"&lt;&gt;""",G$6:G2227)-SUMIF(A$6:A2227,"&lt;&gt;""",H$6:H2227),"")</f>
        <v/>
      </c>
    </row>
    <row r="2228">
      <c r="I2228">
        <f>IFERROR(SUMIF(A$6:A2228,"&lt;&gt;""",G$6:G2228)-SUMIF(A$6:A2228,"&lt;&gt;""",H$6:H2228),"")</f>
        <v/>
      </c>
    </row>
    <row r="2229">
      <c r="I2229">
        <f>IFERROR(SUMIF(A$6:A2229,"&lt;&gt;""",G$6:G2229)-SUMIF(A$6:A2229,"&lt;&gt;""",H$6:H2229),"")</f>
        <v/>
      </c>
    </row>
    <row r="2230">
      <c r="I2230">
        <f>IFERROR(SUMIF(A$6:A2230,"&lt;&gt;""",G$6:G2230)-SUMIF(A$6:A2230,"&lt;&gt;""",H$6:H2230),"")</f>
        <v/>
      </c>
    </row>
    <row r="2231">
      <c r="I2231">
        <f>IFERROR(SUMIF(A$6:A2231,"&lt;&gt;""",G$6:G2231)-SUMIF(A$6:A2231,"&lt;&gt;""",H$6:H2231),"")</f>
        <v/>
      </c>
    </row>
    <row r="2232">
      <c r="I2232">
        <f>IFERROR(SUMIF(A$6:A2232,"&lt;&gt;""",G$6:G2232)-SUMIF(A$6:A2232,"&lt;&gt;""",H$6:H2232),"")</f>
        <v/>
      </c>
    </row>
    <row r="2233">
      <c r="I2233">
        <f>IFERROR(SUMIF(A$6:A2233,"&lt;&gt;""",G$6:G2233)-SUMIF(A$6:A2233,"&lt;&gt;""",H$6:H2233),"")</f>
        <v/>
      </c>
    </row>
    <row r="2234">
      <c r="I2234">
        <f>IFERROR(SUMIF(A$6:A2234,"&lt;&gt;""",G$6:G2234)-SUMIF(A$6:A2234,"&lt;&gt;""",H$6:H2234),"")</f>
        <v/>
      </c>
    </row>
    <row r="2235">
      <c r="I2235">
        <f>IFERROR(SUMIF(A$6:A2235,"&lt;&gt;""",G$6:G2235)-SUMIF(A$6:A2235,"&lt;&gt;""",H$6:H2235),"")</f>
        <v/>
      </c>
    </row>
    <row r="2236">
      <c r="I2236">
        <f>IFERROR(SUMIF(A$6:A2236,"&lt;&gt;""",G$6:G2236)-SUMIF(A$6:A2236,"&lt;&gt;""",H$6:H2236),"")</f>
        <v/>
      </c>
    </row>
    <row r="2237">
      <c r="I2237">
        <f>IFERROR(SUMIF(A$6:A2237,"&lt;&gt;""",G$6:G2237)-SUMIF(A$6:A2237,"&lt;&gt;""",H$6:H2237),"")</f>
        <v/>
      </c>
    </row>
    <row r="2238">
      <c r="I2238">
        <f>IFERROR(SUMIF(A$6:A2238,"&lt;&gt;""",G$6:G2238)-SUMIF(A$6:A2238,"&lt;&gt;""",H$6:H2238),"")</f>
        <v/>
      </c>
    </row>
    <row r="2239">
      <c r="I2239">
        <f>IFERROR(SUMIF(A$6:A2239,"&lt;&gt;""",G$6:G2239)-SUMIF(A$6:A2239,"&lt;&gt;""",H$6:H2239),"")</f>
        <v/>
      </c>
    </row>
    <row r="2240">
      <c r="I2240">
        <f>IFERROR(SUMIF(A$6:A2240,"&lt;&gt;""",G$6:G2240)-SUMIF(A$6:A2240,"&lt;&gt;""",H$6:H2240),"")</f>
        <v/>
      </c>
    </row>
    <row r="2241">
      <c r="I2241">
        <f>IFERROR(SUMIF(A$6:A2241,"&lt;&gt;""",G$6:G2241)-SUMIF(A$6:A2241,"&lt;&gt;""",H$6:H2241),"")</f>
        <v/>
      </c>
    </row>
    <row r="2242">
      <c r="I2242">
        <f>IFERROR(SUMIF(A$6:A2242,"&lt;&gt;""",G$6:G2242)-SUMIF(A$6:A2242,"&lt;&gt;""",H$6:H2242),"")</f>
        <v/>
      </c>
    </row>
    <row r="2243">
      <c r="I2243">
        <f>IFERROR(SUMIF(A$6:A2243,"&lt;&gt;""",G$6:G2243)-SUMIF(A$6:A2243,"&lt;&gt;""",H$6:H2243),"")</f>
        <v/>
      </c>
    </row>
    <row r="2244">
      <c r="I2244">
        <f>IFERROR(SUMIF(A$6:A2244,"&lt;&gt;""",G$6:G2244)-SUMIF(A$6:A2244,"&lt;&gt;""",H$6:H2244),"")</f>
        <v/>
      </c>
    </row>
    <row r="2245">
      <c r="I2245">
        <f>IFERROR(SUMIF(A$6:A2245,"&lt;&gt;""",G$6:G2245)-SUMIF(A$6:A2245,"&lt;&gt;""",H$6:H2245),"")</f>
        <v/>
      </c>
    </row>
    <row r="2246">
      <c r="I2246">
        <f>IFERROR(SUMIF(A$6:A2246,"&lt;&gt;""",G$6:G2246)-SUMIF(A$6:A2246,"&lt;&gt;""",H$6:H2246),"")</f>
        <v/>
      </c>
    </row>
    <row r="2247">
      <c r="I2247">
        <f>IFERROR(SUMIF(A$6:A2247,"&lt;&gt;""",G$6:G2247)-SUMIF(A$6:A2247,"&lt;&gt;""",H$6:H2247),"")</f>
        <v/>
      </c>
    </row>
    <row r="2248">
      <c r="I2248">
        <f>IFERROR(SUMIF(A$6:A2248,"&lt;&gt;""",G$6:G2248)-SUMIF(A$6:A2248,"&lt;&gt;""",H$6:H2248),"")</f>
        <v/>
      </c>
    </row>
    <row r="2249">
      <c r="I2249">
        <f>IFERROR(SUMIF(A$6:A2249,"&lt;&gt;""",G$6:G2249)-SUMIF(A$6:A2249,"&lt;&gt;""",H$6:H2249),"")</f>
        <v/>
      </c>
    </row>
    <row r="2250">
      <c r="I2250">
        <f>IFERROR(SUMIF(A$6:A2250,"&lt;&gt;""",G$6:G2250)-SUMIF(A$6:A2250,"&lt;&gt;""",H$6:H2250),"")</f>
        <v/>
      </c>
    </row>
    <row r="2251">
      <c r="I2251">
        <f>IFERROR(SUMIF(A$6:A2251,"&lt;&gt;""",G$6:G2251)-SUMIF(A$6:A2251,"&lt;&gt;""",H$6:H2251),"")</f>
        <v/>
      </c>
    </row>
    <row r="2252">
      <c r="I2252">
        <f>IFERROR(SUMIF(A$6:A2252,"&lt;&gt;""",G$6:G2252)-SUMIF(A$6:A2252,"&lt;&gt;""",H$6:H2252),"")</f>
        <v/>
      </c>
    </row>
    <row r="2253">
      <c r="I2253">
        <f>IFERROR(SUMIF(A$6:A2253,"&lt;&gt;""",G$6:G2253)-SUMIF(A$6:A2253,"&lt;&gt;""",H$6:H2253),"")</f>
        <v/>
      </c>
    </row>
    <row r="2254">
      <c r="I2254">
        <f>IFERROR(SUMIF(A$6:A2254,"&lt;&gt;""",G$6:G2254)-SUMIF(A$6:A2254,"&lt;&gt;""",H$6:H2254),"")</f>
        <v/>
      </c>
    </row>
    <row r="2255">
      <c r="I2255">
        <f>IFERROR(SUMIF(A$6:A2255,"&lt;&gt;""",G$6:G2255)-SUMIF(A$6:A2255,"&lt;&gt;""",H$6:H2255),"")</f>
        <v/>
      </c>
    </row>
    <row r="2256">
      <c r="I2256">
        <f>IFERROR(SUMIF(A$6:A2256,"&lt;&gt;""",G$6:G2256)-SUMIF(A$6:A2256,"&lt;&gt;""",H$6:H2256),"")</f>
        <v/>
      </c>
    </row>
    <row r="2257">
      <c r="I2257">
        <f>IFERROR(SUMIF(A$6:A2257,"&lt;&gt;""",G$6:G2257)-SUMIF(A$6:A2257,"&lt;&gt;""",H$6:H2257),"")</f>
        <v/>
      </c>
    </row>
    <row r="2258">
      <c r="I2258">
        <f>IFERROR(SUMIF(A$6:A2258,"&lt;&gt;""",G$6:G2258)-SUMIF(A$6:A2258,"&lt;&gt;""",H$6:H2258),"")</f>
        <v/>
      </c>
    </row>
    <row r="2259">
      <c r="I2259">
        <f>IFERROR(SUMIF(A$6:A2259,"&lt;&gt;""",G$6:G2259)-SUMIF(A$6:A2259,"&lt;&gt;""",H$6:H2259),"")</f>
        <v/>
      </c>
    </row>
    <row r="2260">
      <c r="I2260">
        <f>IFERROR(SUMIF(A$6:A2260,"&lt;&gt;""",G$6:G2260)-SUMIF(A$6:A2260,"&lt;&gt;""",H$6:H2260),"")</f>
        <v/>
      </c>
    </row>
    <row r="2261">
      <c r="I2261">
        <f>IFERROR(SUMIF(A$6:A2261,"&lt;&gt;""",G$6:G2261)-SUMIF(A$6:A2261,"&lt;&gt;""",H$6:H2261),"")</f>
        <v/>
      </c>
    </row>
    <row r="2262">
      <c r="I2262">
        <f>IFERROR(SUMIF(A$6:A2262,"&lt;&gt;""",G$6:G2262)-SUMIF(A$6:A2262,"&lt;&gt;""",H$6:H2262),"")</f>
        <v/>
      </c>
    </row>
    <row r="2263">
      <c r="I2263">
        <f>IFERROR(SUMIF(A$6:A2263,"&lt;&gt;""",G$6:G2263)-SUMIF(A$6:A2263,"&lt;&gt;""",H$6:H2263),"")</f>
        <v/>
      </c>
    </row>
    <row r="2264">
      <c r="I2264">
        <f>IFERROR(SUMIF(A$6:A2264,"&lt;&gt;""",G$6:G2264)-SUMIF(A$6:A2264,"&lt;&gt;""",H$6:H2264),"")</f>
        <v/>
      </c>
    </row>
    <row r="2265">
      <c r="I2265">
        <f>IFERROR(SUMIF(A$6:A2265,"&lt;&gt;""",G$6:G2265)-SUMIF(A$6:A2265,"&lt;&gt;""",H$6:H2265),"")</f>
        <v/>
      </c>
    </row>
    <row r="2266">
      <c r="I2266">
        <f>IFERROR(SUMIF(A$6:A2266,"&lt;&gt;""",G$6:G2266)-SUMIF(A$6:A2266,"&lt;&gt;""",H$6:H2266),"")</f>
        <v/>
      </c>
    </row>
    <row r="2267">
      <c r="I2267">
        <f>IFERROR(SUMIF(A$6:A2267,"&lt;&gt;""",G$6:G2267)-SUMIF(A$6:A2267,"&lt;&gt;""",H$6:H2267),"")</f>
        <v/>
      </c>
    </row>
    <row r="2268">
      <c r="I2268">
        <f>IFERROR(SUMIF(A$6:A2268,"&lt;&gt;""",G$6:G2268)-SUMIF(A$6:A2268,"&lt;&gt;""",H$6:H2268),"")</f>
        <v/>
      </c>
    </row>
    <row r="2269">
      <c r="I2269">
        <f>IFERROR(SUMIF(A$6:A2269,"&lt;&gt;""",G$6:G2269)-SUMIF(A$6:A2269,"&lt;&gt;""",H$6:H2269),"")</f>
        <v/>
      </c>
    </row>
    <row r="2270">
      <c r="I2270">
        <f>IFERROR(SUMIF(A$6:A2270,"&lt;&gt;""",G$6:G2270)-SUMIF(A$6:A2270,"&lt;&gt;""",H$6:H2270),"")</f>
        <v/>
      </c>
    </row>
    <row r="2271">
      <c r="I2271">
        <f>IFERROR(SUMIF(A$6:A2271,"&lt;&gt;""",G$6:G2271)-SUMIF(A$6:A2271,"&lt;&gt;""",H$6:H2271),"")</f>
        <v/>
      </c>
    </row>
    <row r="2272">
      <c r="I2272">
        <f>IFERROR(SUMIF(A$6:A2272,"&lt;&gt;""",G$6:G2272)-SUMIF(A$6:A2272,"&lt;&gt;""",H$6:H2272),"")</f>
        <v/>
      </c>
    </row>
    <row r="2273">
      <c r="I2273">
        <f>IFERROR(SUMIF(A$6:A2273,"&lt;&gt;""",G$6:G2273)-SUMIF(A$6:A2273,"&lt;&gt;""",H$6:H2273),"")</f>
        <v/>
      </c>
    </row>
    <row r="2274">
      <c r="I2274">
        <f>IFERROR(SUMIF(A$6:A2274,"&lt;&gt;""",G$6:G2274)-SUMIF(A$6:A2274,"&lt;&gt;""",H$6:H2274),"")</f>
        <v/>
      </c>
    </row>
    <row r="2275">
      <c r="I2275">
        <f>IFERROR(SUMIF(A$6:A2275,"&lt;&gt;""",G$6:G2275)-SUMIF(A$6:A2275,"&lt;&gt;""",H$6:H2275),"")</f>
        <v/>
      </c>
    </row>
    <row r="2276">
      <c r="I2276">
        <f>IFERROR(SUMIF(A$6:A2276,"&lt;&gt;""",G$6:G2276)-SUMIF(A$6:A2276,"&lt;&gt;""",H$6:H2276),"")</f>
        <v/>
      </c>
    </row>
    <row r="2277">
      <c r="I2277">
        <f>IFERROR(SUMIF(A$6:A2277,"&lt;&gt;""",G$6:G2277)-SUMIF(A$6:A2277,"&lt;&gt;""",H$6:H2277),"")</f>
        <v/>
      </c>
    </row>
    <row r="2278">
      <c r="I2278">
        <f>IFERROR(SUMIF(A$6:A2278,"&lt;&gt;""",G$6:G2278)-SUMIF(A$6:A2278,"&lt;&gt;""",H$6:H2278),"")</f>
        <v/>
      </c>
    </row>
    <row r="2279">
      <c r="I2279">
        <f>IFERROR(SUMIF(A$6:A2279,"&lt;&gt;""",G$6:G2279)-SUMIF(A$6:A2279,"&lt;&gt;""",H$6:H2279),"")</f>
        <v/>
      </c>
    </row>
    <row r="2280">
      <c r="I2280">
        <f>IFERROR(SUMIF(A$6:A2280,"&lt;&gt;""",G$6:G2280)-SUMIF(A$6:A2280,"&lt;&gt;""",H$6:H2280),"")</f>
        <v/>
      </c>
    </row>
    <row r="2281">
      <c r="I2281">
        <f>IFERROR(SUMIF(A$6:A2281,"&lt;&gt;""",G$6:G2281)-SUMIF(A$6:A2281,"&lt;&gt;""",H$6:H2281),"")</f>
        <v/>
      </c>
    </row>
    <row r="2282">
      <c r="I2282">
        <f>IFERROR(SUMIF(A$6:A2282,"&lt;&gt;""",G$6:G2282)-SUMIF(A$6:A2282,"&lt;&gt;""",H$6:H2282),"")</f>
        <v/>
      </c>
    </row>
    <row r="2283">
      <c r="I2283">
        <f>IFERROR(SUMIF(A$6:A2283,"&lt;&gt;""",G$6:G2283)-SUMIF(A$6:A2283,"&lt;&gt;""",H$6:H2283),"")</f>
        <v/>
      </c>
    </row>
    <row r="2284">
      <c r="I2284">
        <f>IFERROR(SUMIF(A$6:A2284,"&lt;&gt;""",G$6:G2284)-SUMIF(A$6:A2284,"&lt;&gt;""",H$6:H2284),"")</f>
        <v/>
      </c>
    </row>
    <row r="2285">
      <c r="I2285">
        <f>IFERROR(SUMIF(A$6:A2285,"&lt;&gt;""",G$6:G2285)-SUMIF(A$6:A2285,"&lt;&gt;""",H$6:H2285),"")</f>
        <v/>
      </c>
    </row>
    <row r="2286">
      <c r="I2286">
        <f>IFERROR(SUMIF(A$6:A2286,"&lt;&gt;""",G$6:G2286)-SUMIF(A$6:A2286,"&lt;&gt;""",H$6:H2286),"")</f>
        <v/>
      </c>
    </row>
    <row r="2287">
      <c r="I2287">
        <f>IFERROR(SUMIF(A$6:A2287,"&lt;&gt;""",G$6:G2287)-SUMIF(A$6:A2287,"&lt;&gt;""",H$6:H2287),"")</f>
        <v/>
      </c>
    </row>
    <row r="2288">
      <c r="I2288">
        <f>IFERROR(SUMIF(A$6:A2288,"&lt;&gt;""",G$6:G2288)-SUMIF(A$6:A2288,"&lt;&gt;""",H$6:H2288),"")</f>
        <v/>
      </c>
    </row>
    <row r="2289">
      <c r="I2289">
        <f>IFERROR(SUMIF(A$6:A2289,"&lt;&gt;""",G$6:G2289)-SUMIF(A$6:A2289,"&lt;&gt;""",H$6:H2289),"")</f>
        <v/>
      </c>
    </row>
    <row r="2290">
      <c r="I2290">
        <f>IFERROR(SUMIF(A$6:A2290,"&lt;&gt;""",G$6:G2290)-SUMIF(A$6:A2290,"&lt;&gt;""",H$6:H2290),"")</f>
        <v/>
      </c>
    </row>
    <row r="2291">
      <c r="I2291">
        <f>IFERROR(SUMIF(A$6:A2291,"&lt;&gt;""",G$6:G2291)-SUMIF(A$6:A2291,"&lt;&gt;""",H$6:H2291),"")</f>
        <v/>
      </c>
    </row>
    <row r="2292">
      <c r="I2292">
        <f>IFERROR(SUMIF(A$6:A2292,"&lt;&gt;""",G$6:G2292)-SUMIF(A$6:A2292,"&lt;&gt;""",H$6:H2292),"")</f>
        <v/>
      </c>
    </row>
    <row r="2293">
      <c r="I2293">
        <f>IFERROR(SUMIF(A$6:A2293,"&lt;&gt;""",G$6:G2293)-SUMIF(A$6:A2293,"&lt;&gt;""",H$6:H2293),"")</f>
        <v/>
      </c>
    </row>
    <row r="2294">
      <c r="I2294">
        <f>IFERROR(SUMIF(A$6:A2294,"&lt;&gt;""",G$6:G2294)-SUMIF(A$6:A2294,"&lt;&gt;""",H$6:H2294),"")</f>
        <v/>
      </c>
    </row>
    <row r="2295">
      <c r="I2295">
        <f>IFERROR(SUMIF(A$6:A2295,"&lt;&gt;""",G$6:G2295)-SUMIF(A$6:A2295,"&lt;&gt;""",H$6:H2295),"")</f>
        <v/>
      </c>
    </row>
    <row r="2296">
      <c r="I2296">
        <f>IFERROR(SUMIF(A$6:A2296,"&lt;&gt;""",G$6:G2296)-SUMIF(A$6:A2296,"&lt;&gt;""",H$6:H2296),"")</f>
        <v/>
      </c>
    </row>
    <row r="2297">
      <c r="I2297">
        <f>IFERROR(SUMIF(A$6:A2297,"&lt;&gt;""",G$6:G2297)-SUMIF(A$6:A2297,"&lt;&gt;""",H$6:H2297),"")</f>
        <v/>
      </c>
    </row>
    <row r="2298">
      <c r="I2298">
        <f>IFERROR(SUMIF(A$6:A2298,"&lt;&gt;""",G$6:G2298)-SUMIF(A$6:A2298,"&lt;&gt;""",H$6:H2298),"")</f>
        <v/>
      </c>
    </row>
    <row r="2299">
      <c r="I2299">
        <f>IFERROR(SUMIF(A$6:A2299,"&lt;&gt;""",G$6:G2299)-SUMIF(A$6:A2299,"&lt;&gt;""",H$6:H2299),"")</f>
        <v/>
      </c>
    </row>
    <row r="2300">
      <c r="I2300">
        <f>IFERROR(SUMIF(A$6:A2300,"&lt;&gt;""",G$6:G2300)-SUMIF(A$6:A2300,"&lt;&gt;""",H$6:H2300),"")</f>
        <v/>
      </c>
    </row>
    <row r="2301">
      <c r="I2301">
        <f>IFERROR(SUMIF(A$6:A2301,"&lt;&gt;""",G$6:G2301)-SUMIF(A$6:A2301,"&lt;&gt;""",H$6:H2301),"")</f>
        <v/>
      </c>
    </row>
    <row r="2302">
      <c r="I2302">
        <f>IFERROR(SUMIF(A$6:A2302,"&lt;&gt;""",G$6:G2302)-SUMIF(A$6:A2302,"&lt;&gt;""",H$6:H2302),"")</f>
        <v/>
      </c>
    </row>
    <row r="2303">
      <c r="I2303">
        <f>IFERROR(SUMIF(A$6:A2303,"&lt;&gt;""",G$6:G2303)-SUMIF(A$6:A2303,"&lt;&gt;""",H$6:H2303),"")</f>
        <v/>
      </c>
    </row>
    <row r="2304">
      <c r="I2304">
        <f>IFERROR(SUMIF(A$6:A2304,"&lt;&gt;""",G$6:G2304)-SUMIF(A$6:A2304,"&lt;&gt;""",H$6:H2304),"")</f>
        <v/>
      </c>
    </row>
    <row r="2305">
      <c r="I2305">
        <f>IFERROR(SUMIF(A$6:A2305,"&lt;&gt;""",G$6:G2305)-SUMIF(A$6:A2305,"&lt;&gt;""",H$6:H2305),"")</f>
        <v/>
      </c>
    </row>
    <row r="2306">
      <c r="I2306">
        <f>IFERROR(SUMIF(A$6:A2306,"&lt;&gt;""",G$6:G2306)-SUMIF(A$6:A2306,"&lt;&gt;""",H$6:H2306),"")</f>
        <v/>
      </c>
    </row>
    <row r="2307">
      <c r="I2307">
        <f>IFERROR(SUMIF(A$6:A2307,"&lt;&gt;""",G$6:G2307)-SUMIF(A$6:A2307,"&lt;&gt;""",H$6:H2307),"")</f>
        <v/>
      </c>
    </row>
    <row r="2308">
      <c r="I2308">
        <f>IFERROR(SUMIF(A$6:A2308,"&lt;&gt;""",G$6:G2308)-SUMIF(A$6:A2308,"&lt;&gt;""",H$6:H2308),"")</f>
        <v/>
      </c>
    </row>
    <row r="2309">
      <c r="I2309">
        <f>IFERROR(SUMIF(A$6:A2309,"&lt;&gt;""",G$6:G2309)-SUMIF(A$6:A2309,"&lt;&gt;""",H$6:H2309),"")</f>
        <v/>
      </c>
    </row>
    <row r="2310">
      <c r="I2310">
        <f>IFERROR(SUMIF(A$6:A2310,"&lt;&gt;""",G$6:G2310)-SUMIF(A$6:A2310,"&lt;&gt;""",H$6:H2310),"")</f>
        <v/>
      </c>
    </row>
    <row r="2311">
      <c r="I2311">
        <f>IFERROR(SUMIF(A$6:A2311,"&lt;&gt;""",G$6:G2311)-SUMIF(A$6:A2311,"&lt;&gt;""",H$6:H2311),"")</f>
        <v/>
      </c>
    </row>
    <row r="2312">
      <c r="I2312">
        <f>IFERROR(SUMIF(A$6:A2312,"&lt;&gt;""",G$6:G2312)-SUMIF(A$6:A2312,"&lt;&gt;""",H$6:H2312),"")</f>
        <v/>
      </c>
    </row>
    <row r="2313">
      <c r="I2313">
        <f>IFERROR(SUMIF(A$6:A2313,"&lt;&gt;""",G$6:G2313)-SUMIF(A$6:A2313,"&lt;&gt;""",H$6:H2313),"")</f>
        <v/>
      </c>
    </row>
    <row r="2314">
      <c r="I2314">
        <f>IFERROR(SUMIF(A$6:A2314,"&lt;&gt;""",G$6:G2314)-SUMIF(A$6:A2314,"&lt;&gt;""",H$6:H2314),"")</f>
        <v/>
      </c>
    </row>
    <row r="2315">
      <c r="I2315">
        <f>IFERROR(SUMIF(A$6:A2315,"&lt;&gt;""",G$6:G2315)-SUMIF(A$6:A2315,"&lt;&gt;""",H$6:H2315),"")</f>
        <v/>
      </c>
    </row>
    <row r="2316">
      <c r="I2316">
        <f>IFERROR(SUMIF(A$6:A2316,"&lt;&gt;""",G$6:G2316)-SUMIF(A$6:A2316,"&lt;&gt;""",H$6:H2316),"")</f>
        <v/>
      </c>
    </row>
    <row r="2317">
      <c r="I2317">
        <f>IFERROR(SUMIF(A$6:A2317,"&lt;&gt;""",G$6:G2317)-SUMIF(A$6:A2317,"&lt;&gt;""",H$6:H2317),"")</f>
        <v/>
      </c>
    </row>
    <row r="2318">
      <c r="I2318">
        <f>IFERROR(SUMIF(A$6:A2318,"&lt;&gt;""",G$6:G2318)-SUMIF(A$6:A2318,"&lt;&gt;""",H$6:H2318),"")</f>
        <v/>
      </c>
    </row>
    <row r="2319">
      <c r="I2319">
        <f>IFERROR(SUMIF(A$6:A2319,"&lt;&gt;""",G$6:G2319)-SUMIF(A$6:A2319,"&lt;&gt;""",H$6:H2319),"")</f>
        <v/>
      </c>
    </row>
    <row r="2320">
      <c r="I2320">
        <f>IFERROR(SUMIF(A$6:A2320,"&lt;&gt;""",G$6:G2320)-SUMIF(A$6:A2320,"&lt;&gt;""",H$6:H2320),"")</f>
        <v/>
      </c>
    </row>
    <row r="2321">
      <c r="I2321">
        <f>IFERROR(SUMIF(A$6:A2321,"&lt;&gt;""",G$6:G2321)-SUMIF(A$6:A2321,"&lt;&gt;""",H$6:H2321),"")</f>
        <v/>
      </c>
    </row>
    <row r="2322">
      <c r="I2322">
        <f>IFERROR(SUMIF(A$6:A2322,"&lt;&gt;""",G$6:G2322)-SUMIF(A$6:A2322,"&lt;&gt;""",H$6:H2322),"")</f>
        <v/>
      </c>
    </row>
    <row r="2323">
      <c r="I2323">
        <f>IFERROR(SUMIF(A$6:A2323,"&lt;&gt;""",G$6:G2323)-SUMIF(A$6:A2323,"&lt;&gt;""",H$6:H2323),"")</f>
        <v/>
      </c>
    </row>
    <row r="2324">
      <c r="I2324">
        <f>IFERROR(SUMIF(A$6:A2324,"&lt;&gt;""",G$6:G2324)-SUMIF(A$6:A2324,"&lt;&gt;""",H$6:H2324),"")</f>
        <v/>
      </c>
    </row>
    <row r="2325">
      <c r="I2325">
        <f>IFERROR(SUMIF(A$6:A2325,"&lt;&gt;""",G$6:G2325)-SUMIF(A$6:A2325,"&lt;&gt;""",H$6:H2325),"")</f>
        <v/>
      </c>
    </row>
    <row r="2326">
      <c r="I2326">
        <f>IFERROR(SUMIF(A$6:A2326,"&lt;&gt;""",G$6:G2326)-SUMIF(A$6:A2326,"&lt;&gt;""",H$6:H2326),"")</f>
        <v/>
      </c>
    </row>
    <row r="2327">
      <c r="I2327">
        <f>IFERROR(SUMIF(A$6:A2327,"&lt;&gt;""",G$6:G2327)-SUMIF(A$6:A2327,"&lt;&gt;""",H$6:H2327),"")</f>
        <v/>
      </c>
    </row>
    <row r="2328">
      <c r="I2328">
        <f>IFERROR(SUMIF(A$6:A2328,"&lt;&gt;""",G$6:G2328)-SUMIF(A$6:A2328,"&lt;&gt;""",H$6:H2328),"")</f>
        <v/>
      </c>
    </row>
    <row r="2329">
      <c r="I2329">
        <f>IFERROR(SUMIF(A$6:A2329,"&lt;&gt;""",G$6:G2329)-SUMIF(A$6:A2329,"&lt;&gt;""",H$6:H2329),"")</f>
        <v/>
      </c>
    </row>
    <row r="2330">
      <c r="I2330">
        <f>IFERROR(SUMIF(A$6:A2330,"&lt;&gt;""",G$6:G2330)-SUMIF(A$6:A2330,"&lt;&gt;""",H$6:H2330),"")</f>
        <v/>
      </c>
    </row>
    <row r="2331">
      <c r="I2331">
        <f>IFERROR(SUMIF(A$6:A2331,"&lt;&gt;""",G$6:G2331)-SUMIF(A$6:A2331,"&lt;&gt;""",H$6:H2331),"")</f>
        <v/>
      </c>
    </row>
    <row r="2332">
      <c r="I2332">
        <f>IFERROR(SUMIF(A$6:A2332,"&lt;&gt;""",G$6:G2332)-SUMIF(A$6:A2332,"&lt;&gt;""",H$6:H2332),"")</f>
        <v/>
      </c>
    </row>
    <row r="2333">
      <c r="I2333">
        <f>IFERROR(SUMIF(A$6:A2333,"&lt;&gt;""",G$6:G2333)-SUMIF(A$6:A2333,"&lt;&gt;""",H$6:H2333),"")</f>
        <v/>
      </c>
    </row>
    <row r="2334">
      <c r="I2334">
        <f>IFERROR(SUMIF(A$6:A2334,"&lt;&gt;""",G$6:G2334)-SUMIF(A$6:A2334,"&lt;&gt;""",H$6:H2334),"")</f>
        <v/>
      </c>
    </row>
    <row r="2335">
      <c r="I2335">
        <f>IFERROR(SUMIF(A$6:A2335,"&lt;&gt;""",G$6:G2335)-SUMIF(A$6:A2335,"&lt;&gt;""",H$6:H2335),"")</f>
        <v/>
      </c>
    </row>
    <row r="2336">
      <c r="I2336">
        <f>IFERROR(SUMIF(A$6:A2336,"&lt;&gt;""",G$6:G2336)-SUMIF(A$6:A2336,"&lt;&gt;""",H$6:H2336),"")</f>
        <v/>
      </c>
    </row>
    <row r="2337">
      <c r="I2337">
        <f>IFERROR(SUMIF(A$6:A2337,"&lt;&gt;""",G$6:G2337)-SUMIF(A$6:A2337,"&lt;&gt;""",H$6:H2337),"")</f>
        <v/>
      </c>
    </row>
    <row r="2338">
      <c r="I2338">
        <f>IFERROR(SUMIF(A$6:A2338,"&lt;&gt;""",G$6:G2338)-SUMIF(A$6:A2338,"&lt;&gt;""",H$6:H2338),"")</f>
        <v/>
      </c>
    </row>
    <row r="2339">
      <c r="I2339">
        <f>IFERROR(SUMIF(A$6:A2339,"&lt;&gt;""",G$6:G2339)-SUMIF(A$6:A2339,"&lt;&gt;""",H$6:H2339),"")</f>
        <v/>
      </c>
    </row>
    <row r="2340">
      <c r="I2340">
        <f>IFERROR(SUMIF(A$6:A2340,"&lt;&gt;""",G$6:G2340)-SUMIF(A$6:A2340,"&lt;&gt;""",H$6:H2340),"")</f>
        <v/>
      </c>
    </row>
    <row r="2341">
      <c r="I2341">
        <f>IFERROR(SUMIF(A$6:A2341,"&lt;&gt;""",G$6:G2341)-SUMIF(A$6:A2341,"&lt;&gt;""",H$6:H2341),"")</f>
        <v/>
      </c>
    </row>
    <row r="2342">
      <c r="I2342">
        <f>IFERROR(SUMIF(A$6:A2342,"&lt;&gt;""",G$6:G2342)-SUMIF(A$6:A2342,"&lt;&gt;""",H$6:H2342),"")</f>
        <v/>
      </c>
    </row>
    <row r="2343">
      <c r="I2343">
        <f>IFERROR(SUMIF(A$6:A2343,"&lt;&gt;""",G$6:G2343)-SUMIF(A$6:A2343,"&lt;&gt;""",H$6:H2343),"")</f>
        <v/>
      </c>
    </row>
    <row r="2344">
      <c r="I2344">
        <f>IFERROR(SUMIF(A$6:A2344,"&lt;&gt;""",G$6:G2344)-SUMIF(A$6:A2344,"&lt;&gt;""",H$6:H2344),"")</f>
        <v/>
      </c>
    </row>
    <row r="2345">
      <c r="I2345">
        <f>IFERROR(SUMIF(A$6:A2345,"&lt;&gt;""",G$6:G2345)-SUMIF(A$6:A2345,"&lt;&gt;""",H$6:H2345),"")</f>
        <v/>
      </c>
    </row>
    <row r="2346">
      <c r="I2346">
        <f>IFERROR(SUMIF(A$6:A2346,"&lt;&gt;""",G$6:G2346)-SUMIF(A$6:A2346,"&lt;&gt;""",H$6:H2346),"")</f>
        <v/>
      </c>
    </row>
    <row r="2347">
      <c r="I2347">
        <f>IFERROR(SUMIF(A$6:A2347,"&lt;&gt;""",G$6:G2347)-SUMIF(A$6:A2347,"&lt;&gt;""",H$6:H2347),"")</f>
        <v/>
      </c>
    </row>
    <row r="2348">
      <c r="I2348">
        <f>IFERROR(SUMIF(A$6:A2348,"&lt;&gt;""",G$6:G2348)-SUMIF(A$6:A2348,"&lt;&gt;""",H$6:H2348),"")</f>
        <v/>
      </c>
    </row>
    <row r="2349">
      <c r="I2349">
        <f>IFERROR(SUMIF(A$6:A2349,"&lt;&gt;""",G$6:G2349)-SUMIF(A$6:A2349,"&lt;&gt;""",H$6:H2349),"")</f>
        <v/>
      </c>
    </row>
    <row r="2350">
      <c r="I2350">
        <f>IFERROR(SUMIF(A$6:A2350,"&lt;&gt;""",G$6:G2350)-SUMIF(A$6:A2350,"&lt;&gt;""",H$6:H2350),"")</f>
        <v/>
      </c>
    </row>
    <row r="2351">
      <c r="I2351">
        <f>IFERROR(SUMIF(A$6:A2351,"&lt;&gt;""",G$6:G2351)-SUMIF(A$6:A2351,"&lt;&gt;""",H$6:H2351),"")</f>
        <v/>
      </c>
    </row>
    <row r="2352">
      <c r="I2352">
        <f>IFERROR(SUMIF(A$6:A2352,"&lt;&gt;""",G$6:G2352)-SUMIF(A$6:A2352,"&lt;&gt;""",H$6:H2352),"")</f>
        <v/>
      </c>
    </row>
    <row r="2353">
      <c r="I2353">
        <f>IFERROR(SUMIF(A$6:A2353,"&lt;&gt;""",G$6:G2353)-SUMIF(A$6:A2353,"&lt;&gt;""",H$6:H2353),"")</f>
        <v/>
      </c>
    </row>
    <row r="2354">
      <c r="I2354">
        <f>IFERROR(SUMIF(A$6:A2354,"&lt;&gt;""",G$6:G2354)-SUMIF(A$6:A2354,"&lt;&gt;""",H$6:H2354),"")</f>
        <v/>
      </c>
    </row>
    <row r="2355">
      <c r="I2355">
        <f>IFERROR(SUMIF(A$6:A2355,"&lt;&gt;""",G$6:G2355)-SUMIF(A$6:A2355,"&lt;&gt;""",H$6:H2355),"")</f>
        <v/>
      </c>
    </row>
    <row r="2356">
      <c r="I2356">
        <f>IFERROR(SUMIF(A$6:A2356,"&lt;&gt;""",G$6:G2356)-SUMIF(A$6:A2356,"&lt;&gt;""",H$6:H2356),"")</f>
        <v/>
      </c>
    </row>
    <row r="2357">
      <c r="I2357">
        <f>IFERROR(SUMIF(A$6:A2357,"&lt;&gt;""",G$6:G2357)-SUMIF(A$6:A2357,"&lt;&gt;""",H$6:H2357),"")</f>
        <v/>
      </c>
    </row>
    <row r="2358">
      <c r="I2358">
        <f>IFERROR(SUMIF(A$6:A2358,"&lt;&gt;""",G$6:G2358)-SUMIF(A$6:A2358,"&lt;&gt;""",H$6:H2358),"")</f>
        <v/>
      </c>
    </row>
    <row r="2359">
      <c r="I2359">
        <f>IFERROR(SUMIF(A$6:A2359,"&lt;&gt;""",G$6:G2359)-SUMIF(A$6:A2359,"&lt;&gt;""",H$6:H2359),"")</f>
        <v/>
      </c>
    </row>
    <row r="2360">
      <c r="I2360">
        <f>IFERROR(SUMIF(A$6:A2360,"&lt;&gt;""",G$6:G2360)-SUMIF(A$6:A2360,"&lt;&gt;""",H$6:H2360),"")</f>
        <v/>
      </c>
    </row>
    <row r="2361">
      <c r="I2361">
        <f>IFERROR(SUMIF(A$6:A2361,"&lt;&gt;""",G$6:G2361)-SUMIF(A$6:A2361,"&lt;&gt;""",H$6:H2361),"")</f>
        <v/>
      </c>
    </row>
    <row r="2362">
      <c r="I2362">
        <f>IFERROR(SUMIF(A$6:A2362,"&lt;&gt;""",G$6:G2362)-SUMIF(A$6:A2362,"&lt;&gt;""",H$6:H2362),"")</f>
        <v/>
      </c>
    </row>
    <row r="2363">
      <c r="I2363">
        <f>IFERROR(SUMIF(A$6:A2363,"&lt;&gt;""",G$6:G2363)-SUMIF(A$6:A2363,"&lt;&gt;""",H$6:H2363),"")</f>
        <v/>
      </c>
    </row>
    <row r="2364">
      <c r="I2364">
        <f>IFERROR(SUMIF(A$6:A2364,"&lt;&gt;""",G$6:G2364)-SUMIF(A$6:A2364,"&lt;&gt;""",H$6:H2364),"")</f>
        <v/>
      </c>
    </row>
    <row r="2365">
      <c r="I2365">
        <f>IFERROR(SUMIF(A$6:A2365,"&lt;&gt;""",G$6:G2365)-SUMIF(A$6:A2365,"&lt;&gt;""",H$6:H2365),"")</f>
        <v/>
      </c>
    </row>
    <row r="2366">
      <c r="I2366">
        <f>IFERROR(SUMIF(A$6:A2366,"&lt;&gt;""",G$6:G2366)-SUMIF(A$6:A2366,"&lt;&gt;""",H$6:H2366),"")</f>
        <v/>
      </c>
    </row>
    <row r="2367">
      <c r="I2367">
        <f>IFERROR(SUMIF(A$6:A2367,"&lt;&gt;""",G$6:G2367)-SUMIF(A$6:A2367,"&lt;&gt;""",H$6:H2367),"")</f>
        <v/>
      </c>
    </row>
    <row r="2368">
      <c r="I2368">
        <f>IFERROR(SUMIF(A$6:A2368,"&lt;&gt;""",G$6:G2368)-SUMIF(A$6:A2368,"&lt;&gt;""",H$6:H2368),"")</f>
        <v/>
      </c>
    </row>
    <row r="2369">
      <c r="I2369">
        <f>IFERROR(SUMIF(A$6:A2369,"&lt;&gt;""",G$6:G2369)-SUMIF(A$6:A2369,"&lt;&gt;""",H$6:H2369),"")</f>
        <v/>
      </c>
    </row>
    <row r="2370">
      <c r="I2370">
        <f>IFERROR(SUMIF(A$6:A2370,"&lt;&gt;""",G$6:G2370)-SUMIF(A$6:A2370,"&lt;&gt;""",H$6:H2370),"")</f>
        <v/>
      </c>
    </row>
    <row r="2371">
      <c r="I2371">
        <f>IFERROR(SUMIF(A$6:A2371,"&lt;&gt;""",G$6:G2371)-SUMIF(A$6:A2371,"&lt;&gt;""",H$6:H2371),"")</f>
        <v/>
      </c>
    </row>
    <row r="2372">
      <c r="I2372">
        <f>IFERROR(SUMIF(A$6:A2372,"&lt;&gt;""",G$6:G2372)-SUMIF(A$6:A2372,"&lt;&gt;""",H$6:H2372),"")</f>
        <v/>
      </c>
    </row>
    <row r="2373">
      <c r="I2373">
        <f>IFERROR(SUMIF(A$6:A2373,"&lt;&gt;""",G$6:G2373)-SUMIF(A$6:A2373,"&lt;&gt;""",H$6:H2373),"")</f>
        <v/>
      </c>
    </row>
    <row r="2374">
      <c r="I2374">
        <f>IFERROR(SUMIF(A$6:A2374,"&lt;&gt;""",G$6:G2374)-SUMIF(A$6:A2374,"&lt;&gt;""",H$6:H2374),"")</f>
        <v/>
      </c>
    </row>
    <row r="2375">
      <c r="I2375">
        <f>IFERROR(SUMIF(A$6:A2375,"&lt;&gt;""",G$6:G2375)-SUMIF(A$6:A2375,"&lt;&gt;""",H$6:H2375),"")</f>
        <v/>
      </c>
    </row>
    <row r="2376">
      <c r="I2376">
        <f>IFERROR(SUMIF(A$6:A2376,"&lt;&gt;""",G$6:G2376)-SUMIF(A$6:A2376,"&lt;&gt;""",H$6:H2376),"")</f>
        <v/>
      </c>
    </row>
    <row r="2377">
      <c r="I2377">
        <f>IFERROR(SUMIF(A$6:A2377,"&lt;&gt;""",G$6:G2377)-SUMIF(A$6:A2377,"&lt;&gt;""",H$6:H2377),"")</f>
        <v/>
      </c>
    </row>
    <row r="2378">
      <c r="I2378">
        <f>IFERROR(SUMIF(A$6:A2378,"&lt;&gt;""",G$6:G2378)-SUMIF(A$6:A2378,"&lt;&gt;""",H$6:H2378),"")</f>
        <v/>
      </c>
    </row>
    <row r="2379">
      <c r="I2379">
        <f>IFERROR(SUMIF(A$6:A2379,"&lt;&gt;""",G$6:G2379)-SUMIF(A$6:A2379,"&lt;&gt;""",H$6:H2379),"")</f>
        <v/>
      </c>
    </row>
    <row r="2380">
      <c r="I2380">
        <f>IFERROR(SUMIF(A$6:A2380,"&lt;&gt;""",G$6:G2380)-SUMIF(A$6:A2380,"&lt;&gt;""",H$6:H2380),"")</f>
        <v/>
      </c>
    </row>
    <row r="2381">
      <c r="I2381">
        <f>IFERROR(SUMIF(A$6:A2381,"&lt;&gt;""",G$6:G2381)-SUMIF(A$6:A2381,"&lt;&gt;""",H$6:H2381),"")</f>
        <v/>
      </c>
    </row>
    <row r="2382">
      <c r="I2382">
        <f>IFERROR(SUMIF(A$6:A2382,"&lt;&gt;""",G$6:G2382)-SUMIF(A$6:A2382,"&lt;&gt;""",H$6:H2382),"")</f>
        <v/>
      </c>
    </row>
    <row r="2383">
      <c r="I2383">
        <f>IFERROR(SUMIF(A$6:A2383,"&lt;&gt;""",G$6:G2383)-SUMIF(A$6:A2383,"&lt;&gt;""",H$6:H2383),"")</f>
        <v/>
      </c>
    </row>
    <row r="2384">
      <c r="I2384">
        <f>IFERROR(SUMIF(A$6:A2384,"&lt;&gt;""",G$6:G2384)-SUMIF(A$6:A2384,"&lt;&gt;""",H$6:H2384),"")</f>
        <v/>
      </c>
    </row>
    <row r="2385">
      <c r="I2385">
        <f>IFERROR(SUMIF(A$6:A2385,"&lt;&gt;""",G$6:G2385)-SUMIF(A$6:A2385,"&lt;&gt;""",H$6:H2385),"")</f>
        <v/>
      </c>
    </row>
    <row r="2386">
      <c r="I2386">
        <f>IFERROR(SUMIF(A$6:A2386,"&lt;&gt;""",G$6:G2386)-SUMIF(A$6:A2386,"&lt;&gt;""",H$6:H2386),"")</f>
        <v/>
      </c>
    </row>
    <row r="2387">
      <c r="I2387">
        <f>IFERROR(SUMIF(A$6:A2387,"&lt;&gt;""",G$6:G2387)-SUMIF(A$6:A2387,"&lt;&gt;""",H$6:H2387),"")</f>
        <v/>
      </c>
    </row>
    <row r="2388">
      <c r="I2388">
        <f>IFERROR(SUMIF(A$6:A2388,"&lt;&gt;""",G$6:G2388)-SUMIF(A$6:A2388,"&lt;&gt;""",H$6:H2388),"")</f>
        <v/>
      </c>
    </row>
    <row r="2389">
      <c r="I2389">
        <f>IFERROR(SUMIF(A$6:A2389,"&lt;&gt;""",G$6:G2389)-SUMIF(A$6:A2389,"&lt;&gt;""",H$6:H2389),"")</f>
        <v/>
      </c>
    </row>
    <row r="2390">
      <c r="I2390">
        <f>IFERROR(SUMIF(A$6:A2390,"&lt;&gt;""",G$6:G2390)-SUMIF(A$6:A2390,"&lt;&gt;""",H$6:H2390),"")</f>
        <v/>
      </c>
    </row>
    <row r="2391">
      <c r="I2391">
        <f>IFERROR(SUMIF(A$6:A2391,"&lt;&gt;""",G$6:G2391)-SUMIF(A$6:A2391,"&lt;&gt;""",H$6:H2391),"")</f>
        <v/>
      </c>
    </row>
    <row r="2392">
      <c r="I2392">
        <f>IFERROR(SUMIF(A$6:A2392,"&lt;&gt;""",G$6:G2392)-SUMIF(A$6:A2392,"&lt;&gt;""",H$6:H2392),"")</f>
        <v/>
      </c>
    </row>
    <row r="2393">
      <c r="I2393">
        <f>IFERROR(SUMIF(A$6:A2393,"&lt;&gt;""",G$6:G2393)-SUMIF(A$6:A2393,"&lt;&gt;""",H$6:H2393),"")</f>
        <v/>
      </c>
    </row>
    <row r="2394">
      <c r="I2394">
        <f>IFERROR(SUMIF(A$6:A2394,"&lt;&gt;""",G$6:G2394)-SUMIF(A$6:A2394,"&lt;&gt;""",H$6:H2394),"")</f>
        <v/>
      </c>
    </row>
    <row r="2395">
      <c r="I2395">
        <f>IFERROR(SUMIF(A$6:A2395,"&lt;&gt;""",G$6:G2395)-SUMIF(A$6:A2395,"&lt;&gt;""",H$6:H2395),"")</f>
        <v/>
      </c>
    </row>
    <row r="2396">
      <c r="I2396">
        <f>IFERROR(SUMIF(A$6:A2396,"&lt;&gt;""",G$6:G2396)-SUMIF(A$6:A2396,"&lt;&gt;""",H$6:H2396),"")</f>
        <v/>
      </c>
    </row>
    <row r="2397">
      <c r="I2397">
        <f>IFERROR(SUMIF(A$6:A2397,"&lt;&gt;""",G$6:G2397)-SUMIF(A$6:A2397,"&lt;&gt;""",H$6:H2397),"")</f>
        <v/>
      </c>
    </row>
    <row r="2398">
      <c r="I2398">
        <f>IFERROR(SUMIF(A$6:A2398,"&lt;&gt;""",G$6:G2398)-SUMIF(A$6:A2398,"&lt;&gt;""",H$6:H2398),"")</f>
        <v/>
      </c>
    </row>
    <row r="2399">
      <c r="I2399">
        <f>IFERROR(SUMIF(A$6:A2399,"&lt;&gt;""",G$6:G2399)-SUMIF(A$6:A2399,"&lt;&gt;""",H$6:H2399),"")</f>
        <v/>
      </c>
    </row>
    <row r="2400">
      <c r="I2400">
        <f>IFERROR(SUMIF(A$6:A2400,"&lt;&gt;""",G$6:G2400)-SUMIF(A$6:A2400,"&lt;&gt;""",H$6:H2400),"")</f>
        <v/>
      </c>
    </row>
    <row r="2401">
      <c r="I2401">
        <f>IFERROR(SUMIF(A$6:A2401,"&lt;&gt;""",G$6:G2401)-SUMIF(A$6:A2401,"&lt;&gt;""",H$6:H2401),"")</f>
        <v/>
      </c>
    </row>
    <row r="2402">
      <c r="I2402">
        <f>IFERROR(SUMIF(A$6:A2402,"&lt;&gt;""",G$6:G2402)-SUMIF(A$6:A2402,"&lt;&gt;""",H$6:H2402),"")</f>
        <v/>
      </c>
    </row>
    <row r="2403">
      <c r="I2403">
        <f>IFERROR(SUMIF(A$6:A2403,"&lt;&gt;""",G$6:G2403)-SUMIF(A$6:A2403,"&lt;&gt;""",H$6:H2403),"")</f>
        <v/>
      </c>
    </row>
    <row r="2404">
      <c r="I2404">
        <f>IFERROR(SUMIF(A$6:A2404,"&lt;&gt;""",G$6:G2404)-SUMIF(A$6:A2404,"&lt;&gt;""",H$6:H2404),"")</f>
        <v/>
      </c>
    </row>
    <row r="2405">
      <c r="I2405">
        <f>IFERROR(SUMIF(A$6:A2405,"&lt;&gt;""",G$6:G2405)-SUMIF(A$6:A2405,"&lt;&gt;""",H$6:H2405),"")</f>
        <v/>
      </c>
    </row>
    <row r="2406">
      <c r="I2406">
        <f>IFERROR(SUMIF(A$6:A2406,"&lt;&gt;""",G$6:G2406)-SUMIF(A$6:A2406,"&lt;&gt;""",H$6:H2406),"")</f>
        <v/>
      </c>
    </row>
    <row r="2407">
      <c r="I2407">
        <f>IFERROR(SUMIF(A$6:A2407,"&lt;&gt;""",G$6:G2407)-SUMIF(A$6:A2407,"&lt;&gt;""",H$6:H2407),"")</f>
        <v/>
      </c>
    </row>
    <row r="2408">
      <c r="I2408">
        <f>IFERROR(SUMIF(A$6:A2408,"&lt;&gt;""",G$6:G2408)-SUMIF(A$6:A2408,"&lt;&gt;""",H$6:H2408),"")</f>
        <v/>
      </c>
    </row>
    <row r="2409">
      <c r="I2409">
        <f>IFERROR(SUMIF(A$6:A2409,"&lt;&gt;""",G$6:G2409)-SUMIF(A$6:A2409,"&lt;&gt;""",H$6:H2409),"")</f>
        <v/>
      </c>
    </row>
    <row r="2410">
      <c r="I2410">
        <f>IFERROR(SUMIF(A$6:A2410,"&lt;&gt;""",G$6:G2410)-SUMIF(A$6:A2410,"&lt;&gt;""",H$6:H2410),"")</f>
        <v/>
      </c>
    </row>
    <row r="2411">
      <c r="I2411">
        <f>IFERROR(SUMIF(A$6:A2411,"&lt;&gt;""",G$6:G2411)-SUMIF(A$6:A2411,"&lt;&gt;""",H$6:H2411),"")</f>
        <v/>
      </c>
    </row>
    <row r="2412">
      <c r="I2412">
        <f>IFERROR(SUMIF(A$6:A2412,"&lt;&gt;""",G$6:G2412)-SUMIF(A$6:A2412,"&lt;&gt;""",H$6:H2412),"")</f>
        <v/>
      </c>
    </row>
    <row r="2413">
      <c r="I2413">
        <f>IFERROR(SUMIF(A$6:A2413,"&lt;&gt;""",G$6:G2413)-SUMIF(A$6:A2413,"&lt;&gt;""",H$6:H2413),"")</f>
        <v/>
      </c>
    </row>
    <row r="2414">
      <c r="I2414">
        <f>IFERROR(SUMIF(A$6:A2414,"&lt;&gt;""",G$6:G2414)-SUMIF(A$6:A2414,"&lt;&gt;""",H$6:H2414),"")</f>
        <v/>
      </c>
    </row>
    <row r="2415">
      <c r="I2415">
        <f>IFERROR(SUMIF(A$6:A2415,"&lt;&gt;""",G$6:G2415)-SUMIF(A$6:A2415,"&lt;&gt;""",H$6:H2415),"")</f>
        <v/>
      </c>
    </row>
    <row r="2416">
      <c r="I2416">
        <f>IFERROR(SUMIF(A$6:A2416,"&lt;&gt;""",G$6:G2416)-SUMIF(A$6:A2416,"&lt;&gt;""",H$6:H2416),"")</f>
        <v/>
      </c>
    </row>
    <row r="2417">
      <c r="I2417">
        <f>IFERROR(SUMIF(A$6:A2417,"&lt;&gt;""",G$6:G2417)-SUMIF(A$6:A2417,"&lt;&gt;""",H$6:H2417),"")</f>
        <v/>
      </c>
    </row>
    <row r="2418">
      <c r="I2418">
        <f>IFERROR(SUMIF(A$6:A2418,"&lt;&gt;""",G$6:G2418)-SUMIF(A$6:A2418,"&lt;&gt;""",H$6:H2418),"")</f>
        <v/>
      </c>
    </row>
    <row r="2419">
      <c r="I2419">
        <f>IFERROR(SUMIF(A$6:A2419,"&lt;&gt;""",G$6:G2419)-SUMIF(A$6:A2419,"&lt;&gt;""",H$6:H2419),"")</f>
        <v/>
      </c>
    </row>
    <row r="2420">
      <c r="I2420">
        <f>IFERROR(SUMIF(A$6:A2420,"&lt;&gt;""",G$6:G2420)-SUMIF(A$6:A2420,"&lt;&gt;""",H$6:H2420),"")</f>
        <v/>
      </c>
    </row>
    <row r="2421">
      <c r="I2421">
        <f>IFERROR(SUMIF(A$6:A2421,"&lt;&gt;""",G$6:G2421)-SUMIF(A$6:A2421,"&lt;&gt;""",H$6:H2421),"")</f>
        <v/>
      </c>
    </row>
    <row r="2422">
      <c r="I2422">
        <f>IFERROR(SUMIF(A$6:A2422,"&lt;&gt;""",G$6:G2422)-SUMIF(A$6:A2422,"&lt;&gt;""",H$6:H2422),"")</f>
        <v/>
      </c>
    </row>
    <row r="2423">
      <c r="I2423">
        <f>IFERROR(SUMIF(A$6:A2423,"&lt;&gt;""",G$6:G2423)-SUMIF(A$6:A2423,"&lt;&gt;""",H$6:H2423),"")</f>
        <v/>
      </c>
    </row>
    <row r="2424">
      <c r="I2424">
        <f>IFERROR(SUMIF(A$6:A2424,"&lt;&gt;""",G$6:G2424)-SUMIF(A$6:A2424,"&lt;&gt;""",H$6:H2424),"")</f>
        <v/>
      </c>
    </row>
    <row r="2425">
      <c r="I2425">
        <f>IFERROR(SUMIF(A$6:A2425,"&lt;&gt;""",G$6:G2425)-SUMIF(A$6:A2425,"&lt;&gt;""",H$6:H2425),"")</f>
        <v/>
      </c>
    </row>
    <row r="2426">
      <c r="I2426">
        <f>IFERROR(SUMIF(A$6:A2426,"&lt;&gt;""",G$6:G2426)-SUMIF(A$6:A2426,"&lt;&gt;""",H$6:H2426),"")</f>
        <v/>
      </c>
    </row>
    <row r="2427">
      <c r="I2427">
        <f>IFERROR(SUMIF(A$6:A2427,"&lt;&gt;""",G$6:G2427)-SUMIF(A$6:A2427,"&lt;&gt;""",H$6:H2427),"")</f>
        <v/>
      </c>
    </row>
    <row r="2428">
      <c r="I2428">
        <f>IFERROR(SUMIF(A$6:A2428,"&lt;&gt;""",G$6:G2428)-SUMIF(A$6:A2428,"&lt;&gt;""",H$6:H2428),"")</f>
        <v/>
      </c>
    </row>
    <row r="2429">
      <c r="I2429">
        <f>IFERROR(SUMIF(A$6:A2429,"&lt;&gt;""",G$6:G2429)-SUMIF(A$6:A2429,"&lt;&gt;""",H$6:H2429),"")</f>
        <v/>
      </c>
    </row>
    <row r="2430">
      <c r="I2430">
        <f>IFERROR(SUMIF(A$6:A2430,"&lt;&gt;""",G$6:G2430)-SUMIF(A$6:A2430,"&lt;&gt;""",H$6:H2430),"")</f>
        <v/>
      </c>
    </row>
    <row r="2431">
      <c r="I2431">
        <f>IFERROR(SUMIF(A$6:A2431,"&lt;&gt;""",G$6:G2431)-SUMIF(A$6:A2431,"&lt;&gt;""",H$6:H2431),"")</f>
        <v/>
      </c>
    </row>
    <row r="2432">
      <c r="I2432">
        <f>IFERROR(SUMIF(A$6:A2432,"&lt;&gt;""",G$6:G2432)-SUMIF(A$6:A2432,"&lt;&gt;""",H$6:H2432),"")</f>
        <v/>
      </c>
    </row>
    <row r="2433">
      <c r="I2433">
        <f>IFERROR(SUMIF(A$6:A2433,"&lt;&gt;""",G$6:G2433)-SUMIF(A$6:A2433,"&lt;&gt;""",H$6:H2433),"")</f>
        <v/>
      </c>
    </row>
    <row r="2434">
      <c r="I2434">
        <f>IFERROR(SUMIF(A$6:A2434,"&lt;&gt;""",G$6:G2434)-SUMIF(A$6:A2434,"&lt;&gt;""",H$6:H2434),"")</f>
        <v/>
      </c>
    </row>
    <row r="2435">
      <c r="I2435">
        <f>IFERROR(SUMIF(A$6:A2435,"&lt;&gt;""",G$6:G2435)-SUMIF(A$6:A2435,"&lt;&gt;""",H$6:H2435),"")</f>
        <v/>
      </c>
    </row>
    <row r="2436">
      <c r="I2436">
        <f>IFERROR(SUMIF(A$6:A2436,"&lt;&gt;""",G$6:G2436)-SUMIF(A$6:A2436,"&lt;&gt;""",H$6:H2436),"")</f>
        <v/>
      </c>
    </row>
    <row r="2437">
      <c r="I2437">
        <f>IFERROR(SUMIF(A$6:A2437,"&lt;&gt;""",G$6:G2437)-SUMIF(A$6:A2437,"&lt;&gt;""",H$6:H2437),"")</f>
        <v/>
      </c>
    </row>
    <row r="2438">
      <c r="I2438">
        <f>IFERROR(SUMIF(A$6:A2438,"&lt;&gt;""",G$6:G2438)-SUMIF(A$6:A2438,"&lt;&gt;""",H$6:H2438),"")</f>
        <v/>
      </c>
    </row>
    <row r="2439">
      <c r="I2439">
        <f>IFERROR(SUMIF(A$6:A2439,"&lt;&gt;""",G$6:G2439)-SUMIF(A$6:A2439,"&lt;&gt;""",H$6:H2439),"")</f>
        <v/>
      </c>
    </row>
    <row r="2440">
      <c r="I2440">
        <f>IFERROR(SUMIF(A$6:A2440,"&lt;&gt;""",G$6:G2440)-SUMIF(A$6:A2440,"&lt;&gt;""",H$6:H2440),"")</f>
        <v/>
      </c>
    </row>
    <row r="2441">
      <c r="I2441">
        <f>IFERROR(SUMIF(A$6:A2441,"&lt;&gt;""",G$6:G2441)-SUMIF(A$6:A2441,"&lt;&gt;""",H$6:H2441),"")</f>
        <v/>
      </c>
    </row>
    <row r="2442">
      <c r="I2442">
        <f>IFERROR(SUMIF(A$6:A2442,"&lt;&gt;""",G$6:G2442)-SUMIF(A$6:A2442,"&lt;&gt;""",H$6:H2442),"")</f>
        <v/>
      </c>
    </row>
    <row r="2443">
      <c r="I2443">
        <f>IFERROR(SUMIF(A$6:A2443,"&lt;&gt;""",G$6:G2443)-SUMIF(A$6:A2443,"&lt;&gt;""",H$6:H2443),"")</f>
        <v/>
      </c>
    </row>
    <row r="2444">
      <c r="I2444">
        <f>IFERROR(SUMIF(A$6:A2444,"&lt;&gt;""",G$6:G2444)-SUMIF(A$6:A2444,"&lt;&gt;""",H$6:H2444),"")</f>
        <v/>
      </c>
    </row>
    <row r="2445">
      <c r="I2445">
        <f>IFERROR(SUMIF(A$6:A2445,"&lt;&gt;""",G$6:G2445)-SUMIF(A$6:A2445,"&lt;&gt;""",H$6:H2445),"")</f>
        <v/>
      </c>
    </row>
    <row r="2446">
      <c r="I2446">
        <f>IFERROR(SUMIF(A$6:A2446,"&lt;&gt;""",G$6:G2446)-SUMIF(A$6:A2446,"&lt;&gt;""",H$6:H2446),"")</f>
        <v/>
      </c>
    </row>
    <row r="2447">
      <c r="I2447">
        <f>IFERROR(SUMIF(A$6:A2447,"&lt;&gt;""",G$6:G2447)-SUMIF(A$6:A2447,"&lt;&gt;""",H$6:H2447),"")</f>
        <v/>
      </c>
    </row>
    <row r="2448">
      <c r="I2448">
        <f>IFERROR(SUMIF(A$6:A2448,"&lt;&gt;""",G$6:G2448)-SUMIF(A$6:A2448,"&lt;&gt;""",H$6:H2448),"")</f>
        <v/>
      </c>
    </row>
    <row r="2449">
      <c r="I2449">
        <f>IFERROR(SUMIF(A$6:A2449,"&lt;&gt;""",G$6:G2449)-SUMIF(A$6:A2449,"&lt;&gt;""",H$6:H2449),"")</f>
        <v/>
      </c>
    </row>
    <row r="2450">
      <c r="I2450">
        <f>IFERROR(SUMIF(A$6:A2450,"&lt;&gt;""",G$6:G2450)-SUMIF(A$6:A2450,"&lt;&gt;""",H$6:H2450),"")</f>
        <v/>
      </c>
    </row>
    <row r="2451">
      <c r="I2451">
        <f>IFERROR(SUMIF(A$6:A2451,"&lt;&gt;""",G$6:G2451)-SUMIF(A$6:A2451,"&lt;&gt;""",H$6:H2451),"")</f>
        <v/>
      </c>
    </row>
    <row r="2452">
      <c r="I2452">
        <f>IFERROR(SUMIF(A$6:A2452,"&lt;&gt;""",G$6:G2452)-SUMIF(A$6:A2452,"&lt;&gt;""",H$6:H2452),"")</f>
        <v/>
      </c>
    </row>
    <row r="2453">
      <c r="I2453">
        <f>IFERROR(SUMIF(A$6:A2453,"&lt;&gt;""",G$6:G2453)-SUMIF(A$6:A2453,"&lt;&gt;""",H$6:H2453),"")</f>
        <v/>
      </c>
    </row>
    <row r="2454">
      <c r="I2454">
        <f>IFERROR(SUMIF(A$6:A2454,"&lt;&gt;""",G$6:G2454)-SUMIF(A$6:A2454,"&lt;&gt;""",H$6:H2454),"")</f>
        <v/>
      </c>
    </row>
    <row r="2455">
      <c r="I2455">
        <f>IFERROR(SUMIF(A$6:A2455,"&lt;&gt;""",G$6:G2455)-SUMIF(A$6:A2455,"&lt;&gt;""",H$6:H2455),"")</f>
        <v/>
      </c>
    </row>
    <row r="2456">
      <c r="I2456">
        <f>IFERROR(SUMIF(A$6:A2456,"&lt;&gt;""",G$6:G2456)-SUMIF(A$6:A2456,"&lt;&gt;""",H$6:H2456),"")</f>
        <v/>
      </c>
    </row>
    <row r="2457">
      <c r="I2457">
        <f>IFERROR(SUMIF(A$6:A2457,"&lt;&gt;""",G$6:G2457)-SUMIF(A$6:A2457,"&lt;&gt;""",H$6:H2457),"")</f>
        <v/>
      </c>
    </row>
    <row r="2458">
      <c r="I2458">
        <f>IFERROR(SUMIF(A$6:A2458,"&lt;&gt;""",G$6:G2458)-SUMIF(A$6:A2458,"&lt;&gt;""",H$6:H2458),"")</f>
        <v/>
      </c>
    </row>
    <row r="2459">
      <c r="I2459">
        <f>IFERROR(SUMIF(A$6:A2459,"&lt;&gt;""",G$6:G2459)-SUMIF(A$6:A2459,"&lt;&gt;""",H$6:H2459),"")</f>
        <v/>
      </c>
    </row>
    <row r="2460">
      <c r="I2460">
        <f>IFERROR(SUMIF(A$6:A2460,"&lt;&gt;""",G$6:G2460)-SUMIF(A$6:A2460,"&lt;&gt;""",H$6:H2460),"")</f>
        <v/>
      </c>
    </row>
    <row r="2461">
      <c r="I2461">
        <f>IFERROR(SUMIF(A$6:A2461,"&lt;&gt;""",G$6:G2461)-SUMIF(A$6:A2461,"&lt;&gt;""",H$6:H2461),"")</f>
        <v/>
      </c>
    </row>
    <row r="2462">
      <c r="I2462">
        <f>IFERROR(SUMIF(A$6:A2462,"&lt;&gt;""",G$6:G2462)-SUMIF(A$6:A2462,"&lt;&gt;""",H$6:H2462),"")</f>
        <v/>
      </c>
    </row>
    <row r="2463">
      <c r="I2463">
        <f>IFERROR(SUMIF(A$6:A2463,"&lt;&gt;""",G$6:G2463)-SUMIF(A$6:A2463,"&lt;&gt;""",H$6:H2463),"")</f>
        <v/>
      </c>
    </row>
    <row r="2464">
      <c r="I2464">
        <f>IFERROR(SUMIF(A$6:A2464,"&lt;&gt;""",G$6:G2464)-SUMIF(A$6:A2464,"&lt;&gt;""",H$6:H2464),"")</f>
        <v/>
      </c>
    </row>
    <row r="2465">
      <c r="I2465">
        <f>IFERROR(SUMIF(A$6:A2465,"&lt;&gt;""",G$6:G2465)-SUMIF(A$6:A2465,"&lt;&gt;""",H$6:H2465),"")</f>
        <v/>
      </c>
    </row>
    <row r="2466">
      <c r="I2466">
        <f>IFERROR(SUMIF(A$6:A2466,"&lt;&gt;""",G$6:G2466)-SUMIF(A$6:A2466,"&lt;&gt;""",H$6:H2466),"")</f>
        <v/>
      </c>
    </row>
    <row r="2467">
      <c r="I2467">
        <f>IFERROR(SUMIF(A$6:A2467,"&lt;&gt;""",G$6:G2467)-SUMIF(A$6:A2467,"&lt;&gt;""",H$6:H2467),"")</f>
        <v/>
      </c>
    </row>
    <row r="2468">
      <c r="I2468">
        <f>IFERROR(SUMIF(A$6:A2468,"&lt;&gt;""",G$6:G2468)-SUMIF(A$6:A2468,"&lt;&gt;""",H$6:H2468),"")</f>
        <v/>
      </c>
    </row>
    <row r="2469">
      <c r="I2469">
        <f>IFERROR(SUMIF(A$6:A2469,"&lt;&gt;""",G$6:G2469)-SUMIF(A$6:A2469,"&lt;&gt;""",H$6:H2469),"")</f>
        <v/>
      </c>
    </row>
    <row r="2470">
      <c r="I2470">
        <f>IFERROR(SUMIF(A$6:A2470,"&lt;&gt;""",G$6:G2470)-SUMIF(A$6:A2470,"&lt;&gt;""",H$6:H2470),"")</f>
        <v/>
      </c>
    </row>
    <row r="2471">
      <c r="I2471">
        <f>IFERROR(SUMIF(A$6:A2471,"&lt;&gt;""",G$6:G2471)-SUMIF(A$6:A2471,"&lt;&gt;""",H$6:H2471),"")</f>
        <v/>
      </c>
    </row>
    <row r="2472">
      <c r="I2472">
        <f>IFERROR(SUMIF(A$6:A2472,"&lt;&gt;""",G$6:G2472)-SUMIF(A$6:A2472,"&lt;&gt;""",H$6:H2472),"")</f>
        <v/>
      </c>
    </row>
    <row r="2473">
      <c r="I2473">
        <f>IFERROR(SUMIF(A$6:A2473,"&lt;&gt;""",G$6:G2473)-SUMIF(A$6:A2473,"&lt;&gt;""",H$6:H2473),"")</f>
        <v/>
      </c>
    </row>
    <row r="2474">
      <c r="I2474">
        <f>IFERROR(SUMIF(A$6:A2474,"&lt;&gt;""",G$6:G2474)-SUMIF(A$6:A2474,"&lt;&gt;""",H$6:H2474),"")</f>
        <v/>
      </c>
    </row>
    <row r="2475">
      <c r="I2475">
        <f>IFERROR(SUMIF(A$6:A2475,"&lt;&gt;""",G$6:G2475)-SUMIF(A$6:A2475,"&lt;&gt;""",H$6:H2475),"")</f>
        <v/>
      </c>
    </row>
    <row r="2476">
      <c r="I2476">
        <f>IFERROR(SUMIF(A$6:A2476,"&lt;&gt;""",G$6:G2476)-SUMIF(A$6:A2476,"&lt;&gt;""",H$6:H2476),"")</f>
        <v/>
      </c>
    </row>
    <row r="2477">
      <c r="I2477">
        <f>IFERROR(SUMIF(A$6:A2477,"&lt;&gt;""",G$6:G2477)-SUMIF(A$6:A2477,"&lt;&gt;""",H$6:H2477),"")</f>
        <v/>
      </c>
    </row>
    <row r="2478">
      <c r="I2478">
        <f>IFERROR(SUMIF(A$6:A2478,"&lt;&gt;""",G$6:G2478)-SUMIF(A$6:A2478,"&lt;&gt;""",H$6:H2478),"")</f>
        <v/>
      </c>
    </row>
    <row r="2479">
      <c r="I2479">
        <f>IFERROR(SUMIF(A$6:A2479,"&lt;&gt;""",G$6:G2479)-SUMIF(A$6:A2479,"&lt;&gt;""",H$6:H2479),"")</f>
        <v/>
      </c>
    </row>
    <row r="2480">
      <c r="I2480">
        <f>IFERROR(SUMIF(A$6:A2480,"&lt;&gt;""",G$6:G2480)-SUMIF(A$6:A2480,"&lt;&gt;""",H$6:H2480),"")</f>
        <v/>
      </c>
    </row>
    <row r="2481">
      <c r="I2481">
        <f>IFERROR(SUMIF(A$6:A2481,"&lt;&gt;""",G$6:G2481)-SUMIF(A$6:A2481,"&lt;&gt;""",H$6:H2481),"")</f>
        <v/>
      </c>
    </row>
    <row r="2482">
      <c r="I2482">
        <f>IFERROR(SUMIF(A$6:A2482,"&lt;&gt;""",G$6:G2482)-SUMIF(A$6:A2482,"&lt;&gt;""",H$6:H2482),"")</f>
        <v/>
      </c>
    </row>
    <row r="2483">
      <c r="I2483">
        <f>IFERROR(SUMIF(A$6:A2483,"&lt;&gt;""",G$6:G2483)-SUMIF(A$6:A2483,"&lt;&gt;""",H$6:H2483),"")</f>
        <v/>
      </c>
    </row>
    <row r="2484">
      <c r="I2484">
        <f>IFERROR(SUMIF(A$6:A2484,"&lt;&gt;""",G$6:G2484)-SUMIF(A$6:A2484,"&lt;&gt;""",H$6:H2484),"")</f>
        <v/>
      </c>
    </row>
    <row r="2485">
      <c r="I2485">
        <f>IFERROR(SUMIF(A$6:A2485,"&lt;&gt;""",G$6:G2485)-SUMIF(A$6:A2485,"&lt;&gt;""",H$6:H2485),"")</f>
        <v/>
      </c>
    </row>
    <row r="2486">
      <c r="I2486">
        <f>IFERROR(SUMIF(A$6:A2486,"&lt;&gt;""",G$6:G2486)-SUMIF(A$6:A2486,"&lt;&gt;""",H$6:H2486),"")</f>
        <v/>
      </c>
    </row>
    <row r="2487">
      <c r="I2487">
        <f>IFERROR(SUMIF(A$6:A2487,"&lt;&gt;""",G$6:G2487)-SUMIF(A$6:A2487,"&lt;&gt;""",H$6:H2487),"")</f>
        <v/>
      </c>
    </row>
    <row r="2488">
      <c r="I2488">
        <f>IFERROR(SUMIF(A$6:A2488,"&lt;&gt;""",G$6:G2488)-SUMIF(A$6:A2488,"&lt;&gt;""",H$6:H2488),"")</f>
        <v/>
      </c>
    </row>
    <row r="2489">
      <c r="I2489">
        <f>IFERROR(SUMIF(A$6:A2489,"&lt;&gt;""",G$6:G2489)-SUMIF(A$6:A2489,"&lt;&gt;""",H$6:H2489),"")</f>
        <v/>
      </c>
    </row>
    <row r="2490">
      <c r="I2490">
        <f>IFERROR(SUMIF(A$6:A2490,"&lt;&gt;""",G$6:G2490)-SUMIF(A$6:A2490,"&lt;&gt;""",H$6:H2490),"")</f>
        <v/>
      </c>
    </row>
    <row r="2491">
      <c r="I2491">
        <f>IFERROR(SUMIF(A$6:A2491,"&lt;&gt;""",G$6:G2491)-SUMIF(A$6:A2491,"&lt;&gt;""",H$6:H2491),"")</f>
        <v/>
      </c>
    </row>
    <row r="2492">
      <c r="I2492">
        <f>IFERROR(SUMIF(A$6:A2492,"&lt;&gt;""",G$6:G2492)-SUMIF(A$6:A2492,"&lt;&gt;""",H$6:H2492),"")</f>
        <v/>
      </c>
    </row>
    <row r="2493">
      <c r="I2493">
        <f>IFERROR(SUMIF(A$6:A2493,"&lt;&gt;""",G$6:G2493)-SUMIF(A$6:A2493,"&lt;&gt;""",H$6:H2493),"")</f>
        <v/>
      </c>
    </row>
    <row r="2494">
      <c r="I2494">
        <f>IFERROR(SUMIF(A$6:A2494,"&lt;&gt;""",G$6:G2494)-SUMIF(A$6:A2494,"&lt;&gt;""",H$6:H2494),"")</f>
        <v/>
      </c>
    </row>
    <row r="2495">
      <c r="I2495">
        <f>IFERROR(SUMIF(A$6:A2495,"&lt;&gt;""",G$6:G2495)-SUMIF(A$6:A2495,"&lt;&gt;""",H$6:H2495),"")</f>
        <v/>
      </c>
    </row>
    <row r="2496">
      <c r="I2496">
        <f>IFERROR(SUMIF(A$6:A2496,"&lt;&gt;""",G$6:G2496)-SUMIF(A$6:A2496,"&lt;&gt;""",H$6:H2496),"")</f>
        <v/>
      </c>
    </row>
    <row r="2497">
      <c r="I2497">
        <f>IFERROR(SUMIF(A$6:A2497,"&lt;&gt;""",G$6:G2497)-SUMIF(A$6:A2497,"&lt;&gt;""",H$6:H2497),"")</f>
        <v/>
      </c>
    </row>
    <row r="2498">
      <c r="I2498">
        <f>IFERROR(SUMIF(A$6:A2498,"&lt;&gt;""",G$6:G2498)-SUMIF(A$6:A2498,"&lt;&gt;""",H$6:H2498),"")</f>
        <v/>
      </c>
    </row>
    <row r="2499">
      <c r="I2499">
        <f>IFERROR(SUMIF(A$6:A2499,"&lt;&gt;""",G$6:G2499)-SUMIF(A$6:A2499,"&lt;&gt;""",H$6:H2499),"")</f>
        <v/>
      </c>
    </row>
    <row r="2500">
      <c r="I2500">
        <f>IFERROR(SUMIF(A$6:A2500,"&lt;&gt;""",G$6:G2500)-SUMIF(A$6:A2500,"&lt;&gt;""",H$6:H2500),"")</f>
        <v/>
      </c>
    </row>
    <row r="2501">
      <c r="I2501">
        <f>IFERROR(SUMIF(A$6:A2501,"&lt;&gt;""",G$6:G2501)-SUMIF(A$6:A2501,"&lt;&gt;""",H$6:H2501),"")</f>
        <v/>
      </c>
    </row>
    <row r="2502">
      <c r="I2502">
        <f>IFERROR(SUMIF(A$6:A2502,"&lt;&gt;""",G$6:G2502)-SUMIF(A$6:A2502,"&lt;&gt;""",H$6:H2502),"")</f>
        <v/>
      </c>
    </row>
    <row r="2503">
      <c r="I2503">
        <f>IFERROR(SUMIF(A$6:A2503,"&lt;&gt;""",G$6:G2503)-SUMIF(A$6:A2503,"&lt;&gt;""",H$6:H2503),"")</f>
        <v/>
      </c>
    </row>
    <row r="2504">
      <c r="I2504">
        <f>IFERROR(SUMIF(A$6:A2504,"&lt;&gt;""",G$6:G2504)-SUMIF(A$6:A2504,"&lt;&gt;""",H$6:H2504),"")</f>
        <v/>
      </c>
    </row>
    <row r="2505">
      <c r="I2505">
        <f>IFERROR(SUMIF(A$6:A2505,"&lt;&gt;""",G$6:G2505)-SUMIF(A$6:A2505,"&lt;&gt;""",H$6:H2505),"")</f>
        <v/>
      </c>
    </row>
    <row r="2506">
      <c r="I2506">
        <f>IFERROR(SUMIF(A$6:A2506,"&lt;&gt;""",G$6:G2506)-SUMIF(A$6:A2506,"&lt;&gt;""",H$6:H2506),"")</f>
        <v/>
      </c>
    </row>
    <row r="2507">
      <c r="I2507">
        <f>IFERROR(SUMIF(A$6:A2507,"&lt;&gt;""",G$6:G2507)-SUMIF(A$6:A2507,"&lt;&gt;""",H$6:H2507),"")</f>
        <v/>
      </c>
    </row>
    <row r="2508">
      <c r="I2508">
        <f>IFERROR(SUMIF(A$6:A2508,"&lt;&gt;""",G$6:G2508)-SUMIF(A$6:A2508,"&lt;&gt;""",H$6:H2508),"")</f>
        <v/>
      </c>
    </row>
    <row r="2509">
      <c r="I2509">
        <f>IFERROR(SUMIF(A$6:A2509,"&lt;&gt;""",G$6:G2509)-SUMIF(A$6:A2509,"&lt;&gt;""",H$6:H2509),"")</f>
        <v/>
      </c>
    </row>
    <row r="2510">
      <c r="I2510">
        <f>IFERROR(SUMIF(A$6:A2510,"&lt;&gt;""",G$6:G2510)-SUMIF(A$6:A2510,"&lt;&gt;""",H$6:H2510),"")</f>
        <v/>
      </c>
    </row>
    <row r="2511">
      <c r="I2511">
        <f>IFERROR(SUMIF(A$6:A2511,"&lt;&gt;""",G$6:G2511)-SUMIF(A$6:A2511,"&lt;&gt;""",H$6:H2511),"")</f>
        <v/>
      </c>
    </row>
    <row r="2512">
      <c r="I2512">
        <f>IFERROR(SUMIF(A$6:A2512,"&lt;&gt;""",G$6:G2512)-SUMIF(A$6:A2512,"&lt;&gt;""",H$6:H2512),"")</f>
        <v/>
      </c>
    </row>
    <row r="2513">
      <c r="I2513">
        <f>IFERROR(SUMIF(A$6:A2513,"&lt;&gt;""",G$6:G2513)-SUMIF(A$6:A2513,"&lt;&gt;""",H$6:H2513),"")</f>
        <v/>
      </c>
    </row>
    <row r="2514">
      <c r="I2514">
        <f>IFERROR(SUMIF(A$6:A2514,"&lt;&gt;""",G$6:G2514)-SUMIF(A$6:A2514,"&lt;&gt;""",H$6:H2514),"")</f>
        <v/>
      </c>
    </row>
    <row r="2515">
      <c r="I2515">
        <f>IFERROR(SUMIF(A$6:A2515,"&lt;&gt;""",G$6:G2515)-SUMIF(A$6:A2515,"&lt;&gt;""",H$6:H2515),"")</f>
        <v/>
      </c>
    </row>
    <row r="2516">
      <c r="I2516">
        <f>IFERROR(SUMIF(A$6:A2516,"&lt;&gt;""",G$6:G2516)-SUMIF(A$6:A2516,"&lt;&gt;""",H$6:H2516),"")</f>
        <v/>
      </c>
    </row>
    <row r="2517">
      <c r="I2517">
        <f>IFERROR(SUMIF(A$6:A2517,"&lt;&gt;""",G$6:G2517)-SUMIF(A$6:A2517,"&lt;&gt;""",H$6:H2517),"")</f>
        <v/>
      </c>
    </row>
    <row r="2518">
      <c r="I2518">
        <f>IFERROR(SUMIF(A$6:A2518,"&lt;&gt;""",G$6:G2518)-SUMIF(A$6:A2518,"&lt;&gt;""",H$6:H2518),"")</f>
        <v/>
      </c>
    </row>
    <row r="2519">
      <c r="I2519">
        <f>IFERROR(SUMIF(A$6:A2519,"&lt;&gt;""",G$6:G2519)-SUMIF(A$6:A2519,"&lt;&gt;""",H$6:H2519),"")</f>
        <v/>
      </c>
    </row>
    <row r="2520">
      <c r="I2520">
        <f>IFERROR(SUMIF(A$6:A2520,"&lt;&gt;""",G$6:G2520)-SUMIF(A$6:A2520,"&lt;&gt;""",H$6:H2520),"")</f>
        <v/>
      </c>
    </row>
    <row r="2521">
      <c r="I2521">
        <f>IFERROR(SUMIF(A$6:A2521,"&lt;&gt;""",G$6:G2521)-SUMIF(A$6:A2521,"&lt;&gt;""",H$6:H2521),"")</f>
        <v/>
      </c>
    </row>
    <row r="2522">
      <c r="I2522">
        <f>IFERROR(SUMIF(A$6:A2522,"&lt;&gt;""",G$6:G2522)-SUMIF(A$6:A2522,"&lt;&gt;""",H$6:H2522),"")</f>
        <v/>
      </c>
    </row>
    <row r="2523">
      <c r="I2523">
        <f>IFERROR(SUMIF(A$6:A2523,"&lt;&gt;""",G$6:G2523)-SUMIF(A$6:A2523,"&lt;&gt;""",H$6:H2523),"")</f>
        <v/>
      </c>
    </row>
    <row r="2524">
      <c r="I2524">
        <f>IFERROR(SUMIF(A$6:A2524,"&lt;&gt;""",G$6:G2524)-SUMIF(A$6:A2524,"&lt;&gt;""",H$6:H2524),"")</f>
        <v/>
      </c>
    </row>
    <row r="2525">
      <c r="I2525">
        <f>IFERROR(SUMIF(A$6:A2525,"&lt;&gt;""",G$6:G2525)-SUMIF(A$6:A2525,"&lt;&gt;""",H$6:H2525),"")</f>
        <v/>
      </c>
    </row>
    <row r="2526">
      <c r="I2526">
        <f>IFERROR(SUMIF(A$6:A2526,"&lt;&gt;""",G$6:G2526)-SUMIF(A$6:A2526,"&lt;&gt;""",H$6:H2526),"")</f>
        <v/>
      </c>
    </row>
    <row r="2527">
      <c r="I2527">
        <f>IFERROR(SUMIF(A$6:A2527,"&lt;&gt;""",G$6:G2527)-SUMIF(A$6:A2527,"&lt;&gt;""",H$6:H2527),"")</f>
        <v/>
      </c>
    </row>
    <row r="2528">
      <c r="I2528">
        <f>IFERROR(SUMIF(A$6:A2528,"&lt;&gt;""",G$6:G2528)-SUMIF(A$6:A2528,"&lt;&gt;""",H$6:H2528),"")</f>
        <v/>
      </c>
    </row>
    <row r="2529">
      <c r="I2529">
        <f>IFERROR(SUMIF(A$6:A2529,"&lt;&gt;""",G$6:G2529)-SUMIF(A$6:A2529,"&lt;&gt;""",H$6:H2529),"")</f>
        <v/>
      </c>
    </row>
    <row r="2530">
      <c r="I2530">
        <f>IFERROR(SUMIF(A$6:A2530,"&lt;&gt;""",G$6:G2530)-SUMIF(A$6:A2530,"&lt;&gt;""",H$6:H2530),"")</f>
        <v/>
      </c>
    </row>
    <row r="2531">
      <c r="I2531">
        <f>IFERROR(SUMIF(A$6:A2531,"&lt;&gt;""",G$6:G2531)-SUMIF(A$6:A2531,"&lt;&gt;""",H$6:H2531),"")</f>
        <v/>
      </c>
    </row>
    <row r="2532">
      <c r="I2532">
        <f>IFERROR(SUMIF(A$6:A2532,"&lt;&gt;""",G$6:G2532)-SUMIF(A$6:A2532,"&lt;&gt;""",H$6:H2532),"")</f>
        <v/>
      </c>
    </row>
    <row r="2533">
      <c r="I2533">
        <f>IFERROR(SUMIF(A$6:A2533,"&lt;&gt;""",G$6:G2533)-SUMIF(A$6:A2533,"&lt;&gt;""",H$6:H2533),"")</f>
        <v/>
      </c>
    </row>
    <row r="2534">
      <c r="I2534">
        <f>IFERROR(SUMIF(A$6:A2534,"&lt;&gt;""",G$6:G2534)-SUMIF(A$6:A2534,"&lt;&gt;""",H$6:H2534),"")</f>
        <v/>
      </c>
    </row>
    <row r="2535">
      <c r="I2535">
        <f>IFERROR(SUMIF(A$6:A2535,"&lt;&gt;""",G$6:G2535)-SUMIF(A$6:A2535,"&lt;&gt;""",H$6:H2535),"")</f>
        <v/>
      </c>
    </row>
    <row r="2536">
      <c r="I2536">
        <f>IFERROR(SUMIF(A$6:A2536,"&lt;&gt;""",G$6:G2536)-SUMIF(A$6:A2536,"&lt;&gt;""",H$6:H2536),"")</f>
        <v/>
      </c>
    </row>
    <row r="2537">
      <c r="I2537">
        <f>IFERROR(SUMIF(A$6:A2537,"&lt;&gt;""",G$6:G2537)-SUMIF(A$6:A2537,"&lt;&gt;""",H$6:H2537),"")</f>
        <v/>
      </c>
    </row>
    <row r="2538">
      <c r="I2538">
        <f>IFERROR(SUMIF(A$6:A2538,"&lt;&gt;""",G$6:G2538)-SUMIF(A$6:A2538,"&lt;&gt;""",H$6:H2538),"")</f>
        <v/>
      </c>
    </row>
    <row r="2539">
      <c r="I2539">
        <f>IFERROR(SUMIF(A$6:A2539,"&lt;&gt;""",G$6:G2539)-SUMIF(A$6:A2539,"&lt;&gt;""",H$6:H2539),"")</f>
        <v/>
      </c>
    </row>
    <row r="2540">
      <c r="I2540">
        <f>IFERROR(SUMIF(A$6:A2540,"&lt;&gt;""",G$6:G2540)-SUMIF(A$6:A2540,"&lt;&gt;""",H$6:H2540),"")</f>
        <v/>
      </c>
    </row>
    <row r="2541">
      <c r="I2541">
        <f>IFERROR(SUMIF(A$6:A2541,"&lt;&gt;""",G$6:G2541)-SUMIF(A$6:A2541,"&lt;&gt;""",H$6:H2541),"")</f>
        <v/>
      </c>
    </row>
    <row r="2542">
      <c r="I2542">
        <f>IFERROR(SUMIF(A$6:A2542,"&lt;&gt;""",G$6:G2542)-SUMIF(A$6:A2542,"&lt;&gt;""",H$6:H2542),"")</f>
        <v/>
      </c>
    </row>
    <row r="2543">
      <c r="I2543">
        <f>IFERROR(SUMIF(A$6:A2543,"&lt;&gt;""",G$6:G2543)-SUMIF(A$6:A2543,"&lt;&gt;""",H$6:H2543),"")</f>
        <v/>
      </c>
    </row>
    <row r="2544">
      <c r="I2544">
        <f>IFERROR(SUMIF(A$6:A2544,"&lt;&gt;""",G$6:G2544)-SUMIF(A$6:A2544,"&lt;&gt;""",H$6:H2544),"")</f>
        <v/>
      </c>
    </row>
    <row r="2545">
      <c r="I2545">
        <f>IFERROR(SUMIF(A$6:A2545,"&lt;&gt;""",G$6:G2545)-SUMIF(A$6:A2545,"&lt;&gt;""",H$6:H2545),"")</f>
        <v/>
      </c>
    </row>
    <row r="2546">
      <c r="I2546">
        <f>IFERROR(SUMIF(A$6:A2546,"&lt;&gt;""",G$6:G2546)-SUMIF(A$6:A2546,"&lt;&gt;""",H$6:H2546),"")</f>
        <v/>
      </c>
    </row>
    <row r="2547">
      <c r="I2547">
        <f>IFERROR(SUMIF(A$6:A2547,"&lt;&gt;""",G$6:G2547)-SUMIF(A$6:A2547,"&lt;&gt;""",H$6:H2547),"")</f>
        <v/>
      </c>
    </row>
    <row r="2548">
      <c r="I2548">
        <f>IFERROR(SUMIF(A$6:A2548,"&lt;&gt;""",G$6:G2548)-SUMIF(A$6:A2548,"&lt;&gt;""",H$6:H2548),"")</f>
        <v/>
      </c>
    </row>
    <row r="2549">
      <c r="I2549">
        <f>IFERROR(SUMIF(A$6:A2549,"&lt;&gt;""",G$6:G2549)-SUMIF(A$6:A2549,"&lt;&gt;""",H$6:H2549),"")</f>
        <v/>
      </c>
    </row>
    <row r="2550">
      <c r="I2550">
        <f>IFERROR(SUMIF(A$6:A2550,"&lt;&gt;""",G$6:G2550)-SUMIF(A$6:A2550,"&lt;&gt;""",H$6:H2550),"")</f>
        <v/>
      </c>
    </row>
    <row r="2551">
      <c r="I2551">
        <f>IFERROR(SUMIF(A$6:A2551,"&lt;&gt;""",G$6:G2551)-SUMIF(A$6:A2551,"&lt;&gt;""",H$6:H2551),"")</f>
        <v/>
      </c>
    </row>
    <row r="2552">
      <c r="I2552">
        <f>IFERROR(SUMIF(A$6:A2552,"&lt;&gt;""",G$6:G2552)-SUMIF(A$6:A2552,"&lt;&gt;""",H$6:H2552),"")</f>
        <v/>
      </c>
    </row>
    <row r="2553">
      <c r="I2553">
        <f>IFERROR(SUMIF(A$6:A2553,"&lt;&gt;""",G$6:G2553)-SUMIF(A$6:A2553,"&lt;&gt;""",H$6:H2553),"")</f>
        <v/>
      </c>
    </row>
    <row r="2554">
      <c r="I2554">
        <f>IFERROR(SUMIF(A$6:A2554,"&lt;&gt;""",G$6:G2554)-SUMIF(A$6:A2554,"&lt;&gt;""",H$6:H2554),"")</f>
        <v/>
      </c>
    </row>
    <row r="2555">
      <c r="I2555">
        <f>IFERROR(SUMIF(A$6:A2555,"&lt;&gt;""",G$6:G2555)-SUMIF(A$6:A2555,"&lt;&gt;""",H$6:H2555),"")</f>
        <v/>
      </c>
    </row>
    <row r="2556">
      <c r="I2556">
        <f>IFERROR(SUMIF(A$6:A2556,"&lt;&gt;""",G$6:G2556)-SUMIF(A$6:A2556,"&lt;&gt;""",H$6:H2556),"")</f>
        <v/>
      </c>
    </row>
    <row r="2557">
      <c r="I2557">
        <f>IFERROR(SUMIF(A$6:A2557,"&lt;&gt;""",G$6:G2557)-SUMIF(A$6:A2557,"&lt;&gt;""",H$6:H2557),"")</f>
        <v/>
      </c>
    </row>
    <row r="2558">
      <c r="I2558">
        <f>IFERROR(SUMIF(A$6:A2558,"&lt;&gt;""",G$6:G2558)-SUMIF(A$6:A2558,"&lt;&gt;""",H$6:H2558),"")</f>
        <v/>
      </c>
    </row>
    <row r="2559">
      <c r="I2559">
        <f>IFERROR(SUMIF(A$6:A2559,"&lt;&gt;""",G$6:G2559)-SUMIF(A$6:A2559,"&lt;&gt;""",H$6:H2559),"")</f>
        <v/>
      </c>
    </row>
    <row r="2560">
      <c r="I2560">
        <f>IFERROR(SUMIF(A$6:A2560,"&lt;&gt;""",G$6:G2560)-SUMIF(A$6:A2560,"&lt;&gt;""",H$6:H2560),"")</f>
        <v/>
      </c>
    </row>
    <row r="2561">
      <c r="I2561">
        <f>IFERROR(SUMIF(A$6:A2561,"&lt;&gt;""",G$6:G2561)-SUMIF(A$6:A2561,"&lt;&gt;""",H$6:H2561),"")</f>
        <v/>
      </c>
    </row>
    <row r="2562">
      <c r="I2562">
        <f>IFERROR(SUMIF(A$6:A2562,"&lt;&gt;""",G$6:G2562)-SUMIF(A$6:A2562,"&lt;&gt;""",H$6:H2562),"")</f>
        <v/>
      </c>
    </row>
    <row r="2563">
      <c r="I2563">
        <f>IFERROR(SUMIF(A$6:A2563,"&lt;&gt;""",G$6:G2563)-SUMIF(A$6:A2563,"&lt;&gt;""",H$6:H2563),"")</f>
        <v/>
      </c>
    </row>
    <row r="2564">
      <c r="I2564">
        <f>IFERROR(SUMIF(A$6:A2564,"&lt;&gt;""",G$6:G2564)-SUMIF(A$6:A2564,"&lt;&gt;""",H$6:H2564),"")</f>
        <v/>
      </c>
    </row>
    <row r="2565">
      <c r="I2565">
        <f>IFERROR(SUMIF(A$6:A2565,"&lt;&gt;""",G$6:G2565)-SUMIF(A$6:A2565,"&lt;&gt;""",H$6:H2565),"")</f>
        <v/>
      </c>
    </row>
    <row r="2566">
      <c r="I2566">
        <f>IFERROR(SUMIF(A$6:A2566,"&lt;&gt;""",G$6:G2566)-SUMIF(A$6:A2566,"&lt;&gt;""",H$6:H2566),"")</f>
        <v/>
      </c>
    </row>
    <row r="2567">
      <c r="I2567">
        <f>IFERROR(SUMIF(A$6:A2567,"&lt;&gt;""",G$6:G2567)-SUMIF(A$6:A2567,"&lt;&gt;""",H$6:H2567),"")</f>
        <v/>
      </c>
    </row>
    <row r="2568">
      <c r="I2568">
        <f>IFERROR(SUMIF(A$6:A2568,"&lt;&gt;""",G$6:G2568)-SUMIF(A$6:A2568,"&lt;&gt;""",H$6:H2568),"")</f>
        <v/>
      </c>
    </row>
    <row r="2569">
      <c r="I2569">
        <f>IFERROR(SUMIF(A$6:A2569,"&lt;&gt;""",G$6:G2569)-SUMIF(A$6:A2569,"&lt;&gt;""",H$6:H2569),"")</f>
        <v/>
      </c>
    </row>
    <row r="2570">
      <c r="I2570">
        <f>IFERROR(SUMIF(A$6:A2570,"&lt;&gt;""",G$6:G2570)-SUMIF(A$6:A2570,"&lt;&gt;""",H$6:H2570),"")</f>
        <v/>
      </c>
    </row>
    <row r="2571">
      <c r="I2571">
        <f>IFERROR(SUMIF(A$6:A2571,"&lt;&gt;""",G$6:G2571)-SUMIF(A$6:A2571,"&lt;&gt;""",H$6:H2571),"")</f>
        <v/>
      </c>
    </row>
    <row r="2572">
      <c r="I2572">
        <f>IFERROR(SUMIF(A$6:A2572,"&lt;&gt;""",G$6:G2572)-SUMIF(A$6:A2572,"&lt;&gt;""",H$6:H2572),"")</f>
        <v/>
      </c>
    </row>
    <row r="2573">
      <c r="I2573">
        <f>IFERROR(SUMIF(A$6:A2573,"&lt;&gt;""",G$6:G2573)-SUMIF(A$6:A2573,"&lt;&gt;""",H$6:H2573),"")</f>
        <v/>
      </c>
    </row>
    <row r="2574">
      <c r="I2574">
        <f>IFERROR(SUMIF(A$6:A2574,"&lt;&gt;""",G$6:G2574)-SUMIF(A$6:A2574,"&lt;&gt;""",H$6:H2574),"")</f>
        <v/>
      </c>
    </row>
    <row r="2575">
      <c r="I2575">
        <f>IFERROR(SUMIF(A$6:A2575,"&lt;&gt;""",G$6:G2575)-SUMIF(A$6:A2575,"&lt;&gt;""",H$6:H2575),"")</f>
        <v/>
      </c>
    </row>
    <row r="2576">
      <c r="I2576">
        <f>IFERROR(SUMIF(A$6:A2576,"&lt;&gt;""",G$6:G2576)-SUMIF(A$6:A2576,"&lt;&gt;""",H$6:H2576),"")</f>
        <v/>
      </c>
    </row>
    <row r="2577">
      <c r="I2577">
        <f>IFERROR(SUMIF(A$6:A2577,"&lt;&gt;""",G$6:G2577)-SUMIF(A$6:A2577,"&lt;&gt;""",H$6:H2577),"")</f>
        <v/>
      </c>
    </row>
    <row r="2578">
      <c r="I2578">
        <f>IFERROR(SUMIF(A$6:A2578,"&lt;&gt;""",G$6:G2578)-SUMIF(A$6:A2578,"&lt;&gt;""",H$6:H2578),"")</f>
        <v/>
      </c>
    </row>
    <row r="2579">
      <c r="I2579">
        <f>IFERROR(SUMIF(A$6:A2579,"&lt;&gt;""",G$6:G2579)-SUMIF(A$6:A2579,"&lt;&gt;""",H$6:H2579),"")</f>
        <v/>
      </c>
    </row>
    <row r="2580">
      <c r="I2580">
        <f>IFERROR(SUMIF(A$6:A2580,"&lt;&gt;""",G$6:G2580)-SUMIF(A$6:A2580,"&lt;&gt;""",H$6:H2580),"")</f>
        <v/>
      </c>
    </row>
    <row r="2581">
      <c r="I2581">
        <f>IFERROR(SUMIF(A$6:A2581,"&lt;&gt;""",G$6:G2581)-SUMIF(A$6:A2581,"&lt;&gt;""",H$6:H2581),"")</f>
        <v/>
      </c>
    </row>
    <row r="2582">
      <c r="I2582">
        <f>IFERROR(SUMIF(A$6:A2582,"&lt;&gt;""",G$6:G2582)-SUMIF(A$6:A2582,"&lt;&gt;""",H$6:H2582),"")</f>
        <v/>
      </c>
    </row>
    <row r="2583">
      <c r="I2583">
        <f>IFERROR(SUMIF(A$6:A2583,"&lt;&gt;""",G$6:G2583)-SUMIF(A$6:A2583,"&lt;&gt;""",H$6:H2583),"")</f>
        <v/>
      </c>
    </row>
    <row r="2584">
      <c r="I2584">
        <f>IFERROR(SUMIF(A$6:A2584,"&lt;&gt;""",G$6:G2584)-SUMIF(A$6:A2584,"&lt;&gt;""",H$6:H2584),"")</f>
        <v/>
      </c>
    </row>
    <row r="2585">
      <c r="I2585">
        <f>IFERROR(SUMIF(A$6:A2585,"&lt;&gt;""",G$6:G2585)-SUMIF(A$6:A2585,"&lt;&gt;""",H$6:H2585),"")</f>
        <v/>
      </c>
    </row>
    <row r="2586">
      <c r="I2586">
        <f>IFERROR(SUMIF(A$6:A2586,"&lt;&gt;""",G$6:G2586)-SUMIF(A$6:A2586,"&lt;&gt;""",H$6:H2586),"")</f>
        <v/>
      </c>
    </row>
    <row r="2587">
      <c r="I2587">
        <f>IFERROR(SUMIF(A$6:A2587,"&lt;&gt;""",G$6:G2587)-SUMIF(A$6:A2587,"&lt;&gt;""",H$6:H2587),"")</f>
        <v/>
      </c>
    </row>
    <row r="2588">
      <c r="I2588">
        <f>IFERROR(SUMIF(A$6:A2588,"&lt;&gt;""",G$6:G2588)-SUMIF(A$6:A2588,"&lt;&gt;""",H$6:H2588),"")</f>
        <v/>
      </c>
    </row>
    <row r="2589">
      <c r="I2589">
        <f>IFERROR(SUMIF(A$6:A2589,"&lt;&gt;""",G$6:G2589)-SUMIF(A$6:A2589,"&lt;&gt;""",H$6:H2589),"")</f>
        <v/>
      </c>
    </row>
    <row r="2590">
      <c r="I2590">
        <f>IFERROR(SUMIF(A$6:A2590,"&lt;&gt;""",G$6:G2590)-SUMIF(A$6:A2590,"&lt;&gt;""",H$6:H2590),"")</f>
        <v/>
      </c>
    </row>
    <row r="2591">
      <c r="I2591">
        <f>IFERROR(SUMIF(A$6:A2591,"&lt;&gt;""",G$6:G2591)-SUMIF(A$6:A2591,"&lt;&gt;""",H$6:H2591),"")</f>
        <v/>
      </c>
    </row>
    <row r="2592">
      <c r="I2592">
        <f>IFERROR(SUMIF(A$6:A2592,"&lt;&gt;""",G$6:G2592)-SUMIF(A$6:A2592,"&lt;&gt;""",H$6:H2592),"")</f>
        <v/>
      </c>
    </row>
    <row r="2593">
      <c r="I2593">
        <f>IFERROR(SUMIF(A$6:A2593,"&lt;&gt;""",G$6:G2593)-SUMIF(A$6:A2593,"&lt;&gt;""",H$6:H2593),"")</f>
        <v/>
      </c>
    </row>
    <row r="2594">
      <c r="I2594">
        <f>IFERROR(SUMIF(A$6:A2594,"&lt;&gt;""",G$6:G2594)-SUMIF(A$6:A2594,"&lt;&gt;""",H$6:H2594),"")</f>
        <v/>
      </c>
    </row>
    <row r="2595">
      <c r="I2595">
        <f>IFERROR(SUMIF(A$6:A2595,"&lt;&gt;""",G$6:G2595)-SUMIF(A$6:A2595,"&lt;&gt;""",H$6:H2595),"")</f>
        <v/>
      </c>
    </row>
    <row r="2596">
      <c r="I2596">
        <f>IFERROR(SUMIF(A$6:A2596,"&lt;&gt;""",G$6:G2596)-SUMIF(A$6:A2596,"&lt;&gt;""",H$6:H2596),"")</f>
        <v/>
      </c>
    </row>
    <row r="2597">
      <c r="I2597">
        <f>IFERROR(SUMIF(A$6:A2597,"&lt;&gt;""",G$6:G2597)-SUMIF(A$6:A2597,"&lt;&gt;""",H$6:H2597),"")</f>
        <v/>
      </c>
    </row>
    <row r="2598">
      <c r="I2598">
        <f>IFERROR(SUMIF(A$6:A2598,"&lt;&gt;""",G$6:G2598)-SUMIF(A$6:A2598,"&lt;&gt;""",H$6:H2598),"")</f>
        <v/>
      </c>
    </row>
    <row r="2599">
      <c r="I2599">
        <f>IFERROR(SUMIF(A$6:A2599,"&lt;&gt;""",G$6:G2599)-SUMIF(A$6:A2599,"&lt;&gt;""",H$6:H2599),"")</f>
        <v/>
      </c>
    </row>
    <row r="2600">
      <c r="I2600">
        <f>IFERROR(SUMIF(A$6:A2600,"&lt;&gt;""",G$6:G2600)-SUMIF(A$6:A2600,"&lt;&gt;""",H$6:H2600),"")</f>
        <v/>
      </c>
    </row>
    <row r="2601">
      <c r="I2601">
        <f>IFERROR(SUMIF(A$6:A2601,"&lt;&gt;""",G$6:G2601)-SUMIF(A$6:A2601,"&lt;&gt;""",H$6:H2601),"")</f>
        <v/>
      </c>
    </row>
    <row r="2602">
      <c r="I2602">
        <f>IFERROR(SUMIF(A$6:A2602,"&lt;&gt;""",G$6:G2602)-SUMIF(A$6:A2602,"&lt;&gt;""",H$6:H2602),"")</f>
        <v/>
      </c>
    </row>
    <row r="2603">
      <c r="I2603">
        <f>IFERROR(SUMIF(A$6:A2603,"&lt;&gt;""",G$6:G2603)-SUMIF(A$6:A2603,"&lt;&gt;""",H$6:H2603),"")</f>
        <v/>
      </c>
    </row>
    <row r="2604">
      <c r="I2604">
        <f>IFERROR(SUMIF(A$6:A2604,"&lt;&gt;""",G$6:G2604)-SUMIF(A$6:A2604,"&lt;&gt;""",H$6:H2604),"")</f>
        <v/>
      </c>
    </row>
    <row r="2605">
      <c r="I2605">
        <f>IFERROR(SUMIF(A$6:A2605,"&lt;&gt;""",G$6:G2605)-SUMIF(A$6:A2605,"&lt;&gt;""",H$6:H2605),"")</f>
        <v/>
      </c>
    </row>
    <row r="2606">
      <c r="I2606">
        <f>IFERROR(SUMIF(A$6:A2606,"&lt;&gt;""",G$6:G2606)-SUMIF(A$6:A2606,"&lt;&gt;""",H$6:H2606),"")</f>
        <v/>
      </c>
    </row>
    <row r="2607">
      <c r="I2607">
        <f>IFERROR(SUMIF(A$6:A2607,"&lt;&gt;""",G$6:G2607)-SUMIF(A$6:A2607,"&lt;&gt;""",H$6:H2607),"")</f>
        <v/>
      </c>
    </row>
    <row r="2608">
      <c r="I2608">
        <f>IFERROR(SUMIF(A$6:A2608,"&lt;&gt;""",G$6:G2608)-SUMIF(A$6:A2608,"&lt;&gt;""",H$6:H2608),"")</f>
        <v/>
      </c>
    </row>
    <row r="2609">
      <c r="I2609">
        <f>IFERROR(SUMIF(A$6:A2609,"&lt;&gt;""",G$6:G2609)-SUMIF(A$6:A2609,"&lt;&gt;""",H$6:H2609),"")</f>
        <v/>
      </c>
    </row>
    <row r="2610">
      <c r="I2610">
        <f>IFERROR(SUMIF(A$6:A2610,"&lt;&gt;""",G$6:G2610)-SUMIF(A$6:A2610,"&lt;&gt;""",H$6:H2610),"")</f>
        <v/>
      </c>
    </row>
    <row r="2611">
      <c r="I2611">
        <f>IFERROR(SUMIF(A$6:A2611,"&lt;&gt;""",G$6:G2611)-SUMIF(A$6:A2611,"&lt;&gt;""",H$6:H2611),"")</f>
        <v/>
      </c>
    </row>
    <row r="2612">
      <c r="I2612">
        <f>IFERROR(SUMIF(A$6:A2612,"&lt;&gt;""",G$6:G2612)-SUMIF(A$6:A2612,"&lt;&gt;""",H$6:H2612),"")</f>
        <v/>
      </c>
    </row>
    <row r="2613">
      <c r="I2613">
        <f>IFERROR(SUMIF(A$6:A2613,"&lt;&gt;""",G$6:G2613)-SUMIF(A$6:A2613,"&lt;&gt;""",H$6:H2613),"")</f>
        <v/>
      </c>
    </row>
    <row r="2614">
      <c r="I2614">
        <f>IFERROR(SUMIF(A$6:A2614,"&lt;&gt;""",G$6:G2614)-SUMIF(A$6:A2614,"&lt;&gt;""",H$6:H2614),"")</f>
        <v/>
      </c>
    </row>
    <row r="2615">
      <c r="I2615">
        <f>IFERROR(SUMIF(A$6:A2615,"&lt;&gt;""",G$6:G2615)-SUMIF(A$6:A2615,"&lt;&gt;""",H$6:H2615),"")</f>
        <v/>
      </c>
    </row>
    <row r="2616">
      <c r="I2616">
        <f>IFERROR(SUMIF(A$6:A2616,"&lt;&gt;""",G$6:G2616)-SUMIF(A$6:A2616,"&lt;&gt;""",H$6:H2616),"")</f>
        <v/>
      </c>
    </row>
    <row r="2617">
      <c r="I2617">
        <f>IFERROR(SUMIF(A$6:A2617,"&lt;&gt;""",G$6:G2617)-SUMIF(A$6:A2617,"&lt;&gt;""",H$6:H2617),"")</f>
        <v/>
      </c>
    </row>
    <row r="2618">
      <c r="I2618">
        <f>IFERROR(SUMIF(A$6:A2618,"&lt;&gt;""",G$6:G2618)-SUMIF(A$6:A2618,"&lt;&gt;""",H$6:H2618),"")</f>
        <v/>
      </c>
    </row>
    <row r="2619">
      <c r="I2619">
        <f>IFERROR(SUMIF(A$6:A2619,"&lt;&gt;""",G$6:G2619)-SUMIF(A$6:A2619,"&lt;&gt;""",H$6:H2619),"")</f>
        <v/>
      </c>
    </row>
    <row r="2620">
      <c r="I2620">
        <f>IFERROR(SUMIF(A$6:A2620,"&lt;&gt;""",G$6:G2620)-SUMIF(A$6:A2620,"&lt;&gt;""",H$6:H2620),"")</f>
        <v/>
      </c>
    </row>
    <row r="2621">
      <c r="I2621">
        <f>IFERROR(SUMIF(A$6:A2621,"&lt;&gt;""",G$6:G2621)-SUMIF(A$6:A2621,"&lt;&gt;""",H$6:H2621),"")</f>
        <v/>
      </c>
    </row>
    <row r="2622">
      <c r="I2622">
        <f>IFERROR(SUMIF(A$6:A2622,"&lt;&gt;""",G$6:G2622)-SUMIF(A$6:A2622,"&lt;&gt;""",H$6:H2622),"")</f>
        <v/>
      </c>
    </row>
    <row r="2623">
      <c r="I2623">
        <f>IFERROR(SUMIF(A$6:A2623,"&lt;&gt;""",G$6:G2623)-SUMIF(A$6:A2623,"&lt;&gt;""",H$6:H2623),"")</f>
        <v/>
      </c>
    </row>
    <row r="2624">
      <c r="I2624">
        <f>IFERROR(SUMIF(A$6:A2624,"&lt;&gt;""",G$6:G2624)-SUMIF(A$6:A2624,"&lt;&gt;""",H$6:H2624),"")</f>
        <v/>
      </c>
    </row>
    <row r="2625">
      <c r="I2625">
        <f>IFERROR(SUMIF(A$6:A2625,"&lt;&gt;""",G$6:G2625)-SUMIF(A$6:A2625,"&lt;&gt;""",H$6:H2625),"")</f>
        <v/>
      </c>
    </row>
    <row r="2626">
      <c r="I2626">
        <f>IFERROR(SUMIF(A$6:A2626,"&lt;&gt;""",G$6:G2626)-SUMIF(A$6:A2626,"&lt;&gt;""",H$6:H2626),"")</f>
        <v/>
      </c>
    </row>
    <row r="2627">
      <c r="I2627">
        <f>IFERROR(SUMIF(A$6:A2627,"&lt;&gt;""",G$6:G2627)-SUMIF(A$6:A2627,"&lt;&gt;""",H$6:H2627),"")</f>
        <v/>
      </c>
    </row>
    <row r="2628">
      <c r="I2628">
        <f>IFERROR(SUMIF(A$6:A2628,"&lt;&gt;""",G$6:G2628)-SUMIF(A$6:A2628,"&lt;&gt;""",H$6:H2628),"")</f>
        <v/>
      </c>
    </row>
    <row r="2629">
      <c r="I2629">
        <f>IFERROR(SUMIF(A$6:A2629,"&lt;&gt;""",G$6:G2629)-SUMIF(A$6:A2629,"&lt;&gt;""",H$6:H2629),"")</f>
        <v/>
      </c>
    </row>
    <row r="2630">
      <c r="I2630">
        <f>IFERROR(SUMIF(A$6:A2630,"&lt;&gt;""",G$6:G2630)-SUMIF(A$6:A2630,"&lt;&gt;""",H$6:H2630),"")</f>
        <v/>
      </c>
    </row>
    <row r="2631">
      <c r="I2631">
        <f>IFERROR(SUMIF(A$6:A2631,"&lt;&gt;""",G$6:G2631)-SUMIF(A$6:A2631,"&lt;&gt;""",H$6:H2631),"")</f>
        <v/>
      </c>
    </row>
    <row r="2632">
      <c r="I2632">
        <f>IFERROR(SUMIF(A$6:A2632,"&lt;&gt;""",G$6:G2632)-SUMIF(A$6:A2632,"&lt;&gt;""",H$6:H2632),"")</f>
        <v/>
      </c>
    </row>
    <row r="2633">
      <c r="I2633">
        <f>IFERROR(SUMIF(A$6:A2633,"&lt;&gt;""",G$6:G2633)-SUMIF(A$6:A2633,"&lt;&gt;""",H$6:H2633),"")</f>
        <v/>
      </c>
    </row>
    <row r="2634">
      <c r="I2634">
        <f>IFERROR(SUMIF(A$6:A2634,"&lt;&gt;""",G$6:G2634)-SUMIF(A$6:A2634,"&lt;&gt;""",H$6:H2634),"")</f>
        <v/>
      </c>
    </row>
    <row r="2635">
      <c r="I2635">
        <f>IFERROR(SUMIF(A$6:A2635,"&lt;&gt;""",G$6:G2635)-SUMIF(A$6:A2635,"&lt;&gt;""",H$6:H2635),"")</f>
        <v/>
      </c>
    </row>
    <row r="2636">
      <c r="I2636">
        <f>IFERROR(SUMIF(A$6:A2636,"&lt;&gt;""",G$6:G2636)-SUMIF(A$6:A2636,"&lt;&gt;""",H$6:H2636),"")</f>
        <v/>
      </c>
    </row>
    <row r="2637">
      <c r="I2637">
        <f>IFERROR(SUMIF(A$6:A2637,"&lt;&gt;""",G$6:G2637)-SUMIF(A$6:A2637,"&lt;&gt;""",H$6:H2637),"")</f>
        <v/>
      </c>
    </row>
    <row r="2638">
      <c r="I2638">
        <f>IFERROR(SUMIF(A$6:A2638,"&lt;&gt;""",G$6:G2638)-SUMIF(A$6:A2638,"&lt;&gt;""",H$6:H2638),"")</f>
        <v/>
      </c>
    </row>
    <row r="2639">
      <c r="I2639">
        <f>IFERROR(SUMIF(A$6:A2639,"&lt;&gt;""",G$6:G2639)-SUMIF(A$6:A2639,"&lt;&gt;""",H$6:H2639),"")</f>
        <v/>
      </c>
    </row>
    <row r="2640">
      <c r="I2640">
        <f>IFERROR(SUMIF(A$6:A2640,"&lt;&gt;""",G$6:G2640)-SUMIF(A$6:A2640,"&lt;&gt;""",H$6:H2640),"")</f>
        <v/>
      </c>
    </row>
    <row r="2641">
      <c r="I2641">
        <f>IFERROR(SUMIF(A$6:A2641,"&lt;&gt;""",G$6:G2641)-SUMIF(A$6:A2641,"&lt;&gt;""",H$6:H2641),"")</f>
        <v/>
      </c>
    </row>
    <row r="2642">
      <c r="I2642">
        <f>IFERROR(SUMIF(A$6:A2642,"&lt;&gt;""",G$6:G2642)-SUMIF(A$6:A2642,"&lt;&gt;""",H$6:H2642),"")</f>
        <v/>
      </c>
    </row>
    <row r="2643">
      <c r="I2643">
        <f>IFERROR(SUMIF(A$6:A2643,"&lt;&gt;""",G$6:G2643)-SUMIF(A$6:A2643,"&lt;&gt;""",H$6:H2643),"")</f>
        <v/>
      </c>
    </row>
    <row r="2644">
      <c r="I2644">
        <f>IFERROR(SUMIF(A$6:A2644,"&lt;&gt;""",G$6:G2644)-SUMIF(A$6:A2644,"&lt;&gt;""",H$6:H2644),"")</f>
        <v/>
      </c>
    </row>
    <row r="2645">
      <c r="I2645">
        <f>IFERROR(SUMIF(A$6:A2645,"&lt;&gt;""",G$6:G2645)-SUMIF(A$6:A2645,"&lt;&gt;""",H$6:H2645),"")</f>
        <v/>
      </c>
    </row>
    <row r="2646">
      <c r="I2646">
        <f>IFERROR(SUMIF(A$6:A2646,"&lt;&gt;""",G$6:G2646)-SUMIF(A$6:A2646,"&lt;&gt;""",H$6:H2646),"")</f>
        <v/>
      </c>
    </row>
    <row r="2647">
      <c r="I2647">
        <f>IFERROR(SUMIF(A$6:A2647,"&lt;&gt;""",G$6:G2647)-SUMIF(A$6:A2647,"&lt;&gt;""",H$6:H2647),"")</f>
        <v/>
      </c>
    </row>
    <row r="2648">
      <c r="I2648">
        <f>IFERROR(SUMIF(A$6:A2648,"&lt;&gt;""",G$6:G2648)-SUMIF(A$6:A2648,"&lt;&gt;""",H$6:H2648),"")</f>
        <v/>
      </c>
    </row>
    <row r="2649">
      <c r="I2649">
        <f>IFERROR(SUMIF(A$6:A2649,"&lt;&gt;""",G$6:G2649)-SUMIF(A$6:A2649,"&lt;&gt;""",H$6:H2649),"")</f>
        <v/>
      </c>
    </row>
    <row r="2650">
      <c r="I2650">
        <f>IFERROR(SUMIF(A$6:A2650,"&lt;&gt;""",G$6:G2650)-SUMIF(A$6:A2650,"&lt;&gt;""",H$6:H2650),"")</f>
        <v/>
      </c>
    </row>
    <row r="2651">
      <c r="I2651">
        <f>IFERROR(SUMIF(A$6:A2651,"&lt;&gt;""",G$6:G2651)-SUMIF(A$6:A2651,"&lt;&gt;""",H$6:H2651),"")</f>
        <v/>
      </c>
    </row>
    <row r="2652">
      <c r="I2652">
        <f>IFERROR(SUMIF(A$6:A2652,"&lt;&gt;""",G$6:G2652)-SUMIF(A$6:A2652,"&lt;&gt;""",H$6:H2652),"")</f>
        <v/>
      </c>
    </row>
    <row r="2653">
      <c r="I2653">
        <f>IFERROR(SUMIF(A$6:A2653,"&lt;&gt;""",G$6:G2653)-SUMIF(A$6:A2653,"&lt;&gt;""",H$6:H2653),"")</f>
        <v/>
      </c>
    </row>
    <row r="2654">
      <c r="I2654">
        <f>IFERROR(SUMIF(A$6:A2654,"&lt;&gt;""",G$6:G2654)-SUMIF(A$6:A2654,"&lt;&gt;""",H$6:H2654),"")</f>
        <v/>
      </c>
    </row>
    <row r="2655">
      <c r="I2655">
        <f>IFERROR(SUMIF(A$6:A2655,"&lt;&gt;""",G$6:G2655)-SUMIF(A$6:A2655,"&lt;&gt;""",H$6:H2655),"")</f>
        <v/>
      </c>
    </row>
    <row r="2656">
      <c r="I2656">
        <f>IFERROR(SUMIF(A$6:A2656,"&lt;&gt;""",G$6:G2656)-SUMIF(A$6:A2656,"&lt;&gt;""",H$6:H2656),"")</f>
        <v/>
      </c>
    </row>
    <row r="2657">
      <c r="I2657">
        <f>IFERROR(SUMIF(A$6:A2657,"&lt;&gt;""",G$6:G2657)-SUMIF(A$6:A2657,"&lt;&gt;""",H$6:H2657),"")</f>
        <v/>
      </c>
    </row>
    <row r="2658">
      <c r="I2658">
        <f>IFERROR(SUMIF(A$6:A2658,"&lt;&gt;""",G$6:G2658)-SUMIF(A$6:A2658,"&lt;&gt;""",H$6:H2658),"")</f>
        <v/>
      </c>
    </row>
    <row r="2659">
      <c r="I2659">
        <f>IFERROR(SUMIF(A$6:A2659,"&lt;&gt;""",G$6:G2659)-SUMIF(A$6:A2659,"&lt;&gt;""",H$6:H2659),"")</f>
        <v/>
      </c>
    </row>
    <row r="2660">
      <c r="I2660">
        <f>IFERROR(SUMIF(A$6:A2660,"&lt;&gt;""",G$6:G2660)-SUMIF(A$6:A2660,"&lt;&gt;""",H$6:H2660),"")</f>
        <v/>
      </c>
    </row>
    <row r="2661">
      <c r="I2661">
        <f>IFERROR(SUMIF(A$6:A2661,"&lt;&gt;""",G$6:G2661)-SUMIF(A$6:A2661,"&lt;&gt;""",H$6:H2661),"")</f>
        <v/>
      </c>
    </row>
    <row r="2662">
      <c r="I2662">
        <f>IFERROR(SUMIF(A$6:A2662,"&lt;&gt;""",G$6:G2662)-SUMIF(A$6:A2662,"&lt;&gt;""",H$6:H2662),"")</f>
        <v/>
      </c>
    </row>
    <row r="2663">
      <c r="I2663">
        <f>IFERROR(SUMIF(A$6:A2663,"&lt;&gt;""",G$6:G2663)-SUMIF(A$6:A2663,"&lt;&gt;""",H$6:H2663),"")</f>
        <v/>
      </c>
    </row>
    <row r="2664">
      <c r="I2664">
        <f>IFERROR(SUMIF(A$6:A2664,"&lt;&gt;""",G$6:G2664)-SUMIF(A$6:A2664,"&lt;&gt;""",H$6:H2664),"")</f>
        <v/>
      </c>
    </row>
    <row r="2665">
      <c r="I2665">
        <f>IFERROR(SUMIF(A$6:A2665,"&lt;&gt;""",G$6:G2665)-SUMIF(A$6:A2665,"&lt;&gt;""",H$6:H2665),"")</f>
        <v/>
      </c>
    </row>
    <row r="2666">
      <c r="I2666">
        <f>IFERROR(SUMIF(A$6:A2666,"&lt;&gt;""",G$6:G2666)-SUMIF(A$6:A2666,"&lt;&gt;""",H$6:H2666),"")</f>
        <v/>
      </c>
    </row>
    <row r="2667">
      <c r="I2667">
        <f>IFERROR(SUMIF(A$6:A2667,"&lt;&gt;""",G$6:G2667)-SUMIF(A$6:A2667,"&lt;&gt;""",H$6:H2667),"")</f>
        <v/>
      </c>
    </row>
    <row r="2668">
      <c r="I2668">
        <f>IFERROR(SUMIF(A$6:A2668,"&lt;&gt;""",G$6:G2668)-SUMIF(A$6:A2668,"&lt;&gt;""",H$6:H2668),"")</f>
        <v/>
      </c>
    </row>
    <row r="2669">
      <c r="I2669">
        <f>IFERROR(SUMIF(A$6:A2669,"&lt;&gt;""",G$6:G2669)-SUMIF(A$6:A2669,"&lt;&gt;""",H$6:H2669),"")</f>
        <v/>
      </c>
    </row>
    <row r="2670">
      <c r="I2670">
        <f>IFERROR(SUMIF(A$6:A2670,"&lt;&gt;""",G$6:G2670)-SUMIF(A$6:A2670,"&lt;&gt;""",H$6:H2670),"")</f>
        <v/>
      </c>
    </row>
    <row r="2671">
      <c r="I2671">
        <f>IFERROR(SUMIF(A$6:A2671,"&lt;&gt;""",G$6:G2671)-SUMIF(A$6:A2671,"&lt;&gt;""",H$6:H2671),"")</f>
        <v/>
      </c>
    </row>
    <row r="2672">
      <c r="I2672">
        <f>IFERROR(SUMIF(A$6:A2672,"&lt;&gt;""",G$6:G2672)-SUMIF(A$6:A2672,"&lt;&gt;""",H$6:H2672),"")</f>
        <v/>
      </c>
    </row>
    <row r="2673">
      <c r="I2673">
        <f>IFERROR(SUMIF(A$6:A2673,"&lt;&gt;""",G$6:G2673)-SUMIF(A$6:A2673,"&lt;&gt;""",H$6:H2673),"")</f>
        <v/>
      </c>
    </row>
    <row r="2674">
      <c r="I2674">
        <f>IFERROR(SUMIF(A$6:A2674,"&lt;&gt;""",G$6:G2674)-SUMIF(A$6:A2674,"&lt;&gt;""",H$6:H2674),"")</f>
        <v/>
      </c>
    </row>
    <row r="2675">
      <c r="I2675">
        <f>IFERROR(SUMIF(A$6:A2675,"&lt;&gt;""",G$6:G2675)-SUMIF(A$6:A2675,"&lt;&gt;""",H$6:H2675),"")</f>
        <v/>
      </c>
    </row>
    <row r="2676">
      <c r="I2676">
        <f>IFERROR(SUMIF(A$6:A2676,"&lt;&gt;""",G$6:G2676)-SUMIF(A$6:A2676,"&lt;&gt;""",H$6:H2676),"")</f>
        <v/>
      </c>
    </row>
    <row r="2677">
      <c r="I2677">
        <f>IFERROR(SUMIF(A$6:A2677,"&lt;&gt;""",G$6:G2677)-SUMIF(A$6:A2677,"&lt;&gt;""",H$6:H2677),"")</f>
        <v/>
      </c>
    </row>
    <row r="2678">
      <c r="I2678">
        <f>IFERROR(SUMIF(A$6:A2678,"&lt;&gt;""",G$6:G2678)-SUMIF(A$6:A2678,"&lt;&gt;""",H$6:H2678),"")</f>
        <v/>
      </c>
    </row>
    <row r="2679">
      <c r="I2679">
        <f>IFERROR(SUMIF(A$6:A2679,"&lt;&gt;""",G$6:G2679)-SUMIF(A$6:A2679,"&lt;&gt;""",H$6:H2679),"")</f>
        <v/>
      </c>
    </row>
    <row r="2680">
      <c r="I2680">
        <f>IFERROR(SUMIF(A$6:A2680,"&lt;&gt;""",G$6:G2680)-SUMIF(A$6:A2680,"&lt;&gt;""",H$6:H2680),"")</f>
        <v/>
      </c>
    </row>
    <row r="2681">
      <c r="I2681">
        <f>IFERROR(SUMIF(A$6:A2681,"&lt;&gt;""",G$6:G2681)-SUMIF(A$6:A2681,"&lt;&gt;""",H$6:H2681),"")</f>
        <v/>
      </c>
    </row>
    <row r="2682">
      <c r="I2682">
        <f>IFERROR(SUMIF(A$6:A2682,"&lt;&gt;""",G$6:G2682)-SUMIF(A$6:A2682,"&lt;&gt;""",H$6:H2682),"")</f>
        <v/>
      </c>
    </row>
    <row r="2683">
      <c r="I2683">
        <f>IFERROR(SUMIF(A$6:A2683,"&lt;&gt;""",G$6:G2683)-SUMIF(A$6:A2683,"&lt;&gt;""",H$6:H2683),"")</f>
        <v/>
      </c>
    </row>
    <row r="2684">
      <c r="I2684">
        <f>IFERROR(SUMIF(A$6:A2684,"&lt;&gt;""",G$6:G2684)-SUMIF(A$6:A2684,"&lt;&gt;""",H$6:H2684),"")</f>
        <v/>
      </c>
    </row>
    <row r="2685">
      <c r="I2685">
        <f>IFERROR(SUMIF(A$6:A2685,"&lt;&gt;""",G$6:G2685)-SUMIF(A$6:A2685,"&lt;&gt;""",H$6:H2685),"")</f>
        <v/>
      </c>
    </row>
    <row r="2686">
      <c r="I2686">
        <f>IFERROR(SUMIF(A$6:A2686,"&lt;&gt;""",G$6:G2686)-SUMIF(A$6:A2686,"&lt;&gt;""",H$6:H2686),"")</f>
        <v/>
      </c>
    </row>
    <row r="2687">
      <c r="I2687">
        <f>IFERROR(SUMIF(A$6:A2687,"&lt;&gt;""",G$6:G2687)-SUMIF(A$6:A2687,"&lt;&gt;""",H$6:H2687),"")</f>
        <v/>
      </c>
    </row>
    <row r="2688">
      <c r="I2688">
        <f>IFERROR(SUMIF(A$6:A2688,"&lt;&gt;""",G$6:G2688)-SUMIF(A$6:A2688,"&lt;&gt;""",H$6:H2688),"")</f>
        <v/>
      </c>
    </row>
    <row r="2689">
      <c r="I2689">
        <f>IFERROR(SUMIF(A$6:A2689,"&lt;&gt;""",G$6:G2689)-SUMIF(A$6:A2689,"&lt;&gt;""",H$6:H2689),"")</f>
        <v/>
      </c>
    </row>
    <row r="2690">
      <c r="I2690">
        <f>IFERROR(SUMIF(A$6:A2690,"&lt;&gt;""",G$6:G2690)-SUMIF(A$6:A2690,"&lt;&gt;""",H$6:H2690),"")</f>
        <v/>
      </c>
    </row>
    <row r="2691">
      <c r="I2691">
        <f>IFERROR(SUMIF(A$6:A2691,"&lt;&gt;""",G$6:G2691)-SUMIF(A$6:A2691,"&lt;&gt;""",H$6:H2691),"")</f>
        <v/>
      </c>
    </row>
    <row r="2692">
      <c r="I2692">
        <f>IFERROR(SUMIF(A$6:A2692,"&lt;&gt;""",G$6:G2692)-SUMIF(A$6:A2692,"&lt;&gt;""",H$6:H2692),"")</f>
        <v/>
      </c>
    </row>
    <row r="2693">
      <c r="I2693">
        <f>IFERROR(SUMIF(A$6:A2693,"&lt;&gt;""",G$6:G2693)-SUMIF(A$6:A2693,"&lt;&gt;""",H$6:H2693),"")</f>
        <v/>
      </c>
    </row>
    <row r="2694">
      <c r="I2694">
        <f>IFERROR(SUMIF(A$6:A2694,"&lt;&gt;""",G$6:G2694)-SUMIF(A$6:A2694,"&lt;&gt;""",H$6:H2694),"")</f>
        <v/>
      </c>
    </row>
    <row r="2695">
      <c r="I2695">
        <f>IFERROR(SUMIF(A$6:A2695,"&lt;&gt;""",G$6:G2695)-SUMIF(A$6:A2695,"&lt;&gt;""",H$6:H2695),"")</f>
        <v/>
      </c>
    </row>
    <row r="2696">
      <c r="I2696">
        <f>IFERROR(SUMIF(A$6:A2696,"&lt;&gt;""",G$6:G2696)-SUMIF(A$6:A2696,"&lt;&gt;""",H$6:H2696),"")</f>
        <v/>
      </c>
    </row>
    <row r="2697">
      <c r="I2697">
        <f>IFERROR(SUMIF(A$6:A2697,"&lt;&gt;""",G$6:G2697)-SUMIF(A$6:A2697,"&lt;&gt;""",H$6:H2697),"")</f>
        <v/>
      </c>
    </row>
    <row r="2698">
      <c r="I2698">
        <f>IFERROR(SUMIF(A$6:A2698,"&lt;&gt;""",G$6:G2698)-SUMIF(A$6:A2698,"&lt;&gt;""",H$6:H2698),"")</f>
        <v/>
      </c>
    </row>
    <row r="2699">
      <c r="I2699">
        <f>IFERROR(SUMIF(A$6:A2699,"&lt;&gt;""",G$6:G2699)-SUMIF(A$6:A2699,"&lt;&gt;""",H$6:H2699),"")</f>
        <v/>
      </c>
    </row>
    <row r="2700">
      <c r="I2700">
        <f>IFERROR(SUMIF(A$6:A2700,"&lt;&gt;""",G$6:G2700)-SUMIF(A$6:A2700,"&lt;&gt;""",H$6:H2700),"")</f>
        <v/>
      </c>
    </row>
    <row r="2701">
      <c r="I2701">
        <f>IFERROR(SUMIF(A$6:A2701,"&lt;&gt;""",G$6:G2701)-SUMIF(A$6:A2701,"&lt;&gt;""",H$6:H2701),"")</f>
        <v/>
      </c>
    </row>
    <row r="2702">
      <c r="I2702">
        <f>IFERROR(SUMIF(A$6:A2702,"&lt;&gt;""",G$6:G2702)-SUMIF(A$6:A2702,"&lt;&gt;""",H$6:H2702),"")</f>
        <v/>
      </c>
    </row>
    <row r="2703">
      <c r="I2703">
        <f>IFERROR(SUMIF(A$6:A2703,"&lt;&gt;""",G$6:G2703)-SUMIF(A$6:A2703,"&lt;&gt;""",H$6:H2703),"")</f>
        <v/>
      </c>
    </row>
    <row r="2704">
      <c r="I2704">
        <f>IFERROR(SUMIF(A$6:A2704,"&lt;&gt;""",G$6:G2704)-SUMIF(A$6:A2704,"&lt;&gt;""",H$6:H2704),"")</f>
        <v/>
      </c>
    </row>
    <row r="2705">
      <c r="I2705">
        <f>IFERROR(SUMIF(A$6:A2705,"&lt;&gt;""",G$6:G2705)-SUMIF(A$6:A2705,"&lt;&gt;""",H$6:H2705),"")</f>
        <v/>
      </c>
    </row>
    <row r="2706">
      <c r="I2706">
        <f>IFERROR(SUMIF(A$6:A2706,"&lt;&gt;""",G$6:G2706)-SUMIF(A$6:A2706,"&lt;&gt;""",H$6:H2706),"")</f>
        <v/>
      </c>
    </row>
    <row r="2707">
      <c r="I2707">
        <f>IFERROR(SUMIF(A$6:A2707,"&lt;&gt;""",G$6:G2707)-SUMIF(A$6:A2707,"&lt;&gt;""",H$6:H2707),"")</f>
        <v/>
      </c>
    </row>
    <row r="2708">
      <c r="I2708">
        <f>IFERROR(SUMIF(A$6:A2708,"&lt;&gt;""",G$6:G2708)-SUMIF(A$6:A2708,"&lt;&gt;""",H$6:H2708),"")</f>
        <v/>
      </c>
    </row>
    <row r="2709">
      <c r="I2709">
        <f>IFERROR(SUMIF(A$6:A2709,"&lt;&gt;""",G$6:G2709)-SUMIF(A$6:A2709,"&lt;&gt;""",H$6:H2709),"")</f>
        <v/>
      </c>
    </row>
    <row r="2710">
      <c r="I2710">
        <f>IFERROR(SUMIF(A$6:A2710,"&lt;&gt;""",G$6:G2710)-SUMIF(A$6:A2710,"&lt;&gt;""",H$6:H2710),"")</f>
        <v/>
      </c>
    </row>
    <row r="2711">
      <c r="I2711">
        <f>IFERROR(SUMIF(A$6:A2711,"&lt;&gt;""",G$6:G2711)-SUMIF(A$6:A2711,"&lt;&gt;""",H$6:H2711),"")</f>
        <v/>
      </c>
    </row>
    <row r="2712">
      <c r="I2712">
        <f>IFERROR(SUMIF(A$6:A2712,"&lt;&gt;""",G$6:G2712)-SUMIF(A$6:A2712,"&lt;&gt;""",H$6:H2712),"")</f>
        <v/>
      </c>
    </row>
    <row r="2713">
      <c r="I2713">
        <f>IFERROR(SUMIF(A$6:A2713,"&lt;&gt;""",G$6:G2713)-SUMIF(A$6:A2713,"&lt;&gt;""",H$6:H2713),"")</f>
        <v/>
      </c>
    </row>
    <row r="2714">
      <c r="I2714">
        <f>IFERROR(SUMIF(A$6:A2714,"&lt;&gt;""",G$6:G2714)-SUMIF(A$6:A2714,"&lt;&gt;""",H$6:H2714),"")</f>
        <v/>
      </c>
    </row>
    <row r="2715">
      <c r="I2715">
        <f>IFERROR(SUMIF(A$6:A2715,"&lt;&gt;""",G$6:G2715)-SUMIF(A$6:A2715,"&lt;&gt;""",H$6:H2715),"")</f>
        <v/>
      </c>
    </row>
    <row r="2716">
      <c r="I2716">
        <f>IFERROR(SUMIF(A$6:A2716,"&lt;&gt;""",G$6:G2716)-SUMIF(A$6:A2716,"&lt;&gt;""",H$6:H2716),"")</f>
        <v/>
      </c>
    </row>
    <row r="2717">
      <c r="I2717">
        <f>IFERROR(SUMIF(A$6:A2717,"&lt;&gt;""",G$6:G2717)-SUMIF(A$6:A2717,"&lt;&gt;""",H$6:H2717),"")</f>
        <v/>
      </c>
    </row>
    <row r="2718">
      <c r="I2718">
        <f>IFERROR(SUMIF(A$6:A2718,"&lt;&gt;""",G$6:G2718)-SUMIF(A$6:A2718,"&lt;&gt;""",H$6:H2718),"")</f>
        <v/>
      </c>
    </row>
    <row r="2719">
      <c r="I2719">
        <f>IFERROR(SUMIF(A$6:A2719,"&lt;&gt;""",G$6:G2719)-SUMIF(A$6:A2719,"&lt;&gt;""",H$6:H2719),"")</f>
        <v/>
      </c>
    </row>
    <row r="2720">
      <c r="I2720">
        <f>IFERROR(SUMIF(A$6:A2720,"&lt;&gt;""",G$6:G2720)-SUMIF(A$6:A2720,"&lt;&gt;""",H$6:H2720),"")</f>
        <v/>
      </c>
    </row>
    <row r="2721">
      <c r="I2721">
        <f>IFERROR(SUMIF(A$6:A2721,"&lt;&gt;""",G$6:G2721)-SUMIF(A$6:A2721,"&lt;&gt;""",H$6:H2721),"")</f>
        <v/>
      </c>
    </row>
    <row r="2722">
      <c r="I2722">
        <f>IFERROR(SUMIF(A$6:A2722,"&lt;&gt;""",G$6:G2722)-SUMIF(A$6:A2722,"&lt;&gt;""",H$6:H2722),"")</f>
        <v/>
      </c>
    </row>
    <row r="2723">
      <c r="I2723">
        <f>IFERROR(SUMIF(A$6:A2723,"&lt;&gt;""",G$6:G2723)-SUMIF(A$6:A2723,"&lt;&gt;""",H$6:H2723),"")</f>
        <v/>
      </c>
    </row>
    <row r="2724">
      <c r="I2724">
        <f>IFERROR(SUMIF(A$6:A2724,"&lt;&gt;""",G$6:G2724)-SUMIF(A$6:A2724,"&lt;&gt;""",H$6:H2724),"")</f>
        <v/>
      </c>
    </row>
    <row r="2725">
      <c r="I2725">
        <f>IFERROR(SUMIF(A$6:A2725,"&lt;&gt;""",G$6:G2725)-SUMIF(A$6:A2725,"&lt;&gt;""",H$6:H2725),"")</f>
        <v/>
      </c>
    </row>
    <row r="2726">
      <c r="I2726">
        <f>IFERROR(SUMIF(A$6:A2726,"&lt;&gt;""",G$6:G2726)-SUMIF(A$6:A2726,"&lt;&gt;""",H$6:H2726),"")</f>
        <v/>
      </c>
    </row>
    <row r="2727">
      <c r="I2727">
        <f>IFERROR(SUMIF(A$6:A2727,"&lt;&gt;""",G$6:G2727)-SUMIF(A$6:A2727,"&lt;&gt;""",H$6:H2727),"")</f>
        <v/>
      </c>
    </row>
    <row r="2728">
      <c r="I2728">
        <f>IFERROR(SUMIF(A$6:A2728,"&lt;&gt;""",G$6:G2728)-SUMIF(A$6:A2728,"&lt;&gt;""",H$6:H2728),"")</f>
        <v/>
      </c>
    </row>
    <row r="2729">
      <c r="I2729">
        <f>IFERROR(SUMIF(A$6:A2729,"&lt;&gt;""",G$6:G2729)-SUMIF(A$6:A2729,"&lt;&gt;""",H$6:H2729),"")</f>
        <v/>
      </c>
    </row>
    <row r="2730">
      <c r="I2730">
        <f>IFERROR(SUMIF(A$6:A2730,"&lt;&gt;""",G$6:G2730)-SUMIF(A$6:A2730,"&lt;&gt;""",H$6:H2730),"")</f>
        <v/>
      </c>
    </row>
    <row r="2731">
      <c r="I2731">
        <f>IFERROR(SUMIF(A$6:A2731,"&lt;&gt;""",G$6:G2731)-SUMIF(A$6:A2731,"&lt;&gt;""",H$6:H2731),"")</f>
        <v/>
      </c>
    </row>
    <row r="2732">
      <c r="I2732">
        <f>IFERROR(SUMIF(A$6:A2732,"&lt;&gt;""",G$6:G2732)-SUMIF(A$6:A2732,"&lt;&gt;""",H$6:H2732),"")</f>
        <v/>
      </c>
    </row>
    <row r="2733">
      <c r="I2733">
        <f>IFERROR(SUMIF(A$6:A2733,"&lt;&gt;""",G$6:G2733)-SUMIF(A$6:A2733,"&lt;&gt;""",H$6:H2733),"")</f>
        <v/>
      </c>
    </row>
    <row r="2734">
      <c r="I2734">
        <f>IFERROR(SUMIF(A$6:A2734,"&lt;&gt;""",G$6:G2734)-SUMIF(A$6:A2734,"&lt;&gt;""",H$6:H2734),"")</f>
        <v/>
      </c>
    </row>
    <row r="2735">
      <c r="I2735">
        <f>IFERROR(SUMIF(A$6:A2735,"&lt;&gt;""",G$6:G2735)-SUMIF(A$6:A2735,"&lt;&gt;""",H$6:H2735),"")</f>
        <v/>
      </c>
    </row>
    <row r="2736">
      <c r="I2736">
        <f>IFERROR(SUMIF(A$6:A2736,"&lt;&gt;""",G$6:G2736)-SUMIF(A$6:A2736,"&lt;&gt;""",H$6:H2736),"")</f>
        <v/>
      </c>
    </row>
    <row r="2737">
      <c r="I2737">
        <f>IFERROR(SUMIF(A$6:A2737,"&lt;&gt;""",G$6:G2737)-SUMIF(A$6:A2737,"&lt;&gt;""",H$6:H2737),"")</f>
        <v/>
      </c>
    </row>
    <row r="2738">
      <c r="I2738">
        <f>IFERROR(SUMIF(A$6:A2738,"&lt;&gt;""",G$6:G2738)-SUMIF(A$6:A2738,"&lt;&gt;""",H$6:H2738),"")</f>
        <v/>
      </c>
    </row>
    <row r="2739">
      <c r="I2739">
        <f>IFERROR(SUMIF(A$6:A2739,"&lt;&gt;""",G$6:G2739)-SUMIF(A$6:A2739,"&lt;&gt;""",H$6:H2739),"")</f>
        <v/>
      </c>
    </row>
    <row r="2740">
      <c r="I2740">
        <f>IFERROR(SUMIF(A$6:A2740,"&lt;&gt;""",G$6:G2740)-SUMIF(A$6:A2740,"&lt;&gt;""",H$6:H2740),"")</f>
        <v/>
      </c>
    </row>
    <row r="2741">
      <c r="I2741">
        <f>IFERROR(SUMIF(A$6:A2741,"&lt;&gt;""",G$6:G2741)-SUMIF(A$6:A2741,"&lt;&gt;""",H$6:H2741),"")</f>
        <v/>
      </c>
    </row>
    <row r="2742">
      <c r="I2742">
        <f>IFERROR(SUMIF(A$6:A2742,"&lt;&gt;""",G$6:G2742)-SUMIF(A$6:A2742,"&lt;&gt;""",H$6:H2742),"")</f>
        <v/>
      </c>
    </row>
    <row r="2743">
      <c r="I2743">
        <f>IFERROR(SUMIF(A$6:A2743,"&lt;&gt;""",G$6:G2743)-SUMIF(A$6:A2743,"&lt;&gt;""",H$6:H2743),"")</f>
        <v/>
      </c>
    </row>
    <row r="2744">
      <c r="I2744">
        <f>IFERROR(SUMIF(A$6:A2744,"&lt;&gt;""",G$6:G2744)-SUMIF(A$6:A2744,"&lt;&gt;""",H$6:H2744),"")</f>
        <v/>
      </c>
    </row>
    <row r="2745">
      <c r="I2745">
        <f>IFERROR(SUMIF(A$6:A2745,"&lt;&gt;""",G$6:G2745)-SUMIF(A$6:A2745,"&lt;&gt;""",H$6:H2745),"")</f>
        <v/>
      </c>
    </row>
    <row r="2746">
      <c r="I2746">
        <f>IFERROR(SUMIF(A$6:A2746,"&lt;&gt;""",G$6:G2746)-SUMIF(A$6:A2746,"&lt;&gt;""",H$6:H2746),"")</f>
        <v/>
      </c>
    </row>
    <row r="2747">
      <c r="I2747">
        <f>IFERROR(SUMIF(A$6:A2747,"&lt;&gt;""",G$6:G2747)-SUMIF(A$6:A2747,"&lt;&gt;""",H$6:H2747),"")</f>
        <v/>
      </c>
    </row>
    <row r="2748">
      <c r="I2748">
        <f>IFERROR(SUMIF(A$6:A2748,"&lt;&gt;""",G$6:G2748)-SUMIF(A$6:A2748,"&lt;&gt;""",H$6:H2748),"")</f>
        <v/>
      </c>
    </row>
    <row r="2749">
      <c r="I2749">
        <f>IFERROR(SUMIF(A$6:A2749,"&lt;&gt;""",G$6:G2749)-SUMIF(A$6:A2749,"&lt;&gt;""",H$6:H2749),"")</f>
        <v/>
      </c>
    </row>
    <row r="2750">
      <c r="I2750">
        <f>IFERROR(SUMIF(A$6:A2750,"&lt;&gt;""",G$6:G2750)-SUMIF(A$6:A2750,"&lt;&gt;""",H$6:H2750),"")</f>
        <v/>
      </c>
    </row>
    <row r="2751">
      <c r="I2751">
        <f>IFERROR(SUMIF(A$6:A2751,"&lt;&gt;""",G$6:G2751)-SUMIF(A$6:A2751,"&lt;&gt;""",H$6:H2751),"")</f>
        <v/>
      </c>
    </row>
    <row r="2752">
      <c r="I2752">
        <f>IFERROR(SUMIF(A$6:A2752,"&lt;&gt;""",G$6:G2752)-SUMIF(A$6:A2752,"&lt;&gt;""",H$6:H2752),"")</f>
        <v/>
      </c>
    </row>
    <row r="2753">
      <c r="I2753">
        <f>IFERROR(SUMIF(A$6:A2753,"&lt;&gt;""",G$6:G2753)-SUMIF(A$6:A2753,"&lt;&gt;""",H$6:H2753),"")</f>
        <v/>
      </c>
    </row>
    <row r="2754">
      <c r="I2754">
        <f>IFERROR(SUMIF(A$6:A2754,"&lt;&gt;""",G$6:G2754)-SUMIF(A$6:A2754,"&lt;&gt;""",H$6:H2754),"")</f>
        <v/>
      </c>
    </row>
    <row r="2755">
      <c r="I2755">
        <f>IFERROR(SUMIF(A$6:A2755,"&lt;&gt;""",G$6:G2755)-SUMIF(A$6:A2755,"&lt;&gt;""",H$6:H2755),"")</f>
        <v/>
      </c>
    </row>
    <row r="2756">
      <c r="I2756">
        <f>IFERROR(SUMIF(A$6:A2756,"&lt;&gt;""",G$6:G2756)-SUMIF(A$6:A2756,"&lt;&gt;""",H$6:H2756),"")</f>
        <v/>
      </c>
    </row>
    <row r="2757">
      <c r="I2757">
        <f>IFERROR(SUMIF(A$6:A2757,"&lt;&gt;""",G$6:G2757)-SUMIF(A$6:A2757,"&lt;&gt;""",H$6:H2757),"")</f>
        <v/>
      </c>
    </row>
    <row r="2758">
      <c r="I2758">
        <f>IFERROR(SUMIF(A$6:A2758,"&lt;&gt;""",G$6:G2758)-SUMIF(A$6:A2758,"&lt;&gt;""",H$6:H2758),"")</f>
        <v/>
      </c>
    </row>
    <row r="2759">
      <c r="I2759">
        <f>IFERROR(SUMIF(A$6:A2759,"&lt;&gt;""",G$6:G2759)-SUMIF(A$6:A2759,"&lt;&gt;""",H$6:H2759),"")</f>
        <v/>
      </c>
    </row>
    <row r="2760">
      <c r="I2760">
        <f>IFERROR(SUMIF(A$6:A2760,"&lt;&gt;""",G$6:G2760)-SUMIF(A$6:A2760,"&lt;&gt;""",H$6:H2760),"")</f>
        <v/>
      </c>
    </row>
    <row r="2761">
      <c r="I2761">
        <f>IFERROR(SUMIF(A$6:A2761,"&lt;&gt;""",G$6:G2761)-SUMIF(A$6:A2761,"&lt;&gt;""",H$6:H2761),"")</f>
        <v/>
      </c>
    </row>
    <row r="2762">
      <c r="I2762">
        <f>IFERROR(SUMIF(A$6:A2762,"&lt;&gt;""",G$6:G2762)-SUMIF(A$6:A2762,"&lt;&gt;""",H$6:H2762),"")</f>
        <v/>
      </c>
    </row>
    <row r="2763">
      <c r="I2763">
        <f>IFERROR(SUMIF(A$6:A2763,"&lt;&gt;""",G$6:G2763)-SUMIF(A$6:A2763,"&lt;&gt;""",H$6:H2763),"")</f>
        <v/>
      </c>
    </row>
    <row r="2764">
      <c r="I2764">
        <f>IFERROR(SUMIF(A$6:A2764,"&lt;&gt;""",G$6:G2764)-SUMIF(A$6:A2764,"&lt;&gt;""",H$6:H2764),"")</f>
        <v/>
      </c>
    </row>
    <row r="2765">
      <c r="I2765">
        <f>IFERROR(SUMIF(A$6:A2765,"&lt;&gt;""",G$6:G2765)-SUMIF(A$6:A2765,"&lt;&gt;""",H$6:H2765),"")</f>
        <v/>
      </c>
    </row>
    <row r="2766">
      <c r="I2766">
        <f>IFERROR(SUMIF(A$6:A2766,"&lt;&gt;""",G$6:G2766)-SUMIF(A$6:A2766,"&lt;&gt;""",H$6:H2766),"")</f>
        <v/>
      </c>
    </row>
    <row r="2767">
      <c r="I2767">
        <f>IFERROR(SUMIF(A$6:A2767,"&lt;&gt;""",G$6:G2767)-SUMIF(A$6:A2767,"&lt;&gt;""",H$6:H2767),"")</f>
        <v/>
      </c>
    </row>
    <row r="2768">
      <c r="I2768">
        <f>IFERROR(SUMIF(A$6:A2768,"&lt;&gt;""",G$6:G2768)-SUMIF(A$6:A2768,"&lt;&gt;""",H$6:H2768),"")</f>
        <v/>
      </c>
    </row>
    <row r="2769">
      <c r="I2769">
        <f>IFERROR(SUMIF(A$6:A2769,"&lt;&gt;""",G$6:G2769)-SUMIF(A$6:A2769,"&lt;&gt;""",H$6:H2769),"")</f>
        <v/>
      </c>
    </row>
    <row r="2770">
      <c r="I2770">
        <f>IFERROR(SUMIF(A$6:A2770,"&lt;&gt;""",G$6:G2770)-SUMIF(A$6:A2770,"&lt;&gt;""",H$6:H2770),"")</f>
        <v/>
      </c>
    </row>
    <row r="2771">
      <c r="I2771">
        <f>IFERROR(SUMIF(A$6:A2771,"&lt;&gt;""",G$6:G2771)-SUMIF(A$6:A2771,"&lt;&gt;""",H$6:H2771),"")</f>
        <v/>
      </c>
    </row>
    <row r="2772">
      <c r="I2772">
        <f>IFERROR(SUMIF(A$6:A2772,"&lt;&gt;""",G$6:G2772)-SUMIF(A$6:A2772,"&lt;&gt;""",H$6:H2772),"")</f>
        <v/>
      </c>
    </row>
    <row r="2773">
      <c r="I2773">
        <f>IFERROR(SUMIF(A$6:A2773,"&lt;&gt;""",G$6:G2773)-SUMIF(A$6:A2773,"&lt;&gt;""",H$6:H2773),"")</f>
        <v/>
      </c>
    </row>
    <row r="2774">
      <c r="I2774">
        <f>IFERROR(SUMIF(A$6:A2774,"&lt;&gt;""",G$6:G2774)-SUMIF(A$6:A2774,"&lt;&gt;""",H$6:H2774),"")</f>
        <v/>
      </c>
    </row>
    <row r="2775">
      <c r="I2775">
        <f>IFERROR(SUMIF(A$6:A2775,"&lt;&gt;""",G$6:G2775)-SUMIF(A$6:A2775,"&lt;&gt;""",H$6:H2775),"")</f>
        <v/>
      </c>
    </row>
    <row r="2776">
      <c r="I2776">
        <f>IFERROR(SUMIF(A$6:A2776,"&lt;&gt;""",G$6:G2776)-SUMIF(A$6:A2776,"&lt;&gt;""",H$6:H2776),"")</f>
        <v/>
      </c>
    </row>
    <row r="2777">
      <c r="I2777">
        <f>IFERROR(SUMIF(A$6:A2777,"&lt;&gt;""",G$6:G2777)-SUMIF(A$6:A2777,"&lt;&gt;""",H$6:H2777),"")</f>
        <v/>
      </c>
    </row>
    <row r="2778">
      <c r="I2778">
        <f>IFERROR(SUMIF(A$6:A2778,"&lt;&gt;""",G$6:G2778)-SUMIF(A$6:A2778,"&lt;&gt;""",H$6:H2778),"")</f>
        <v/>
      </c>
    </row>
    <row r="2779">
      <c r="I2779">
        <f>IFERROR(SUMIF(A$6:A2779,"&lt;&gt;""",G$6:G2779)-SUMIF(A$6:A2779,"&lt;&gt;""",H$6:H2779),"")</f>
        <v/>
      </c>
    </row>
    <row r="2780">
      <c r="I2780">
        <f>IFERROR(SUMIF(A$6:A2780,"&lt;&gt;""",G$6:G2780)-SUMIF(A$6:A2780,"&lt;&gt;""",H$6:H2780),"")</f>
        <v/>
      </c>
    </row>
    <row r="2781">
      <c r="I2781">
        <f>IFERROR(SUMIF(A$6:A2781,"&lt;&gt;""",G$6:G2781)-SUMIF(A$6:A2781,"&lt;&gt;""",H$6:H2781),"")</f>
        <v/>
      </c>
    </row>
    <row r="2782">
      <c r="I2782">
        <f>IFERROR(SUMIF(A$6:A2782,"&lt;&gt;""",G$6:G2782)-SUMIF(A$6:A2782,"&lt;&gt;""",H$6:H2782),"")</f>
        <v/>
      </c>
    </row>
    <row r="2783">
      <c r="I2783">
        <f>IFERROR(SUMIF(A$6:A2783,"&lt;&gt;""",G$6:G2783)-SUMIF(A$6:A2783,"&lt;&gt;""",H$6:H2783),"")</f>
        <v/>
      </c>
    </row>
    <row r="2784">
      <c r="I2784">
        <f>IFERROR(SUMIF(A$6:A2784,"&lt;&gt;""",G$6:G2784)-SUMIF(A$6:A2784,"&lt;&gt;""",H$6:H2784),"")</f>
        <v/>
      </c>
    </row>
    <row r="2785">
      <c r="I2785">
        <f>IFERROR(SUMIF(A$6:A2785,"&lt;&gt;""",G$6:G2785)-SUMIF(A$6:A2785,"&lt;&gt;""",H$6:H2785),"")</f>
        <v/>
      </c>
    </row>
    <row r="2786">
      <c r="I2786">
        <f>IFERROR(SUMIF(A$6:A2786,"&lt;&gt;""",G$6:G2786)-SUMIF(A$6:A2786,"&lt;&gt;""",H$6:H2786),"")</f>
        <v/>
      </c>
    </row>
    <row r="2787">
      <c r="I2787">
        <f>IFERROR(SUMIF(A$6:A2787,"&lt;&gt;""",G$6:G2787)-SUMIF(A$6:A2787,"&lt;&gt;""",H$6:H2787),"")</f>
        <v/>
      </c>
    </row>
    <row r="2788">
      <c r="I2788">
        <f>IFERROR(SUMIF(A$6:A2788,"&lt;&gt;""",G$6:G2788)-SUMIF(A$6:A2788,"&lt;&gt;""",H$6:H2788),"")</f>
        <v/>
      </c>
    </row>
    <row r="2789">
      <c r="I2789">
        <f>IFERROR(SUMIF(A$6:A2789,"&lt;&gt;""",G$6:G2789)-SUMIF(A$6:A2789,"&lt;&gt;""",H$6:H2789),"")</f>
        <v/>
      </c>
    </row>
    <row r="2790">
      <c r="I2790">
        <f>IFERROR(SUMIF(A$6:A2790,"&lt;&gt;""",G$6:G2790)-SUMIF(A$6:A2790,"&lt;&gt;""",H$6:H2790),"")</f>
        <v/>
      </c>
    </row>
    <row r="2791">
      <c r="I2791">
        <f>IFERROR(SUMIF(A$6:A2791,"&lt;&gt;""",G$6:G2791)-SUMIF(A$6:A2791,"&lt;&gt;""",H$6:H2791),"")</f>
        <v/>
      </c>
    </row>
    <row r="2792">
      <c r="I2792">
        <f>IFERROR(SUMIF(A$6:A2792,"&lt;&gt;""",G$6:G2792)-SUMIF(A$6:A2792,"&lt;&gt;""",H$6:H2792),"")</f>
        <v/>
      </c>
    </row>
    <row r="2793">
      <c r="I2793">
        <f>IFERROR(SUMIF(A$6:A2793,"&lt;&gt;""",G$6:G2793)-SUMIF(A$6:A2793,"&lt;&gt;""",H$6:H2793),"")</f>
        <v/>
      </c>
    </row>
    <row r="2794">
      <c r="I2794">
        <f>IFERROR(SUMIF(A$6:A2794,"&lt;&gt;""",G$6:G2794)-SUMIF(A$6:A2794,"&lt;&gt;""",H$6:H2794),"")</f>
        <v/>
      </c>
    </row>
    <row r="2795">
      <c r="I2795">
        <f>IFERROR(SUMIF(A$6:A2795,"&lt;&gt;""",G$6:G2795)-SUMIF(A$6:A2795,"&lt;&gt;""",H$6:H2795),"")</f>
        <v/>
      </c>
    </row>
    <row r="2796">
      <c r="I2796">
        <f>IFERROR(SUMIF(A$6:A2796,"&lt;&gt;""",G$6:G2796)-SUMIF(A$6:A2796,"&lt;&gt;""",H$6:H2796),"")</f>
        <v/>
      </c>
    </row>
    <row r="2797">
      <c r="I2797">
        <f>IFERROR(SUMIF(A$6:A2797,"&lt;&gt;""",G$6:G2797)-SUMIF(A$6:A2797,"&lt;&gt;""",H$6:H2797),"")</f>
        <v/>
      </c>
    </row>
    <row r="2798">
      <c r="I2798">
        <f>IFERROR(SUMIF(A$6:A2798,"&lt;&gt;""",G$6:G2798)-SUMIF(A$6:A2798,"&lt;&gt;""",H$6:H2798),"")</f>
        <v/>
      </c>
    </row>
    <row r="2799">
      <c r="I2799">
        <f>IFERROR(SUMIF(A$6:A2799,"&lt;&gt;""",G$6:G2799)-SUMIF(A$6:A2799,"&lt;&gt;""",H$6:H2799),"")</f>
        <v/>
      </c>
    </row>
    <row r="2800">
      <c r="I2800">
        <f>IFERROR(SUMIF(A$6:A2800,"&lt;&gt;""",G$6:G2800)-SUMIF(A$6:A2800,"&lt;&gt;""",H$6:H2800),"")</f>
        <v/>
      </c>
    </row>
    <row r="2801">
      <c r="I2801">
        <f>IFERROR(SUMIF(A$6:A2801,"&lt;&gt;""",G$6:G2801)-SUMIF(A$6:A2801,"&lt;&gt;""",H$6:H2801),"")</f>
        <v/>
      </c>
    </row>
    <row r="2802">
      <c r="I2802">
        <f>IFERROR(SUMIF(A$6:A2802,"&lt;&gt;""",G$6:G2802)-SUMIF(A$6:A2802,"&lt;&gt;""",H$6:H2802),"")</f>
        <v/>
      </c>
    </row>
    <row r="2803">
      <c r="I2803">
        <f>IFERROR(SUMIF(A$6:A2803,"&lt;&gt;""",G$6:G2803)-SUMIF(A$6:A2803,"&lt;&gt;""",H$6:H2803),"")</f>
        <v/>
      </c>
    </row>
    <row r="2804">
      <c r="I2804">
        <f>IFERROR(SUMIF(A$6:A2804,"&lt;&gt;""",G$6:G2804)-SUMIF(A$6:A2804,"&lt;&gt;""",H$6:H2804),"")</f>
        <v/>
      </c>
    </row>
    <row r="2805">
      <c r="I2805">
        <f>IFERROR(SUMIF(A$6:A2805,"&lt;&gt;""",G$6:G2805)-SUMIF(A$6:A2805,"&lt;&gt;""",H$6:H2805),"")</f>
        <v/>
      </c>
    </row>
    <row r="2806">
      <c r="I2806">
        <f>IFERROR(SUMIF(A$6:A2806,"&lt;&gt;""",G$6:G2806)-SUMIF(A$6:A2806,"&lt;&gt;""",H$6:H2806),"")</f>
        <v/>
      </c>
    </row>
    <row r="2807">
      <c r="I2807">
        <f>IFERROR(SUMIF(A$6:A2807,"&lt;&gt;""",G$6:G2807)-SUMIF(A$6:A2807,"&lt;&gt;""",H$6:H2807),"")</f>
        <v/>
      </c>
    </row>
    <row r="2808">
      <c r="I2808">
        <f>IFERROR(SUMIF(A$6:A2808,"&lt;&gt;""",G$6:G2808)-SUMIF(A$6:A2808,"&lt;&gt;""",H$6:H2808),"")</f>
        <v/>
      </c>
    </row>
    <row r="2809">
      <c r="I2809">
        <f>IFERROR(SUMIF(A$6:A2809,"&lt;&gt;""",G$6:G2809)-SUMIF(A$6:A2809,"&lt;&gt;""",H$6:H2809),"")</f>
        <v/>
      </c>
    </row>
    <row r="2810">
      <c r="I2810">
        <f>IFERROR(SUMIF(A$6:A2810,"&lt;&gt;""",G$6:G2810)-SUMIF(A$6:A2810,"&lt;&gt;""",H$6:H2810),"")</f>
        <v/>
      </c>
    </row>
    <row r="2811">
      <c r="I2811">
        <f>IFERROR(SUMIF(A$6:A2811,"&lt;&gt;""",G$6:G2811)-SUMIF(A$6:A2811,"&lt;&gt;""",H$6:H2811),"")</f>
        <v/>
      </c>
    </row>
    <row r="2812">
      <c r="I2812">
        <f>IFERROR(SUMIF(A$6:A2812,"&lt;&gt;""",G$6:G2812)-SUMIF(A$6:A2812,"&lt;&gt;""",H$6:H2812),"")</f>
        <v/>
      </c>
    </row>
    <row r="2813">
      <c r="I2813">
        <f>IFERROR(SUMIF(A$6:A2813,"&lt;&gt;""",G$6:G2813)-SUMIF(A$6:A2813,"&lt;&gt;""",H$6:H2813),"")</f>
        <v/>
      </c>
    </row>
    <row r="2814">
      <c r="I2814">
        <f>IFERROR(SUMIF(A$6:A2814,"&lt;&gt;""",G$6:G2814)-SUMIF(A$6:A2814,"&lt;&gt;""",H$6:H2814),"")</f>
        <v/>
      </c>
    </row>
    <row r="2815">
      <c r="I2815">
        <f>IFERROR(SUMIF(A$6:A2815,"&lt;&gt;""",G$6:G2815)-SUMIF(A$6:A2815,"&lt;&gt;""",H$6:H2815),"")</f>
        <v/>
      </c>
    </row>
    <row r="2816">
      <c r="I2816">
        <f>IFERROR(SUMIF(A$6:A2816,"&lt;&gt;""",G$6:G2816)-SUMIF(A$6:A2816,"&lt;&gt;""",H$6:H2816),"")</f>
        <v/>
      </c>
    </row>
    <row r="2817">
      <c r="I2817">
        <f>IFERROR(SUMIF(A$6:A2817,"&lt;&gt;""",G$6:G2817)-SUMIF(A$6:A2817,"&lt;&gt;""",H$6:H2817),"")</f>
        <v/>
      </c>
    </row>
    <row r="2818">
      <c r="I2818">
        <f>IFERROR(SUMIF(A$6:A2818,"&lt;&gt;""",G$6:G2818)-SUMIF(A$6:A2818,"&lt;&gt;""",H$6:H2818),"")</f>
        <v/>
      </c>
    </row>
    <row r="2819">
      <c r="I2819">
        <f>IFERROR(SUMIF(A$6:A2819,"&lt;&gt;""",G$6:G2819)-SUMIF(A$6:A2819,"&lt;&gt;""",H$6:H2819),"")</f>
        <v/>
      </c>
    </row>
    <row r="2820">
      <c r="I2820">
        <f>IFERROR(SUMIF(A$6:A2820,"&lt;&gt;""",G$6:G2820)-SUMIF(A$6:A2820,"&lt;&gt;""",H$6:H2820),"")</f>
        <v/>
      </c>
    </row>
    <row r="2821">
      <c r="I2821">
        <f>IFERROR(SUMIF(A$6:A2821,"&lt;&gt;""",G$6:G2821)-SUMIF(A$6:A2821,"&lt;&gt;""",H$6:H2821),"")</f>
        <v/>
      </c>
    </row>
    <row r="2822">
      <c r="I2822">
        <f>IFERROR(SUMIF(A$6:A2822,"&lt;&gt;""",G$6:G2822)-SUMIF(A$6:A2822,"&lt;&gt;""",H$6:H2822),"")</f>
        <v/>
      </c>
    </row>
    <row r="2823">
      <c r="I2823">
        <f>IFERROR(SUMIF(A$6:A2823,"&lt;&gt;""",G$6:G2823)-SUMIF(A$6:A2823,"&lt;&gt;""",H$6:H2823),"")</f>
        <v/>
      </c>
    </row>
    <row r="2824">
      <c r="I2824">
        <f>IFERROR(SUMIF(A$6:A2824,"&lt;&gt;""",G$6:G2824)-SUMIF(A$6:A2824,"&lt;&gt;""",H$6:H2824),"")</f>
        <v/>
      </c>
    </row>
    <row r="2825">
      <c r="I2825">
        <f>IFERROR(SUMIF(A$6:A2825,"&lt;&gt;""",G$6:G2825)-SUMIF(A$6:A2825,"&lt;&gt;""",H$6:H2825),"")</f>
        <v/>
      </c>
    </row>
    <row r="2826">
      <c r="I2826">
        <f>IFERROR(SUMIF(A$6:A2826,"&lt;&gt;""",G$6:G2826)-SUMIF(A$6:A2826,"&lt;&gt;""",H$6:H2826),"")</f>
        <v/>
      </c>
    </row>
    <row r="2827">
      <c r="I2827">
        <f>IFERROR(SUMIF(A$6:A2827,"&lt;&gt;""",G$6:G2827)-SUMIF(A$6:A2827,"&lt;&gt;""",H$6:H2827),"")</f>
        <v/>
      </c>
    </row>
    <row r="2828">
      <c r="I2828">
        <f>IFERROR(SUMIF(A$6:A2828,"&lt;&gt;""",G$6:G2828)-SUMIF(A$6:A2828,"&lt;&gt;""",H$6:H2828),"")</f>
        <v/>
      </c>
    </row>
    <row r="2829">
      <c r="I2829">
        <f>IFERROR(SUMIF(A$6:A2829,"&lt;&gt;""",G$6:G2829)-SUMIF(A$6:A2829,"&lt;&gt;""",H$6:H2829),"")</f>
        <v/>
      </c>
    </row>
    <row r="2830">
      <c r="I2830">
        <f>IFERROR(SUMIF(A$6:A2830,"&lt;&gt;""",G$6:G2830)-SUMIF(A$6:A2830,"&lt;&gt;""",H$6:H2830),"")</f>
        <v/>
      </c>
    </row>
    <row r="2831">
      <c r="I2831">
        <f>IFERROR(SUMIF(A$6:A2831,"&lt;&gt;""",G$6:G2831)-SUMIF(A$6:A2831,"&lt;&gt;""",H$6:H2831),"")</f>
        <v/>
      </c>
    </row>
    <row r="2832">
      <c r="I2832">
        <f>IFERROR(SUMIF(A$6:A2832,"&lt;&gt;""",G$6:G2832)-SUMIF(A$6:A2832,"&lt;&gt;""",H$6:H2832),"")</f>
        <v/>
      </c>
    </row>
    <row r="2833">
      <c r="I2833">
        <f>IFERROR(SUMIF(A$6:A2833,"&lt;&gt;""",G$6:G2833)-SUMIF(A$6:A2833,"&lt;&gt;""",H$6:H2833),"")</f>
        <v/>
      </c>
    </row>
    <row r="2834">
      <c r="I2834">
        <f>IFERROR(SUMIF(A$6:A2834,"&lt;&gt;""",G$6:G2834)-SUMIF(A$6:A2834,"&lt;&gt;""",H$6:H2834),"")</f>
        <v/>
      </c>
    </row>
    <row r="2835">
      <c r="I2835">
        <f>IFERROR(SUMIF(A$6:A2835,"&lt;&gt;""",G$6:G2835)-SUMIF(A$6:A2835,"&lt;&gt;""",H$6:H2835),"")</f>
        <v/>
      </c>
    </row>
    <row r="2836">
      <c r="I2836">
        <f>IFERROR(SUMIF(A$6:A2836,"&lt;&gt;""",G$6:G2836)-SUMIF(A$6:A2836,"&lt;&gt;""",H$6:H2836),"")</f>
        <v/>
      </c>
    </row>
    <row r="2837">
      <c r="I2837">
        <f>IFERROR(SUMIF(A$6:A2837,"&lt;&gt;""",G$6:G2837)-SUMIF(A$6:A2837,"&lt;&gt;""",H$6:H2837),"")</f>
        <v/>
      </c>
    </row>
    <row r="2838">
      <c r="I2838">
        <f>IFERROR(SUMIF(A$6:A2838,"&lt;&gt;""",G$6:G2838)-SUMIF(A$6:A2838,"&lt;&gt;""",H$6:H2838),"")</f>
        <v/>
      </c>
    </row>
    <row r="2839">
      <c r="I2839">
        <f>IFERROR(SUMIF(A$6:A2839,"&lt;&gt;""",G$6:G2839)-SUMIF(A$6:A2839,"&lt;&gt;""",H$6:H2839),"")</f>
        <v/>
      </c>
    </row>
    <row r="2840">
      <c r="I2840">
        <f>IFERROR(SUMIF(A$6:A2840,"&lt;&gt;""",G$6:G2840)-SUMIF(A$6:A2840,"&lt;&gt;""",H$6:H2840),"")</f>
        <v/>
      </c>
    </row>
    <row r="2841">
      <c r="I2841">
        <f>IFERROR(SUMIF(A$6:A2841,"&lt;&gt;""",G$6:G2841)-SUMIF(A$6:A2841,"&lt;&gt;""",H$6:H2841),"")</f>
        <v/>
      </c>
    </row>
    <row r="2842">
      <c r="I2842">
        <f>IFERROR(SUMIF(A$6:A2842,"&lt;&gt;""",G$6:G2842)-SUMIF(A$6:A2842,"&lt;&gt;""",H$6:H2842),"")</f>
        <v/>
      </c>
    </row>
    <row r="2843">
      <c r="I2843">
        <f>IFERROR(SUMIF(A$6:A2843,"&lt;&gt;""",G$6:G2843)-SUMIF(A$6:A2843,"&lt;&gt;""",H$6:H2843),"")</f>
        <v/>
      </c>
    </row>
    <row r="2844">
      <c r="I2844">
        <f>IFERROR(SUMIF(A$6:A2844,"&lt;&gt;""",G$6:G2844)-SUMIF(A$6:A2844,"&lt;&gt;""",H$6:H2844),"")</f>
        <v/>
      </c>
    </row>
    <row r="2845">
      <c r="I2845">
        <f>IFERROR(SUMIF(A$6:A2845,"&lt;&gt;""",G$6:G2845)-SUMIF(A$6:A2845,"&lt;&gt;""",H$6:H2845),"")</f>
        <v/>
      </c>
    </row>
    <row r="2846">
      <c r="I2846">
        <f>IFERROR(SUMIF(A$6:A2846,"&lt;&gt;""",G$6:G2846)-SUMIF(A$6:A2846,"&lt;&gt;""",H$6:H2846),"")</f>
        <v/>
      </c>
    </row>
    <row r="2847">
      <c r="I2847">
        <f>IFERROR(SUMIF(A$6:A2847,"&lt;&gt;""",G$6:G2847)-SUMIF(A$6:A2847,"&lt;&gt;""",H$6:H2847),"")</f>
        <v/>
      </c>
    </row>
    <row r="2848">
      <c r="I2848">
        <f>IFERROR(SUMIF(A$6:A2848,"&lt;&gt;""",G$6:G2848)-SUMIF(A$6:A2848,"&lt;&gt;""",H$6:H2848),"")</f>
        <v/>
      </c>
    </row>
    <row r="2849">
      <c r="I2849">
        <f>IFERROR(SUMIF(A$6:A2849,"&lt;&gt;""",G$6:G2849)-SUMIF(A$6:A2849,"&lt;&gt;""",H$6:H2849),"")</f>
        <v/>
      </c>
    </row>
    <row r="2850">
      <c r="I2850">
        <f>IFERROR(SUMIF(A$6:A2850,"&lt;&gt;""",G$6:G2850)-SUMIF(A$6:A2850,"&lt;&gt;""",H$6:H2850),"")</f>
        <v/>
      </c>
    </row>
    <row r="2851">
      <c r="I2851">
        <f>IFERROR(SUMIF(A$6:A2851,"&lt;&gt;""",G$6:G2851)-SUMIF(A$6:A2851,"&lt;&gt;""",H$6:H2851),"")</f>
        <v/>
      </c>
    </row>
    <row r="2852">
      <c r="I2852">
        <f>IFERROR(SUMIF(A$6:A2852,"&lt;&gt;""",G$6:G2852)-SUMIF(A$6:A2852,"&lt;&gt;""",H$6:H2852),"")</f>
        <v/>
      </c>
    </row>
    <row r="2853">
      <c r="I2853">
        <f>IFERROR(SUMIF(A$6:A2853,"&lt;&gt;""",G$6:G2853)-SUMIF(A$6:A2853,"&lt;&gt;""",H$6:H2853),"")</f>
        <v/>
      </c>
    </row>
    <row r="2854">
      <c r="I2854">
        <f>IFERROR(SUMIF(A$6:A2854,"&lt;&gt;""",G$6:G2854)-SUMIF(A$6:A2854,"&lt;&gt;""",H$6:H2854),"")</f>
        <v/>
      </c>
    </row>
    <row r="2855">
      <c r="I2855">
        <f>IFERROR(SUMIF(A$6:A2855,"&lt;&gt;""",G$6:G2855)-SUMIF(A$6:A2855,"&lt;&gt;""",H$6:H2855),"")</f>
        <v/>
      </c>
    </row>
    <row r="2856">
      <c r="I2856">
        <f>IFERROR(SUMIF(A$6:A2856,"&lt;&gt;""",G$6:G2856)-SUMIF(A$6:A2856,"&lt;&gt;""",H$6:H2856),"")</f>
        <v/>
      </c>
    </row>
    <row r="2857">
      <c r="I2857">
        <f>IFERROR(SUMIF(A$6:A2857,"&lt;&gt;""",G$6:G2857)-SUMIF(A$6:A2857,"&lt;&gt;""",H$6:H2857),"")</f>
        <v/>
      </c>
    </row>
    <row r="2858">
      <c r="I2858">
        <f>IFERROR(SUMIF(A$6:A2858,"&lt;&gt;""",G$6:G2858)-SUMIF(A$6:A2858,"&lt;&gt;""",H$6:H2858),"")</f>
        <v/>
      </c>
    </row>
    <row r="2859">
      <c r="I2859">
        <f>IFERROR(SUMIF(A$6:A2859,"&lt;&gt;""",G$6:G2859)-SUMIF(A$6:A2859,"&lt;&gt;""",H$6:H2859),"")</f>
        <v/>
      </c>
    </row>
    <row r="2860">
      <c r="I2860">
        <f>IFERROR(SUMIF(A$6:A2860,"&lt;&gt;""",G$6:G2860)-SUMIF(A$6:A2860,"&lt;&gt;""",H$6:H2860),"")</f>
        <v/>
      </c>
    </row>
    <row r="2861">
      <c r="I2861">
        <f>IFERROR(SUMIF(A$6:A2861,"&lt;&gt;""",G$6:G2861)-SUMIF(A$6:A2861,"&lt;&gt;""",H$6:H2861),"")</f>
        <v/>
      </c>
    </row>
    <row r="2862">
      <c r="I2862">
        <f>IFERROR(SUMIF(A$6:A2862,"&lt;&gt;""",G$6:G2862)-SUMIF(A$6:A2862,"&lt;&gt;""",H$6:H2862),"")</f>
        <v/>
      </c>
    </row>
    <row r="2863">
      <c r="I2863">
        <f>IFERROR(SUMIF(A$6:A2863,"&lt;&gt;""",G$6:G2863)-SUMIF(A$6:A2863,"&lt;&gt;""",H$6:H2863),"")</f>
        <v/>
      </c>
    </row>
    <row r="2864">
      <c r="I2864">
        <f>IFERROR(SUMIF(A$6:A2864,"&lt;&gt;""",G$6:G2864)-SUMIF(A$6:A2864,"&lt;&gt;""",H$6:H2864),"")</f>
        <v/>
      </c>
    </row>
    <row r="2865">
      <c r="I2865">
        <f>IFERROR(SUMIF(A$6:A2865,"&lt;&gt;""",G$6:G2865)-SUMIF(A$6:A2865,"&lt;&gt;""",H$6:H2865),"")</f>
        <v/>
      </c>
    </row>
    <row r="2866">
      <c r="I2866">
        <f>IFERROR(SUMIF(A$6:A2866,"&lt;&gt;""",G$6:G2866)-SUMIF(A$6:A2866,"&lt;&gt;""",H$6:H2866),"")</f>
        <v/>
      </c>
    </row>
    <row r="2867">
      <c r="I2867">
        <f>IFERROR(SUMIF(A$6:A2867,"&lt;&gt;""",G$6:G2867)-SUMIF(A$6:A2867,"&lt;&gt;""",H$6:H2867),"")</f>
        <v/>
      </c>
    </row>
    <row r="2868">
      <c r="I2868">
        <f>IFERROR(SUMIF(A$6:A2868,"&lt;&gt;""",G$6:G2868)-SUMIF(A$6:A2868,"&lt;&gt;""",H$6:H2868),"")</f>
        <v/>
      </c>
    </row>
    <row r="2869">
      <c r="I2869">
        <f>IFERROR(SUMIF(A$6:A2869,"&lt;&gt;""",G$6:G2869)-SUMIF(A$6:A2869,"&lt;&gt;""",H$6:H2869),"")</f>
        <v/>
      </c>
    </row>
    <row r="2870">
      <c r="I2870">
        <f>IFERROR(SUMIF(A$6:A2870,"&lt;&gt;""",G$6:G2870)-SUMIF(A$6:A2870,"&lt;&gt;""",H$6:H2870),"")</f>
        <v/>
      </c>
    </row>
    <row r="2871">
      <c r="I2871">
        <f>IFERROR(SUMIF(A$6:A2871,"&lt;&gt;""",G$6:G2871)-SUMIF(A$6:A2871,"&lt;&gt;""",H$6:H2871),"")</f>
        <v/>
      </c>
    </row>
    <row r="2872">
      <c r="I2872">
        <f>IFERROR(SUMIF(A$6:A2872,"&lt;&gt;""",G$6:G2872)-SUMIF(A$6:A2872,"&lt;&gt;""",H$6:H2872),"")</f>
        <v/>
      </c>
    </row>
    <row r="2873">
      <c r="I2873">
        <f>IFERROR(SUMIF(A$6:A2873,"&lt;&gt;""",G$6:G2873)-SUMIF(A$6:A2873,"&lt;&gt;""",H$6:H2873),"")</f>
        <v/>
      </c>
    </row>
    <row r="2874">
      <c r="I2874">
        <f>IFERROR(SUMIF(A$6:A2874,"&lt;&gt;""",G$6:G2874)-SUMIF(A$6:A2874,"&lt;&gt;""",H$6:H2874),"")</f>
        <v/>
      </c>
    </row>
    <row r="2875">
      <c r="I2875">
        <f>IFERROR(SUMIF(A$6:A2875,"&lt;&gt;""",G$6:G2875)-SUMIF(A$6:A2875,"&lt;&gt;""",H$6:H2875),"")</f>
        <v/>
      </c>
    </row>
    <row r="2876">
      <c r="I2876">
        <f>IFERROR(SUMIF(A$6:A2876,"&lt;&gt;""",G$6:G2876)-SUMIF(A$6:A2876,"&lt;&gt;""",H$6:H2876),"")</f>
        <v/>
      </c>
    </row>
    <row r="2877">
      <c r="I2877">
        <f>IFERROR(SUMIF(A$6:A2877,"&lt;&gt;""",G$6:G2877)-SUMIF(A$6:A2877,"&lt;&gt;""",H$6:H2877),"")</f>
        <v/>
      </c>
    </row>
    <row r="2878">
      <c r="I2878">
        <f>IFERROR(SUMIF(A$6:A2878,"&lt;&gt;""",G$6:G2878)-SUMIF(A$6:A2878,"&lt;&gt;""",H$6:H2878),"")</f>
        <v/>
      </c>
    </row>
    <row r="2879">
      <c r="I2879">
        <f>IFERROR(SUMIF(A$6:A2879,"&lt;&gt;""",G$6:G2879)-SUMIF(A$6:A2879,"&lt;&gt;""",H$6:H2879),"")</f>
        <v/>
      </c>
    </row>
    <row r="2880">
      <c r="I2880">
        <f>IFERROR(SUMIF(A$6:A2880,"&lt;&gt;""",G$6:G2880)-SUMIF(A$6:A2880,"&lt;&gt;""",H$6:H2880),"")</f>
        <v/>
      </c>
    </row>
    <row r="2881">
      <c r="I2881">
        <f>IFERROR(SUMIF(A$6:A2881,"&lt;&gt;""",G$6:G2881)-SUMIF(A$6:A2881,"&lt;&gt;""",H$6:H2881),"")</f>
        <v/>
      </c>
    </row>
    <row r="2882">
      <c r="I2882">
        <f>IFERROR(SUMIF(A$6:A2882,"&lt;&gt;""",G$6:G2882)-SUMIF(A$6:A2882,"&lt;&gt;""",H$6:H2882),"")</f>
        <v/>
      </c>
    </row>
    <row r="2883">
      <c r="I2883">
        <f>IFERROR(SUMIF(A$6:A2883,"&lt;&gt;""",G$6:G2883)-SUMIF(A$6:A2883,"&lt;&gt;""",H$6:H2883),"")</f>
        <v/>
      </c>
    </row>
    <row r="2884">
      <c r="I2884">
        <f>IFERROR(SUMIF(A$6:A2884,"&lt;&gt;""",G$6:G2884)-SUMIF(A$6:A2884,"&lt;&gt;""",H$6:H2884),"")</f>
        <v/>
      </c>
    </row>
    <row r="2885">
      <c r="I2885">
        <f>IFERROR(SUMIF(A$6:A2885,"&lt;&gt;""",G$6:G2885)-SUMIF(A$6:A2885,"&lt;&gt;""",H$6:H2885),"")</f>
        <v/>
      </c>
    </row>
    <row r="2886">
      <c r="I2886">
        <f>IFERROR(SUMIF(A$6:A2886,"&lt;&gt;""",G$6:G2886)-SUMIF(A$6:A2886,"&lt;&gt;""",H$6:H2886),"")</f>
        <v/>
      </c>
    </row>
    <row r="2887">
      <c r="I2887">
        <f>IFERROR(SUMIF(A$6:A2887,"&lt;&gt;""",G$6:G2887)-SUMIF(A$6:A2887,"&lt;&gt;""",H$6:H2887),"")</f>
        <v/>
      </c>
    </row>
    <row r="2888">
      <c r="I2888">
        <f>IFERROR(SUMIF(A$6:A2888,"&lt;&gt;""",G$6:G2888)-SUMIF(A$6:A2888,"&lt;&gt;""",H$6:H2888),"")</f>
        <v/>
      </c>
    </row>
    <row r="2889">
      <c r="I2889">
        <f>IFERROR(SUMIF(A$6:A2889,"&lt;&gt;""",G$6:G2889)-SUMIF(A$6:A2889,"&lt;&gt;""",H$6:H2889),"")</f>
        <v/>
      </c>
    </row>
    <row r="2890">
      <c r="I2890">
        <f>IFERROR(SUMIF(A$6:A2890,"&lt;&gt;""",G$6:G2890)-SUMIF(A$6:A2890,"&lt;&gt;""",H$6:H2890),"")</f>
        <v/>
      </c>
    </row>
    <row r="2891">
      <c r="I2891">
        <f>IFERROR(SUMIF(A$6:A2891,"&lt;&gt;""",G$6:G2891)-SUMIF(A$6:A2891,"&lt;&gt;""",H$6:H2891),"")</f>
        <v/>
      </c>
    </row>
    <row r="2892">
      <c r="I2892">
        <f>IFERROR(SUMIF(A$6:A2892,"&lt;&gt;""",G$6:G2892)-SUMIF(A$6:A2892,"&lt;&gt;""",H$6:H2892),"")</f>
        <v/>
      </c>
    </row>
    <row r="2893">
      <c r="I2893">
        <f>IFERROR(SUMIF(A$6:A2893,"&lt;&gt;""",G$6:G2893)-SUMIF(A$6:A2893,"&lt;&gt;""",H$6:H2893),"")</f>
        <v/>
      </c>
    </row>
    <row r="2894">
      <c r="I2894">
        <f>IFERROR(SUMIF(A$6:A2894,"&lt;&gt;""",G$6:G2894)-SUMIF(A$6:A2894,"&lt;&gt;""",H$6:H2894),"")</f>
        <v/>
      </c>
    </row>
    <row r="2895">
      <c r="I2895">
        <f>IFERROR(SUMIF(A$6:A2895,"&lt;&gt;""",G$6:G2895)-SUMIF(A$6:A2895,"&lt;&gt;""",H$6:H2895),"")</f>
        <v/>
      </c>
    </row>
    <row r="2896">
      <c r="I2896">
        <f>IFERROR(SUMIF(A$6:A2896,"&lt;&gt;""",G$6:G2896)-SUMIF(A$6:A2896,"&lt;&gt;""",H$6:H2896),"")</f>
        <v/>
      </c>
    </row>
    <row r="2897">
      <c r="I2897">
        <f>IFERROR(SUMIF(A$6:A2897,"&lt;&gt;""",G$6:G2897)-SUMIF(A$6:A2897,"&lt;&gt;""",H$6:H2897),"")</f>
        <v/>
      </c>
    </row>
    <row r="2898">
      <c r="I2898">
        <f>IFERROR(SUMIF(A$6:A2898,"&lt;&gt;""",G$6:G2898)-SUMIF(A$6:A2898,"&lt;&gt;""",H$6:H2898),"")</f>
        <v/>
      </c>
    </row>
    <row r="2899">
      <c r="I2899">
        <f>IFERROR(SUMIF(A$6:A2899,"&lt;&gt;""",G$6:G2899)-SUMIF(A$6:A2899,"&lt;&gt;""",H$6:H2899),"")</f>
        <v/>
      </c>
    </row>
    <row r="2900">
      <c r="I2900">
        <f>IFERROR(SUMIF(A$6:A2900,"&lt;&gt;""",G$6:G2900)-SUMIF(A$6:A2900,"&lt;&gt;""",H$6:H2900),"")</f>
        <v/>
      </c>
    </row>
    <row r="2901">
      <c r="I2901">
        <f>IFERROR(SUMIF(A$6:A2901,"&lt;&gt;""",G$6:G2901)-SUMIF(A$6:A2901,"&lt;&gt;""",H$6:H2901),"")</f>
        <v/>
      </c>
    </row>
    <row r="2902">
      <c r="I2902">
        <f>IFERROR(SUMIF(A$6:A2902,"&lt;&gt;""",G$6:G2902)-SUMIF(A$6:A2902,"&lt;&gt;""",H$6:H2902),"")</f>
        <v/>
      </c>
    </row>
    <row r="2903">
      <c r="I2903">
        <f>IFERROR(SUMIF(A$6:A2903,"&lt;&gt;""",G$6:G2903)-SUMIF(A$6:A2903,"&lt;&gt;""",H$6:H2903),"")</f>
        <v/>
      </c>
    </row>
    <row r="2904">
      <c r="I2904">
        <f>IFERROR(SUMIF(A$6:A2904,"&lt;&gt;""",G$6:G2904)-SUMIF(A$6:A2904,"&lt;&gt;""",H$6:H2904),"")</f>
        <v/>
      </c>
    </row>
    <row r="2905">
      <c r="I2905">
        <f>IFERROR(SUMIF(A$6:A2905,"&lt;&gt;""",G$6:G2905)-SUMIF(A$6:A2905,"&lt;&gt;""",H$6:H2905),"")</f>
        <v/>
      </c>
    </row>
    <row r="2906">
      <c r="I2906">
        <f>IFERROR(SUMIF(A$6:A2906,"&lt;&gt;""",G$6:G2906)-SUMIF(A$6:A2906,"&lt;&gt;""",H$6:H2906),"")</f>
        <v/>
      </c>
    </row>
    <row r="2907">
      <c r="I2907">
        <f>IFERROR(SUMIF(A$6:A2907,"&lt;&gt;""",G$6:G2907)-SUMIF(A$6:A2907,"&lt;&gt;""",H$6:H2907),"")</f>
        <v/>
      </c>
    </row>
    <row r="2908">
      <c r="I2908">
        <f>IFERROR(SUMIF(A$6:A2908,"&lt;&gt;""",G$6:G2908)-SUMIF(A$6:A2908,"&lt;&gt;""",H$6:H2908),"")</f>
        <v/>
      </c>
    </row>
    <row r="2909">
      <c r="I2909">
        <f>IFERROR(SUMIF(A$6:A2909,"&lt;&gt;""",G$6:G2909)-SUMIF(A$6:A2909,"&lt;&gt;""",H$6:H2909),"")</f>
        <v/>
      </c>
    </row>
    <row r="2910">
      <c r="I2910">
        <f>IFERROR(SUMIF(A$6:A2910,"&lt;&gt;""",G$6:G2910)-SUMIF(A$6:A2910,"&lt;&gt;""",H$6:H2910),"")</f>
        <v/>
      </c>
    </row>
    <row r="2911">
      <c r="I2911">
        <f>IFERROR(SUMIF(A$6:A2911,"&lt;&gt;""",G$6:G2911)-SUMIF(A$6:A2911,"&lt;&gt;""",H$6:H2911),"")</f>
        <v/>
      </c>
    </row>
    <row r="2912">
      <c r="I2912">
        <f>IFERROR(SUMIF(A$6:A2912,"&lt;&gt;""",G$6:G2912)-SUMIF(A$6:A2912,"&lt;&gt;""",H$6:H2912),"")</f>
        <v/>
      </c>
    </row>
    <row r="2913">
      <c r="I2913">
        <f>IFERROR(SUMIF(A$6:A2913,"&lt;&gt;""",G$6:G2913)-SUMIF(A$6:A2913,"&lt;&gt;""",H$6:H2913),"")</f>
        <v/>
      </c>
    </row>
    <row r="2914">
      <c r="I2914">
        <f>IFERROR(SUMIF(A$6:A2914,"&lt;&gt;""",G$6:G2914)-SUMIF(A$6:A2914,"&lt;&gt;""",H$6:H2914),"")</f>
        <v/>
      </c>
    </row>
    <row r="2915">
      <c r="I2915">
        <f>IFERROR(SUMIF(A$6:A2915,"&lt;&gt;""",G$6:G2915)-SUMIF(A$6:A2915,"&lt;&gt;""",H$6:H2915),"")</f>
        <v/>
      </c>
    </row>
    <row r="2916">
      <c r="I2916">
        <f>IFERROR(SUMIF(A$6:A2916,"&lt;&gt;""",G$6:G2916)-SUMIF(A$6:A2916,"&lt;&gt;""",H$6:H2916),"")</f>
        <v/>
      </c>
    </row>
    <row r="2917">
      <c r="I2917">
        <f>IFERROR(SUMIF(A$6:A2917,"&lt;&gt;""",G$6:G2917)-SUMIF(A$6:A2917,"&lt;&gt;""",H$6:H2917),"")</f>
        <v/>
      </c>
    </row>
    <row r="2918">
      <c r="I2918">
        <f>IFERROR(SUMIF(A$6:A2918,"&lt;&gt;""",G$6:G2918)-SUMIF(A$6:A2918,"&lt;&gt;""",H$6:H2918),"")</f>
        <v/>
      </c>
    </row>
    <row r="2919">
      <c r="I2919">
        <f>IFERROR(SUMIF(A$6:A2919,"&lt;&gt;""",G$6:G2919)-SUMIF(A$6:A2919,"&lt;&gt;""",H$6:H2919),"")</f>
        <v/>
      </c>
    </row>
    <row r="2920">
      <c r="I2920">
        <f>IFERROR(SUMIF(A$6:A2920,"&lt;&gt;""",G$6:G2920)-SUMIF(A$6:A2920,"&lt;&gt;""",H$6:H2920),"")</f>
        <v/>
      </c>
    </row>
    <row r="2921">
      <c r="I2921">
        <f>IFERROR(SUMIF(A$6:A2921,"&lt;&gt;""",G$6:G2921)-SUMIF(A$6:A2921,"&lt;&gt;""",H$6:H2921),"")</f>
        <v/>
      </c>
    </row>
    <row r="2922">
      <c r="I2922">
        <f>IFERROR(SUMIF(A$6:A2922,"&lt;&gt;""",G$6:G2922)-SUMIF(A$6:A2922,"&lt;&gt;""",H$6:H2922),"")</f>
        <v/>
      </c>
    </row>
    <row r="2923">
      <c r="I2923">
        <f>IFERROR(SUMIF(A$6:A2923,"&lt;&gt;""",G$6:G2923)-SUMIF(A$6:A2923,"&lt;&gt;""",H$6:H2923),"")</f>
        <v/>
      </c>
    </row>
    <row r="2924">
      <c r="I2924">
        <f>IFERROR(SUMIF(A$6:A2924,"&lt;&gt;""",G$6:G2924)-SUMIF(A$6:A2924,"&lt;&gt;""",H$6:H2924),"")</f>
        <v/>
      </c>
    </row>
    <row r="2925">
      <c r="I2925">
        <f>IFERROR(SUMIF(A$6:A2925,"&lt;&gt;""",G$6:G2925)-SUMIF(A$6:A2925,"&lt;&gt;""",H$6:H2925),"")</f>
        <v/>
      </c>
    </row>
    <row r="2926">
      <c r="I2926">
        <f>IFERROR(SUMIF(A$6:A2926,"&lt;&gt;""",G$6:G2926)-SUMIF(A$6:A2926,"&lt;&gt;""",H$6:H2926),"")</f>
        <v/>
      </c>
    </row>
    <row r="2927">
      <c r="I2927">
        <f>IFERROR(SUMIF(A$6:A2927,"&lt;&gt;""",G$6:G2927)-SUMIF(A$6:A2927,"&lt;&gt;""",H$6:H2927),"")</f>
        <v/>
      </c>
    </row>
    <row r="2928">
      <c r="I2928">
        <f>IFERROR(SUMIF(A$6:A2928,"&lt;&gt;""",G$6:G2928)-SUMIF(A$6:A2928,"&lt;&gt;""",H$6:H2928),"")</f>
        <v/>
      </c>
    </row>
    <row r="2929">
      <c r="I2929">
        <f>IFERROR(SUMIF(A$6:A2929,"&lt;&gt;""",G$6:G2929)-SUMIF(A$6:A2929,"&lt;&gt;""",H$6:H2929),"")</f>
        <v/>
      </c>
    </row>
    <row r="2930">
      <c r="I2930">
        <f>IFERROR(SUMIF(A$6:A2930,"&lt;&gt;""",G$6:G2930)-SUMIF(A$6:A2930,"&lt;&gt;""",H$6:H2930),"")</f>
        <v/>
      </c>
    </row>
    <row r="2931">
      <c r="I2931">
        <f>IFERROR(SUMIF(A$6:A2931,"&lt;&gt;""",G$6:G2931)-SUMIF(A$6:A2931,"&lt;&gt;""",H$6:H2931),"")</f>
        <v/>
      </c>
    </row>
    <row r="2932">
      <c r="I2932">
        <f>IFERROR(SUMIF(A$6:A2932,"&lt;&gt;""",G$6:G2932)-SUMIF(A$6:A2932,"&lt;&gt;""",H$6:H2932),"")</f>
        <v/>
      </c>
    </row>
    <row r="2933">
      <c r="I2933">
        <f>IFERROR(SUMIF(A$6:A2933,"&lt;&gt;""",G$6:G2933)-SUMIF(A$6:A2933,"&lt;&gt;""",H$6:H2933),"")</f>
        <v/>
      </c>
    </row>
    <row r="2934">
      <c r="I2934">
        <f>IFERROR(SUMIF(A$6:A2934,"&lt;&gt;""",G$6:G2934)-SUMIF(A$6:A2934,"&lt;&gt;""",H$6:H2934),"")</f>
        <v/>
      </c>
    </row>
    <row r="2935">
      <c r="I2935">
        <f>IFERROR(SUMIF(A$6:A2935,"&lt;&gt;""",G$6:G2935)-SUMIF(A$6:A2935,"&lt;&gt;""",H$6:H2935),"")</f>
        <v/>
      </c>
    </row>
    <row r="2936">
      <c r="I2936">
        <f>IFERROR(SUMIF(A$6:A2936,"&lt;&gt;""",G$6:G2936)-SUMIF(A$6:A2936,"&lt;&gt;""",H$6:H2936),"")</f>
        <v/>
      </c>
    </row>
    <row r="2937">
      <c r="I2937">
        <f>IFERROR(SUMIF(A$6:A2937,"&lt;&gt;""",G$6:G2937)-SUMIF(A$6:A2937,"&lt;&gt;""",H$6:H2937),"")</f>
        <v/>
      </c>
    </row>
    <row r="2938">
      <c r="I2938">
        <f>IFERROR(SUMIF(A$6:A2938,"&lt;&gt;""",G$6:G2938)-SUMIF(A$6:A2938,"&lt;&gt;""",H$6:H2938),"")</f>
        <v/>
      </c>
    </row>
    <row r="2939">
      <c r="I2939">
        <f>IFERROR(SUMIF(A$6:A2939,"&lt;&gt;""",G$6:G2939)-SUMIF(A$6:A2939,"&lt;&gt;""",H$6:H2939),"")</f>
        <v/>
      </c>
    </row>
    <row r="2940">
      <c r="I2940">
        <f>IFERROR(SUMIF(A$6:A2940,"&lt;&gt;""",G$6:G2940)-SUMIF(A$6:A2940,"&lt;&gt;""",H$6:H2940),"")</f>
        <v/>
      </c>
    </row>
    <row r="2941">
      <c r="I2941">
        <f>IFERROR(SUMIF(A$6:A2941,"&lt;&gt;""",G$6:G2941)-SUMIF(A$6:A2941,"&lt;&gt;""",H$6:H2941),"")</f>
        <v/>
      </c>
    </row>
    <row r="2942">
      <c r="I2942">
        <f>IFERROR(SUMIF(A$6:A2942,"&lt;&gt;""",G$6:G2942)-SUMIF(A$6:A2942,"&lt;&gt;""",H$6:H2942),"")</f>
        <v/>
      </c>
    </row>
    <row r="2943">
      <c r="I2943">
        <f>IFERROR(SUMIF(A$6:A2943,"&lt;&gt;""",G$6:G2943)-SUMIF(A$6:A2943,"&lt;&gt;""",H$6:H2943),"")</f>
        <v/>
      </c>
    </row>
    <row r="2944">
      <c r="I2944">
        <f>IFERROR(SUMIF(A$6:A2944,"&lt;&gt;""",G$6:G2944)-SUMIF(A$6:A2944,"&lt;&gt;""",H$6:H2944),"")</f>
        <v/>
      </c>
    </row>
    <row r="2945">
      <c r="I2945">
        <f>IFERROR(SUMIF(A$6:A2945,"&lt;&gt;""",G$6:G2945)-SUMIF(A$6:A2945,"&lt;&gt;""",H$6:H2945),"")</f>
        <v/>
      </c>
    </row>
    <row r="2946">
      <c r="I2946">
        <f>IFERROR(SUMIF(A$6:A2946,"&lt;&gt;""",G$6:G2946)-SUMIF(A$6:A2946,"&lt;&gt;""",H$6:H2946),"")</f>
        <v/>
      </c>
    </row>
    <row r="2947">
      <c r="I2947">
        <f>IFERROR(SUMIF(A$6:A2947,"&lt;&gt;""",G$6:G2947)-SUMIF(A$6:A2947,"&lt;&gt;""",H$6:H2947),"")</f>
        <v/>
      </c>
    </row>
    <row r="2948">
      <c r="I2948">
        <f>IFERROR(SUMIF(A$6:A2948,"&lt;&gt;""",G$6:G2948)-SUMIF(A$6:A2948,"&lt;&gt;""",H$6:H2948),"")</f>
        <v/>
      </c>
    </row>
    <row r="2949">
      <c r="I2949">
        <f>IFERROR(SUMIF(A$6:A2949,"&lt;&gt;""",G$6:G2949)-SUMIF(A$6:A2949,"&lt;&gt;""",H$6:H2949),"")</f>
        <v/>
      </c>
    </row>
    <row r="2950">
      <c r="I2950">
        <f>IFERROR(SUMIF(A$6:A2950,"&lt;&gt;""",G$6:G2950)-SUMIF(A$6:A2950,"&lt;&gt;""",H$6:H2950),"")</f>
        <v/>
      </c>
    </row>
    <row r="2951">
      <c r="I2951">
        <f>IFERROR(SUMIF(A$6:A2951,"&lt;&gt;""",G$6:G2951)-SUMIF(A$6:A2951,"&lt;&gt;""",H$6:H2951),"")</f>
        <v/>
      </c>
    </row>
    <row r="2952">
      <c r="I2952">
        <f>IFERROR(SUMIF(A$6:A2952,"&lt;&gt;""",G$6:G2952)-SUMIF(A$6:A2952,"&lt;&gt;""",H$6:H2952),"")</f>
        <v/>
      </c>
    </row>
    <row r="2953">
      <c r="I2953">
        <f>IFERROR(SUMIF(A$6:A2953,"&lt;&gt;""",G$6:G2953)-SUMIF(A$6:A2953,"&lt;&gt;""",H$6:H2953),"")</f>
        <v/>
      </c>
    </row>
    <row r="2954">
      <c r="I2954">
        <f>IFERROR(SUMIF(A$6:A2954,"&lt;&gt;""",G$6:G2954)-SUMIF(A$6:A2954,"&lt;&gt;""",H$6:H2954),"")</f>
        <v/>
      </c>
    </row>
    <row r="2955">
      <c r="I2955">
        <f>IFERROR(SUMIF(A$6:A2955,"&lt;&gt;""",G$6:G2955)-SUMIF(A$6:A2955,"&lt;&gt;""",H$6:H2955),"")</f>
        <v/>
      </c>
    </row>
    <row r="2956">
      <c r="I2956">
        <f>IFERROR(SUMIF(A$6:A2956,"&lt;&gt;""",G$6:G2956)-SUMIF(A$6:A2956,"&lt;&gt;""",H$6:H2956),"")</f>
        <v/>
      </c>
    </row>
    <row r="2957">
      <c r="I2957">
        <f>IFERROR(SUMIF(A$6:A2957,"&lt;&gt;""",G$6:G2957)-SUMIF(A$6:A2957,"&lt;&gt;""",H$6:H2957),"")</f>
        <v/>
      </c>
    </row>
    <row r="2958">
      <c r="I2958">
        <f>IFERROR(SUMIF(A$6:A2958,"&lt;&gt;""",G$6:G2958)-SUMIF(A$6:A2958,"&lt;&gt;""",H$6:H2958),"")</f>
        <v/>
      </c>
    </row>
    <row r="2959">
      <c r="I2959">
        <f>IFERROR(SUMIF(A$6:A2959,"&lt;&gt;""",G$6:G2959)-SUMIF(A$6:A2959,"&lt;&gt;""",H$6:H2959),"")</f>
        <v/>
      </c>
    </row>
    <row r="2960">
      <c r="I2960">
        <f>IFERROR(SUMIF(A$6:A2960,"&lt;&gt;""",G$6:G2960)-SUMIF(A$6:A2960,"&lt;&gt;""",H$6:H2960),"")</f>
        <v/>
      </c>
    </row>
    <row r="2961">
      <c r="I2961">
        <f>IFERROR(SUMIF(A$6:A2961,"&lt;&gt;""",G$6:G2961)-SUMIF(A$6:A2961,"&lt;&gt;""",H$6:H2961),"")</f>
        <v/>
      </c>
    </row>
    <row r="2962">
      <c r="I2962">
        <f>IFERROR(SUMIF(A$6:A2962,"&lt;&gt;""",G$6:G2962)-SUMIF(A$6:A2962,"&lt;&gt;""",H$6:H2962),"")</f>
        <v/>
      </c>
    </row>
    <row r="2963">
      <c r="I2963">
        <f>IFERROR(SUMIF(A$6:A2963,"&lt;&gt;""",G$6:G2963)-SUMIF(A$6:A2963,"&lt;&gt;""",H$6:H2963),"")</f>
        <v/>
      </c>
    </row>
    <row r="2964">
      <c r="I2964">
        <f>IFERROR(SUMIF(A$6:A2964,"&lt;&gt;""",G$6:G2964)-SUMIF(A$6:A2964,"&lt;&gt;""",H$6:H2964),"")</f>
        <v/>
      </c>
    </row>
    <row r="2965">
      <c r="I2965">
        <f>IFERROR(SUMIF(A$6:A2965,"&lt;&gt;""",G$6:G2965)-SUMIF(A$6:A2965,"&lt;&gt;""",H$6:H2965),"")</f>
        <v/>
      </c>
    </row>
    <row r="2966">
      <c r="I2966">
        <f>IFERROR(SUMIF(A$6:A2966,"&lt;&gt;""",G$6:G2966)-SUMIF(A$6:A2966,"&lt;&gt;""",H$6:H2966),"")</f>
        <v/>
      </c>
    </row>
    <row r="2967">
      <c r="I2967">
        <f>IFERROR(SUMIF(A$6:A2967,"&lt;&gt;""",G$6:G2967)-SUMIF(A$6:A2967,"&lt;&gt;""",H$6:H2967),"")</f>
        <v/>
      </c>
    </row>
    <row r="2968">
      <c r="I2968">
        <f>IFERROR(SUMIF(A$6:A2968,"&lt;&gt;""",G$6:G2968)-SUMIF(A$6:A2968,"&lt;&gt;""",H$6:H2968),"")</f>
        <v/>
      </c>
    </row>
    <row r="2969">
      <c r="I2969">
        <f>IFERROR(SUMIF(A$6:A2969,"&lt;&gt;""",G$6:G2969)-SUMIF(A$6:A2969,"&lt;&gt;""",H$6:H2969),"")</f>
        <v/>
      </c>
    </row>
    <row r="2970">
      <c r="I2970">
        <f>IFERROR(SUMIF(A$6:A2970,"&lt;&gt;""",G$6:G2970)-SUMIF(A$6:A2970,"&lt;&gt;""",H$6:H2970),"")</f>
        <v/>
      </c>
    </row>
    <row r="2971">
      <c r="I2971">
        <f>IFERROR(SUMIF(A$6:A2971,"&lt;&gt;""",G$6:G2971)-SUMIF(A$6:A2971,"&lt;&gt;""",H$6:H2971),"")</f>
        <v/>
      </c>
    </row>
    <row r="2972">
      <c r="I2972">
        <f>IFERROR(SUMIF(A$6:A2972,"&lt;&gt;""",G$6:G2972)-SUMIF(A$6:A2972,"&lt;&gt;""",H$6:H2972),"")</f>
        <v/>
      </c>
    </row>
    <row r="2973">
      <c r="I2973">
        <f>IFERROR(SUMIF(A$6:A2973,"&lt;&gt;""",G$6:G2973)-SUMIF(A$6:A2973,"&lt;&gt;""",H$6:H2973),"")</f>
        <v/>
      </c>
    </row>
    <row r="2974">
      <c r="I2974">
        <f>IFERROR(SUMIF(A$6:A2974,"&lt;&gt;""",G$6:G2974)-SUMIF(A$6:A2974,"&lt;&gt;""",H$6:H2974),"")</f>
        <v/>
      </c>
    </row>
    <row r="2975">
      <c r="I2975">
        <f>IFERROR(SUMIF(A$6:A2975,"&lt;&gt;""",G$6:G2975)-SUMIF(A$6:A2975,"&lt;&gt;""",H$6:H2975),"")</f>
        <v/>
      </c>
    </row>
    <row r="2976">
      <c r="I2976">
        <f>IFERROR(SUMIF(A$6:A2976,"&lt;&gt;""",G$6:G2976)-SUMIF(A$6:A2976,"&lt;&gt;""",H$6:H2976),"")</f>
        <v/>
      </c>
    </row>
    <row r="2977">
      <c r="I2977">
        <f>IFERROR(SUMIF(A$6:A2977,"&lt;&gt;""",G$6:G2977)-SUMIF(A$6:A2977,"&lt;&gt;""",H$6:H2977),"")</f>
        <v/>
      </c>
    </row>
    <row r="2978">
      <c r="I2978">
        <f>IFERROR(SUMIF(A$6:A2978,"&lt;&gt;""",G$6:G2978)-SUMIF(A$6:A2978,"&lt;&gt;""",H$6:H2978),"")</f>
        <v/>
      </c>
    </row>
    <row r="2979">
      <c r="I2979">
        <f>IFERROR(SUMIF(A$6:A2979,"&lt;&gt;""",G$6:G2979)-SUMIF(A$6:A2979,"&lt;&gt;""",H$6:H2979),"")</f>
        <v/>
      </c>
    </row>
    <row r="2980">
      <c r="I2980">
        <f>IFERROR(SUMIF(A$6:A2980,"&lt;&gt;""",G$6:G2980)-SUMIF(A$6:A2980,"&lt;&gt;""",H$6:H2980),"")</f>
        <v/>
      </c>
    </row>
    <row r="2981">
      <c r="I2981">
        <f>IFERROR(SUMIF(A$6:A2981,"&lt;&gt;""",G$6:G2981)-SUMIF(A$6:A2981,"&lt;&gt;""",H$6:H2981),"")</f>
        <v/>
      </c>
    </row>
    <row r="2982">
      <c r="I2982">
        <f>IFERROR(SUMIF(A$6:A2982,"&lt;&gt;""",G$6:G2982)-SUMIF(A$6:A2982,"&lt;&gt;""",H$6:H2982),"")</f>
        <v/>
      </c>
    </row>
    <row r="2983">
      <c r="I2983">
        <f>IFERROR(SUMIF(A$6:A2983,"&lt;&gt;""",G$6:G2983)-SUMIF(A$6:A2983,"&lt;&gt;""",H$6:H2983),"")</f>
        <v/>
      </c>
    </row>
    <row r="2984">
      <c r="I2984">
        <f>IFERROR(SUMIF(A$6:A2984,"&lt;&gt;""",G$6:G2984)-SUMIF(A$6:A2984,"&lt;&gt;""",H$6:H2984),"")</f>
        <v/>
      </c>
    </row>
    <row r="2985">
      <c r="I2985">
        <f>IFERROR(SUMIF(A$6:A2985,"&lt;&gt;""",G$6:G2985)-SUMIF(A$6:A2985,"&lt;&gt;""",H$6:H2985),"")</f>
        <v/>
      </c>
    </row>
    <row r="2986">
      <c r="I2986">
        <f>IFERROR(SUMIF(A$6:A2986,"&lt;&gt;""",G$6:G2986)-SUMIF(A$6:A2986,"&lt;&gt;""",H$6:H2986),"")</f>
        <v/>
      </c>
    </row>
    <row r="2987">
      <c r="I2987">
        <f>IFERROR(SUMIF(A$6:A2987,"&lt;&gt;""",G$6:G2987)-SUMIF(A$6:A2987,"&lt;&gt;""",H$6:H2987),"")</f>
        <v/>
      </c>
    </row>
    <row r="2988">
      <c r="I2988">
        <f>IFERROR(SUMIF(A$6:A2988,"&lt;&gt;""",G$6:G2988)-SUMIF(A$6:A2988,"&lt;&gt;""",H$6:H2988),"")</f>
        <v/>
      </c>
    </row>
    <row r="2989">
      <c r="I2989">
        <f>IFERROR(SUMIF(A$6:A2989,"&lt;&gt;""",G$6:G2989)-SUMIF(A$6:A2989,"&lt;&gt;""",H$6:H2989),"")</f>
        <v/>
      </c>
    </row>
    <row r="2990">
      <c r="I2990">
        <f>IFERROR(SUMIF(A$6:A2990,"&lt;&gt;""",G$6:G2990)-SUMIF(A$6:A2990,"&lt;&gt;""",H$6:H2990),"")</f>
        <v/>
      </c>
    </row>
    <row r="2991">
      <c r="I2991">
        <f>IFERROR(SUMIF(A$6:A2991,"&lt;&gt;""",G$6:G2991)-SUMIF(A$6:A2991,"&lt;&gt;""",H$6:H2991),"")</f>
        <v/>
      </c>
    </row>
    <row r="2992">
      <c r="I2992">
        <f>IFERROR(SUMIF(A$6:A2992,"&lt;&gt;""",G$6:G2992)-SUMIF(A$6:A2992,"&lt;&gt;""",H$6:H2992),"")</f>
        <v/>
      </c>
    </row>
    <row r="2993">
      <c r="I2993">
        <f>IFERROR(SUMIF(A$6:A2993,"&lt;&gt;""",G$6:G2993)-SUMIF(A$6:A2993,"&lt;&gt;""",H$6:H2993),"")</f>
        <v/>
      </c>
    </row>
    <row r="2994">
      <c r="I2994">
        <f>IFERROR(SUMIF(A$6:A2994,"&lt;&gt;""",G$6:G2994)-SUMIF(A$6:A2994,"&lt;&gt;""",H$6:H2994),"")</f>
        <v/>
      </c>
    </row>
    <row r="2995">
      <c r="I2995">
        <f>IFERROR(SUMIF(A$6:A2995,"&lt;&gt;""",G$6:G2995)-SUMIF(A$6:A2995,"&lt;&gt;""",H$6:H2995),"")</f>
        <v/>
      </c>
    </row>
    <row r="2996">
      <c r="I2996">
        <f>IFERROR(SUMIF(A$6:A2996,"&lt;&gt;""",G$6:G2996)-SUMIF(A$6:A2996,"&lt;&gt;""",H$6:H2996),"")</f>
        <v/>
      </c>
    </row>
    <row r="2997">
      <c r="I2997">
        <f>IFERROR(SUMIF(A$6:A2997,"&lt;&gt;""",G$6:G2997)-SUMIF(A$6:A2997,"&lt;&gt;""",H$6:H2997),"")</f>
        <v/>
      </c>
    </row>
    <row r="2998">
      <c r="I2998">
        <f>IFERROR(SUMIF(A$6:A2998,"&lt;&gt;""",G$6:G2998)-SUMIF(A$6:A2998,"&lt;&gt;""",H$6:H2998),"")</f>
        <v/>
      </c>
    </row>
    <row r="2999">
      <c r="I2999">
        <f>IFERROR(SUMIF(A$6:A2999,"&lt;&gt;""",G$6:G2999)-SUMIF(A$6:A2999,"&lt;&gt;""",H$6:H2999),"")</f>
        <v/>
      </c>
    </row>
    <row r="3000">
      <c r="I3000">
        <f>IFERROR(SUMIF(A$6:A3000,"&lt;&gt;""",G$6:G3000)-SUMIF(A$6:A3000,"&lt;&gt;""",H$6:H3000),"")</f>
        <v/>
      </c>
    </row>
    <row r="3001">
      <c r="I3001">
        <f>IFERROR(SUMIF(A$6:A3001,"&lt;&gt;""",G$6:G3001)-SUMIF(A$6:A3001,"&lt;&gt;""",H$6:H3001),"")</f>
        <v/>
      </c>
    </row>
    <row r="3002">
      <c r="I3002">
        <f>IFERROR(SUMIF(A$6:A3002,"&lt;&gt;""",G$6:G3002)-SUMIF(A$6:A3002,"&lt;&gt;""",H$6:H3002),"")</f>
        <v/>
      </c>
    </row>
    <row r="3003">
      <c r="I3003">
        <f>IFERROR(SUMIF(A$6:A3003,"&lt;&gt;""",G$6:G3003)-SUMIF(A$6:A3003,"&lt;&gt;""",H$6:H3003),"")</f>
        <v/>
      </c>
    </row>
    <row r="3004">
      <c r="I3004">
        <f>IFERROR(SUMIF(A$6:A3004,"&lt;&gt;""",G$6:G3004)-SUMIF(A$6:A3004,"&lt;&gt;""",H$6:H3004),"")</f>
        <v/>
      </c>
    </row>
    <row r="3005">
      <c r="I3005">
        <f>IFERROR(SUMIF(A$6:A3005,"&lt;&gt;""",G$6:G3005)-SUMIF(A$6:A3005,"&lt;&gt;""",H$6:H3005),"")</f>
        <v/>
      </c>
    </row>
    <row r="3006">
      <c r="I3006">
        <f>IFERROR(SUMIF(A$6:A3006,"&lt;&gt;""",G$6:G3006)-SUMIF(A$6:A3006,"&lt;&gt;""",H$6:H3006),"")</f>
        <v/>
      </c>
    </row>
    <row r="3007">
      <c r="I3007">
        <f>IFERROR(SUMIF(A$6:A3007,"&lt;&gt;""",G$6:G3007)-SUMIF(A$6:A3007,"&lt;&gt;""",H$6:H3007),"")</f>
        <v/>
      </c>
    </row>
    <row r="3008">
      <c r="I3008">
        <f>IFERROR(SUMIF(A$6:A3008,"&lt;&gt;""",G$6:G3008)-SUMIF(A$6:A3008,"&lt;&gt;""",H$6:H3008),"")</f>
        <v/>
      </c>
    </row>
    <row r="3009">
      <c r="I3009">
        <f>IFERROR(SUMIF(A$6:A3009,"&lt;&gt;""",G$6:G3009)-SUMIF(A$6:A3009,"&lt;&gt;""",H$6:H3009),"")</f>
        <v/>
      </c>
    </row>
    <row r="3010">
      <c r="I3010">
        <f>IFERROR(SUMIF(A$6:A3010,"&lt;&gt;""",G$6:G3010)-SUMIF(A$6:A3010,"&lt;&gt;""",H$6:H3010),"")</f>
        <v/>
      </c>
    </row>
    <row r="3011">
      <c r="I3011">
        <f>IFERROR(SUMIF(A$6:A3011,"&lt;&gt;""",G$6:G3011)-SUMIF(A$6:A3011,"&lt;&gt;""",H$6:H3011),"")</f>
        <v/>
      </c>
    </row>
    <row r="3012">
      <c r="I3012">
        <f>IFERROR(SUMIF(A$6:A3012,"&lt;&gt;""",G$6:G3012)-SUMIF(A$6:A3012,"&lt;&gt;""",H$6:H3012),"")</f>
        <v/>
      </c>
    </row>
    <row r="3013">
      <c r="I3013">
        <f>IFERROR(SUMIF(A$6:A3013,"&lt;&gt;""",G$6:G3013)-SUMIF(A$6:A3013,"&lt;&gt;""",H$6:H3013),"")</f>
        <v/>
      </c>
    </row>
    <row r="3014">
      <c r="I3014">
        <f>IFERROR(SUMIF(A$6:A3014,"&lt;&gt;""",G$6:G3014)-SUMIF(A$6:A3014,"&lt;&gt;""",H$6:H3014),"")</f>
        <v/>
      </c>
    </row>
    <row r="3015">
      <c r="I3015">
        <f>IFERROR(SUMIF(A$6:A3015,"&lt;&gt;""",G$6:G3015)-SUMIF(A$6:A3015,"&lt;&gt;""",H$6:H3015),"")</f>
        <v/>
      </c>
    </row>
    <row r="3016">
      <c r="I3016">
        <f>IFERROR(SUMIF(A$6:A3016,"&lt;&gt;""",G$6:G3016)-SUMIF(A$6:A3016,"&lt;&gt;""",H$6:H3016),"")</f>
        <v/>
      </c>
    </row>
    <row r="3017">
      <c r="I3017">
        <f>IFERROR(SUMIF(A$6:A3017,"&lt;&gt;""",G$6:G3017)-SUMIF(A$6:A3017,"&lt;&gt;""",H$6:H3017),"")</f>
        <v/>
      </c>
    </row>
    <row r="3018">
      <c r="I3018">
        <f>IFERROR(SUMIF(A$6:A3018,"&lt;&gt;""",G$6:G3018)-SUMIF(A$6:A3018,"&lt;&gt;""",H$6:H3018),"")</f>
        <v/>
      </c>
    </row>
    <row r="3019">
      <c r="I3019">
        <f>IFERROR(SUMIF(A$6:A3019,"&lt;&gt;""",G$6:G3019)-SUMIF(A$6:A3019,"&lt;&gt;""",H$6:H3019),"")</f>
        <v/>
      </c>
    </row>
    <row r="3020">
      <c r="I3020">
        <f>IFERROR(SUMIF(A$6:A3020,"&lt;&gt;""",G$6:G3020)-SUMIF(A$6:A3020,"&lt;&gt;""",H$6:H3020),"")</f>
        <v/>
      </c>
    </row>
    <row r="3021">
      <c r="I3021">
        <f>IFERROR(SUMIF(A$6:A3021,"&lt;&gt;""",G$6:G3021)-SUMIF(A$6:A3021,"&lt;&gt;""",H$6:H3021),"")</f>
        <v/>
      </c>
    </row>
    <row r="3022">
      <c r="I3022">
        <f>IFERROR(SUMIF(A$6:A3022,"&lt;&gt;""",G$6:G3022)-SUMIF(A$6:A3022,"&lt;&gt;""",H$6:H3022),"")</f>
        <v/>
      </c>
    </row>
    <row r="3023">
      <c r="I3023">
        <f>IFERROR(SUMIF(A$6:A3023,"&lt;&gt;""",G$6:G3023)-SUMIF(A$6:A3023,"&lt;&gt;""",H$6:H3023),"")</f>
        <v/>
      </c>
    </row>
    <row r="3024">
      <c r="I3024">
        <f>IFERROR(SUMIF(A$6:A3024,"&lt;&gt;""",G$6:G3024)-SUMIF(A$6:A3024,"&lt;&gt;""",H$6:H3024),"")</f>
        <v/>
      </c>
    </row>
    <row r="3025">
      <c r="I3025">
        <f>IFERROR(SUMIF(A$6:A3025,"&lt;&gt;""",G$6:G3025)-SUMIF(A$6:A3025,"&lt;&gt;""",H$6:H3025),"")</f>
        <v/>
      </c>
    </row>
    <row r="3026">
      <c r="I3026">
        <f>IFERROR(SUMIF(A$6:A3026,"&lt;&gt;""",G$6:G3026)-SUMIF(A$6:A3026,"&lt;&gt;""",H$6:H3026),"")</f>
        <v/>
      </c>
    </row>
    <row r="3027">
      <c r="I3027">
        <f>IFERROR(SUMIF(A$6:A3027,"&lt;&gt;""",G$6:G3027)-SUMIF(A$6:A3027,"&lt;&gt;""",H$6:H3027),"")</f>
        <v/>
      </c>
    </row>
    <row r="3028">
      <c r="I3028">
        <f>IFERROR(SUMIF(A$6:A3028,"&lt;&gt;""",G$6:G3028)-SUMIF(A$6:A3028,"&lt;&gt;""",H$6:H3028),"")</f>
        <v/>
      </c>
    </row>
    <row r="3029">
      <c r="I3029">
        <f>IFERROR(SUMIF(A$6:A3029,"&lt;&gt;""",G$6:G3029)-SUMIF(A$6:A3029,"&lt;&gt;""",H$6:H3029),"")</f>
        <v/>
      </c>
    </row>
    <row r="3030">
      <c r="I3030">
        <f>IFERROR(SUMIF(A$6:A3030,"&lt;&gt;""",G$6:G3030)-SUMIF(A$6:A3030,"&lt;&gt;""",H$6:H3030),"")</f>
        <v/>
      </c>
    </row>
    <row r="3031">
      <c r="I3031">
        <f>IFERROR(SUMIF(A$6:A3031,"&lt;&gt;""",G$6:G3031)-SUMIF(A$6:A3031,"&lt;&gt;""",H$6:H3031),"")</f>
        <v/>
      </c>
    </row>
    <row r="3032">
      <c r="I3032">
        <f>IFERROR(SUMIF(A$6:A3032,"&lt;&gt;""",G$6:G3032)-SUMIF(A$6:A3032,"&lt;&gt;""",H$6:H3032),"")</f>
        <v/>
      </c>
    </row>
    <row r="3033">
      <c r="I3033">
        <f>IFERROR(SUMIF(A$6:A3033,"&lt;&gt;""",G$6:G3033)-SUMIF(A$6:A3033,"&lt;&gt;""",H$6:H3033),"")</f>
        <v/>
      </c>
    </row>
    <row r="3034">
      <c r="I3034">
        <f>IFERROR(SUMIF(A$6:A3034,"&lt;&gt;""",G$6:G3034)-SUMIF(A$6:A3034,"&lt;&gt;""",H$6:H3034),"")</f>
        <v/>
      </c>
    </row>
    <row r="3035">
      <c r="I3035">
        <f>IFERROR(SUMIF(A$6:A3035,"&lt;&gt;""",G$6:G3035)-SUMIF(A$6:A3035,"&lt;&gt;""",H$6:H3035),"")</f>
        <v/>
      </c>
    </row>
    <row r="3036">
      <c r="I3036">
        <f>IFERROR(SUMIF(A$6:A3036,"&lt;&gt;""",G$6:G3036)-SUMIF(A$6:A3036,"&lt;&gt;""",H$6:H3036),"")</f>
        <v/>
      </c>
    </row>
    <row r="3037">
      <c r="I3037">
        <f>IFERROR(SUMIF(A$6:A3037,"&lt;&gt;""",G$6:G3037)-SUMIF(A$6:A3037,"&lt;&gt;""",H$6:H3037),"")</f>
        <v/>
      </c>
    </row>
    <row r="3038">
      <c r="I3038">
        <f>IFERROR(SUMIF(A$6:A3038,"&lt;&gt;""",G$6:G3038)-SUMIF(A$6:A3038,"&lt;&gt;""",H$6:H3038),"")</f>
        <v/>
      </c>
    </row>
    <row r="3039">
      <c r="I3039">
        <f>IFERROR(SUMIF(A$6:A3039,"&lt;&gt;""",G$6:G3039)-SUMIF(A$6:A3039,"&lt;&gt;""",H$6:H3039),"")</f>
        <v/>
      </c>
    </row>
    <row r="3040">
      <c r="I3040">
        <f>IFERROR(SUMIF(A$6:A3040,"&lt;&gt;""",G$6:G3040)-SUMIF(A$6:A3040,"&lt;&gt;""",H$6:H3040),"")</f>
        <v/>
      </c>
    </row>
    <row r="3041">
      <c r="I3041">
        <f>IFERROR(SUMIF(A$6:A3041,"&lt;&gt;""",G$6:G3041)-SUMIF(A$6:A3041,"&lt;&gt;""",H$6:H3041),"")</f>
        <v/>
      </c>
    </row>
    <row r="3042">
      <c r="I3042">
        <f>IFERROR(SUMIF(A$6:A3042,"&lt;&gt;""",G$6:G3042)-SUMIF(A$6:A3042,"&lt;&gt;""",H$6:H3042),"")</f>
        <v/>
      </c>
    </row>
    <row r="3043">
      <c r="I3043">
        <f>IFERROR(SUMIF(A$6:A3043,"&lt;&gt;""",G$6:G3043)-SUMIF(A$6:A3043,"&lt;&gt;""",H$6:H3043),"")</f>
        <v/>
      </c>
    </row>
    <row r="3044">
      <c r="I3044">
        <f>IFERROR(SUMIF(A$6:A3044,"&lt;&gt;""",G$6:G3044)-SUMIF(A$6:A3044,"&lt;&gt;""",H$6:H3044),"")</f>
        <v/>
      </c>
    </row>
    <row r="3045">
      <c r="I3045">
        <f>IFERROR(SUMIF(A$6:A3045,"&lt;&gt;""",G$6:G3045)-SUMIF(A$6:A3045,"&lt;&gt;""",H$6:H3045),"")</f>
        <v/>
      </c>
    </row>
    <row r="3046">
      <c r="I3046">
        <f>IFERROR(SUMIF(A$6:A3046,"&lt;&gt;""",G$6:G3046)-SUMIF(A$6:A3046,"&lt;&gt;""",H$6:H3046),"")</f>
        <v/>
      </c>
    </row>
    <row r="3047">
      <c r="I3047">
        <f>IFERROR(SUMIF(A$6:A3047,"&lt;&gt;""",G$6:G3047)-SUMIF(A$6:A3047,"&lt;&gt;""",H$6:H3047),"")</f>
        <v/>
      </c>
    </row>
    <row r="3048">
      <c r="I3048">
        <f>IFERROR(SUMIF(A$6:A3048,"&lt;&gt;""",G$6:G3048)-SUMIF(A$6:A3048,"&lt;&gt;""",H$6:H3048),"")</f>
        <v/>
      </c>
    </row>
    <row r="3049">
      <c r="I3049">
        <f>IFERROR(SUMIF(A$6:A3049,"&lt;&gt;""",G$6:G3049)-SUMIF(A$6:A3049,"&lt;&gt;""",H$6:H3049),"")</f>
        <v/>
      </c>
    </row>
    <row r="3050">
      <c r="I3050">
        <f>IFERROR(SUMIF(A$6:A3050,"&lt;&gt;""",G$6:G3050)-SUMIF(A$6:A3050,"&lt;&gt;""",H$6:H3050),"")</f>
        <v/>
      </c>
    </row>
    <row r="3051">
      <c r="I3051">
        <f>IFERROR(SUMIF(A$6:A3051,"&lt;&gt;""",G$6:G3051)-SUMIF(A$6:A3051,"&lt;&gt;""",H$6:H3051),"")</f>
        <v/>
      </c>
    </row>
    <row r="3052">
      <c r="I3052">
        <f>IFERROR(SUMIF(A$6:A3052,"&lt;&gt;""",G$6:G3052)-SUMIF(A$6:A3052,"&lt;&gt;""",H$6:H3052),"")</f>
        <v/>
      </c>
    </row>
    <row r="3053">
      <c r="I3053">
        <f>IFERROR(SUMIF(A$6:A3053,"&lt;&gt;""",G$6:G3053)-SUMIF(A$6:A3053,"&lt;&gt;""",H$6:H3053),"")</f>
        <v/>
      </c>
    </row>
    <row r="3054">
      <c r="I3054">
        <f>IFERROR(SUMIF(A$6:A3054,"&lt;&gt;""",G$6:G3054)-SUMIF(A$6:A3054,"&lt;&gt;""",H$6:H3054),"")</f>
        <v/>
      </c>
    </row>
    <row r="3055">
      <c r="I3055">
        <f>IFERROR(SUMIF(A$6:A3055,"&lt;&gt;""",G$6:G3055)-SUMIF(A$6:A3055,"&lt;&gt;""",H$6:H3055),"")</f>
        <v/>
      </c>
    </row>
    <row r="3056">
      <c r="I3056">
        <f>IFERROR(SUMIF(A$6:A3056,"&lt;&gt;""",G$6:G3056)-SUMIF(A$6:A3056,"&lt;&gt;""",H$6:H3056),"")</f>
        <v/>
      </c>
    </row>
    <row r="3057">
      <c r="I3057">
        <f>IFERROR(SUMIF(A$6:A3057,"&lt;&gt;""",G$6:G3057)-SUMIF(A$6:A3057,"&lt;&gt;""",H$6:H3057),"")</f>
        <v/>
      </c>
    </row>
    <row r="3058">
      <c r="I3058">
        <f>IFERROR(SUMIF(A$6:A3058,"&lt;&gt;""",G$6:G3058)-SUMIF(A$6:A3058,"&lt;&gt;""",H$6:H3058),"")</f>
        <v/>
      </c>
    </row>
    <row r="3059">
      <c r="I3059">
        <f>IFERROR(SUMIF(A$6:A3059,"&lt;&gt;""",G$6:G3059)-SUMIF(A$6:A3059,"&lt;&gt;""",H$6:H3059),"")</f>
        <v/>
      </c>
    </row>
    <row r="3060">
      <c r="I3060">
        <f>IFERROR(SUMIF(A$6:A3060,"&lt;&gt;""",G$6:G3060)-SUMIF(A$6:A3060,"&lt;&gt;""",H$6:H3060),"")</f>
        <v/>
      </c>
    </row>
    <row r="3061">
      <c r="I3061">
        <f>IFERROR(SUMIF(A$6:A3061,"&lt;&gt;""",G$6:G3061)-SUMIF(A$6:A3061,"&lt;&gt;""",H$6:H3061),"")</f>
        <v/>
      </c>
    </row>
    <row r="3062">
      <c r="I3062">
        <f>IFERROR(SUMIF(A$6:A3062,"&lt;&gt;""",G$6:G3062)-SUMIF(A$6:A3062,"&lt;&gt;""",H$6:H3062),"")</f>
        <v/>
      </c>
    </row>
    <row r="3063">
      <c r="I3063">
        <f>IFERROR(SUMIF(A$6:A3063,"&lt;&gt;""",G$6:G3063)-SUMIF(A$6:A3063,"&lt;&gt;""",H$6:H3063),"")</f>
        <v/>
      </c>
    </row>
    <row r="3064">
      <c r="I3064">
        <f>IFERROR(SUMIF(A$6:A3064,"&lt;&gt;""",G$6:G3064)-SUMIF(A$6:A3064,"&lt;&gt;""",H$6:H3064),"")</f>
        <v/>
      </c>
    </row>
    <row r="3065">
      <c r="I3065">
        <f>IFERROR(SUMIF(A$6:A3065,"&lt;&gt;""",G$6:G3065)-SUMIF(A$6:A3065,"&lt;&gt;""",H$6:H3065),"")</f>
        <v/>
      </c>
    </row>
    <row r="3066">
      <c r="I3066">
        <f>IFERROR(SUMIF(A$6:A3066,"&lt;&gt;""",G$6:G3066)-SUMIF(A$6:A3066,"&lt;&gt;""",H$6:H3066),"")</f>
        <v/>
      </c>
    </row>
    <row r="3067">
      <c r="I3067">
        <f>IFERROR(SUMIF(A$6:A3067,"&lt;&gt;""",G$6:G3067)-SUMIF(A$6:A3067,"&lt;&gt;""",H$6:H3067),"")</f>
        <v/>
      </c>
    </row>
    <row r="3068">
      <c r="I3068">
        <f>IFERROR(SUMIF(A$6:A3068,"&lt;&gt;""",G$6:G3068)-SUMIF(A$6:A3068,"&lt;&gt;""",H$6:H3068),"")</f>
        <v/>
      </c>
    </row>
    <row r="3069">
      <c r="I3069">
        <f>IFERROR(SUMIF(A$6:A3069,"&lt;&gt;""",G$6:G3069)-SUMIF(A$6:A3069,"&lt;&gt;""",H$6:H3069),"")</f>
        <v/>
      </c>
    </row>
    <row r="3070">
      <c r="I3070">
        <f>IFERROR(SUMIF(A$6:A3070,"&lt;&gt;""",G$6:G3070)-SUMIF(A$6:A3070,"&lt;&gt;""",H$6:H3070),"")</f>
        <v/>
      </c>
    </row>
    <row r="3071">
      <c r="I3071">
        <f>IFERROR(SUMIF(A$6:A3071,"&lt;&gt;""",G$6:G3071)-SUMIF(A$6:A3071,"&lt;&gt;""",H$6:H3071),"")</f>
        <v/>
      </c>
    </row>
    <row r="3072">
      <c r="I3072">
        <f>IFERROR(SUMIF(A$6:A3072,"&lt;&gt;""",G$6:G3072)-SUMIF(A$6:A3072,"&lt;&gt;""",H$6:H3072),"")</f>
        <v/>
      </c>
    </row>
    <row r="3073">
      <c r="I3073">
        <f>IFERROR(SUMIF(A$6:A3073,"&lt;&gt;""",G$6:G3073)-SUMIF(A$6:A3073,"&lt;&gt;""",H$6:H3073),"")</f>
        <v/>
      </c>
    </row>
    <row r="3074">
      <c r="I3074">
        <f>IFERROR(SUMIF(A$6:A3074,"&lt;&gt;""",G$6:G3074)-SUMIF(A$6:A3074,"&lt;&gt;""",H$6:H3074),"")</f>
        <v/>
      </c>
    </row>
    <row r="3075">
      <c r="I3075">
        <f>IFERROR(SUMIF(A$6:A3075,"&lt;&gt;""",G$6:G3075)-SUMIF(A$6:A3075,"&lt;&gt;""",H$6:H3075),"")</f>
        <v/>
      </c>
    </row>
    <row r="3076">
      <c r="I3076">
        <f>IFERROR(SUMIF(A$6:A3076,"&lt;&gt;""",G$6:G3076)-SUMIF(A$6:A3076,"&lt;&gt;""",H$6:H3076),"")</f>
        <v/>
      </c>
    </row>
    <row r="3077">
      <c r="I3077">
        <f>IFERROR(SUMIF(A$6:A3077,"&lt;&gt;""",G$6:G3077)-SUMIF(A$6:A3077,"&lt;&gt;""",H$6:H3077),"")</f>
        <v/>
      </c>
    </row>
    <row r="3078">
      <c r="I3078">
        <f>IFERROR(SUMIF(A$6:A3078,"&lt;&gt;""",G$6:G3078)-SUMIF(A$6:A3078,"&lt;&gt;""",H$6:H3078),"")</f>
        <v/>
      </c>
    </row>
    <row r="3079">
      <c r="I3079">
        <f>IFERROR(SUMIF(A$6:A3079,"&lt;&gt;""",G$6:G3079)-SUMIF(A$6:A3079,"&lt;&gt;""",H$6:H3079),"")</f>
        <v/>
      </c>
    </row>
    <row r="3080">
      <c r="I3080">
        <f>IFERROR(SUMIF(A$6:A3080,"&lt;&gt;""",G$6:G3080)-SUMIF(A$6:A3080,"&lt;&gt;""",H$6:H3080),"")</f>
        <v/>
      </c>
    </row>
    <row r="3081">
      <c r="I3081">
        <f>IFERROR(SUMIF(A$6:A3081,"&lt;&gt;""",G$6:G3081)-SUMIF(A$6:A3081,"&lt;&gt;""",H$6:H3081),"")</f>
        <v/>
      </c>
    </row>
    <row r="3082">
      <c r="I3082">
        <f>IFERROR(SUMIF(A$6:A3082,"&lt;&gt;""",G$6:G3082)-SUMIF(A$6:A3082,"&lt;&gt;""",H$6:H3082),"")</f>
        <v/>
      </c>
    </row>
    <row r="3083">
      <c r="I3083">
        <f>IFERROR(SUMIF(A$6:A3083,"&lt;&gt;""",G$6:G3083)-SUMIF(A$6:A3083,"&lt;&gt;""",H$6:H3083),"")</f>
        <v/>
      </c>
    </row>
    <row r="3084">
      <c r="I3084">
        <f>IFERROR(SUMIF(A$6:A3084,"&lt;&gt;""",G$6:G3084)-SUMIF(A$6:A3084,"&lt;&gt;""",H$6:H3084),"")</f>
        <v/>
      </c>
    </row>
    <row r="3085">
      <c r="I3085">
        <f>IFERROR(SUMIF(A$6:A3085,"&lt;&gt;""",G$6:G3085)-SUMIF(A$6:A3085,"&lt;&gt;""",H$6:H3085),"")</f>
        <v/>
      </c>
    </row>
    <row r="3086">
      <c r="I3086">
        <f>IFERROR(SUMIF(A$6:A3086,"&lt;&gt;""",G$6:G3086)-SUMIF(A$6:A3086,"&lt;&gt;""",H$6:H3086),"")</f>
        <v/>
      </c>
    </row>
    <row r="3087">
      <c r="I3087">
        <f>IFERROR(SUMIF(A$6:A3087,"&lt;&gt;""",G$6:G3087)-SUMIF(A$6:A3087,"&lt;&gt;""",H$6:H3087),"")</f>
        <v/>
      </c>
    </row>
    <row r="3088">
      <c r="I3088">
        <f>IFERROR(SUMIF(A$6:A3088,"&lt;&gt;""",G$6:G3088)-SUMIF(A$6:A3088,"&lt;&gt;""",H$6:H3088),"")</f>
        <v/>
      </c>
    </row>
    <row r="3089">
      <c r="I3089">
        <f>IFERROR(SUMIF(A$6:A3089,"&lt;&gt;""",G$6:G3089)-SUMIF(A$6:A3089,"&lt;&gt;""",H$6:H3089),"")</f>
        <v/>
      </c>
    </row>
    <row r="3090">
      <c r="I3090">
        <f>IFERROR(SUMIF(A$6:A3090,"&lt;&gt;""",G$6:G3090)-SUMIF(A$6:A3090,"&lt;&gt;""",H$6:H3090),"")</f>
        <v/>
      </c>
    </row>
    <row r="3091">
      <c r="I3091">
        <f>IFERROR(SUMIF(A$6:A3091,"&lt;&gt;""",G$6:G3091)-SUMIF(A$6:A3091,"&lt;&gt;""",H$6:H3091),"")</f>
        <v/>
      </c>
    </row>
    <row r="3092">
      <c r="I3092">
        <f>IFERROR(SUMIF(A$6:A3092,"&lt;&gt;""",G$6:G3092)-SUMIF(A$6:A3092,"&lt;&gt;""",H$6:H3092),"")</f>
        <v/>
      </c>
    </row>
    <row r="3093">
      <c r="I3093">
        <f>IFERROR(SUMIF(A$6:A3093,"&lt;&gt;""",G$6:G3093)-SUMIF(A$6:A3093,"&lt;&gt;""",H$6:H3093),"")</f>
        <v/>
      </c>
    </row>
    <row r="3094">
      <c r="I3094">
        <f>IFERROR(SUMIF(A$6:A3094,"&lt;&gt;""",G$6:G3094)-SUMIF(A$6:A3094,"&lt;&gt;""",H$6:H3094),"")</f>
        <v/>
      </c>
    </row>
    <row r="3095">
      <c r="I3095">
        <f>IFERROR(SUMIF(A$6:A3095,"&lt;&gt;""",G$6:G3095)-SUMIF(A$6:A3095,"&lt;&gt;""",H$6:H3095),"")</f>
        <v/>
      </c>
    </row>
    <row r="3096">
      <c r="I3096">
        <f>IFERROR(SUMIF(A$6:A3096,"&lt;&gt;""",G$6:G3096)-SUMIF(A$6:A3096,"&lt;&gt;""",H$6:H3096),"")</f>
        <v/>
      </c>
    </row>
    <row r="3097">
      <c r="I3097">
        <f>IFERROR(SUMIF(A$6:A3097,"&lt;&gt;""",G$6:G3097)-SUMIF(A$6:A3097,"&lt;&gt;""",H$6:H3097),"")</f>
        <v/>
      </c>
    </row>
    <row r="3098">
      <c r="I3098">
        <f>IFERROR(SUMIF(A$6:A3098,"&lt;&gt;""",G$6:G3098)-SUMIF(A$6:A3098,"&lt;&gt;""",H$6:H3098),"")</f>
        <v/>
      </c>
    </row>
    <row r="3099">
      <c r="I3099">
        <f>IFERROR(SUMIF(A$6:A3099,"&lt;&gt;""",G$6:G3099)-SUMIF(A$6:A3099,"&lt;&gt;""",H$6:H3099),"")</f>
        <v/>
      </c>
    </row>
    <row r="3100">
      <c r="I3100">
        <f>IFERROR(SUMIF(A$6:A3100,"&lt;&gt;""",G$6:G3100)-SUMIF(A$6:A3100,"&lt;&gt;""",H$6:H3100),"")</f>
        <v/>
      </c>
    </row>
    <row r="3101">
      <c r="I3101">
        <f>IFERROR(SUMIF(A$6:A3101,"&lt;&gt;""",G$6:G3101)-SUMIF(A$6:A3101,"&lt;&gt;""",H$6:H3101),"")</f>
        <v/>
      </c>
    </row>
    <row r="3102">
      <c r="I3102">
        <f>IFERROR(SUMIF(A$6:A3102,"&lt;&gt;""",G$6:G3102)-SUMIF(A$6:A3102,"&lt;&gt;""",H$6:H3102),"")</f>
        <v/>
      </c>
    </row>
    <row r="3103">
      <c r="I3103">
        <f>IFERROR(SUMIF(A$6:A3103,"&lt;&gt;""",G$6:G3103)-SUMIF(A$6:A3103,"&lt;&gt;""",H$6:H3103),"")</f>
        <v/>
      </c>
    </row>
    <row r="3104">
      <c r="I3104">
        <f>IFERROR(SUMIF(A$6:A3104,"&lt;&gt;""",G$6:G3104)-SUMIF(A$6:A3104,"&lt;&gt;""",H$6:H3104),"")</f>
        <v/>
      </c>
    </row>
    <row r="3105">
      <c r="I3105">
        <f>IFERROR(SUMIF(A$6:A3105,"&lt;&gt;""",G$6:G3105)-SUMIF(A$6:A3105,"&lt;&gt;""",H$6:H3105),"")</f>
        <v/>
      </c>
    </row>
    <row r="3106">
      <c r="I3106">
        <f>IFERROR(SUMIF(A$6:A3106,"&lt;&gt;""",G$6:G3106)-SUMIF(A$6:A3106,"&lt;&gt;""",H$6:H3106),"")</f>
        <v/>
      </c>
    </row>
    <row r="3107">
      <c r="I3107">
        <f>IFERROR(SUMIF(A$6:A3107,"&lt;&gt;""",G$6:G3107)-SUMIF(A$6:A3107,"&lt;&gt;""",H$6:H3107),"")</f>
        <v/>
      </c>
    </row>
    <row r="3108">
      <c r="I3108">
        <f>IFERROR(SUMIF(A$6:A3108,"&lt;&gt;""",G$6:G3108)-SUMIF(A$6:A3108,"&lt;&gt;""",H$6:H3108),"")</f>
        <v/>
      </c>
    </row>
    <row r="3109">
      <c r="I3109">
        <f>IFERROR(SUMIF(A$6:A3109,"&lt;&gt;""",G$6:G3109)-SUMIF(A$6:A3109,"&lt;&gt;""",H$6:H3109),"")</f>
        <v/>
      </c>
    </row>
    <row r="3110">
      <c r="I3110">
        <f>IFERROR(SUMIF(A$6:A3110,"&lt;&gt;""",G$6:G3110)-SUMIF(A$6:A3110,"&lt;&gt;""",H$6:H3110),"")</f>
        <v/>
      </c>
    </row>
    <row r="3111">
      <c r="I3111">
        <f>IFERROR(SUMIF(A$6:A3111,"&lt;&gt;""",G$6:G3111)-SUMIF(A$6:A3111,"&lt;&gt;""",H$6:H3111),"")</f>
        <v/>
      </c>
    </row>
    <row r="3112">
      <c r="I3112">
        <f>IFERROR(SUMIF(A$6:A3112,"&lt;&gt;""",G$6:G3112)-SUMIF(A$6:A3112,"&lt;&gt;""",H$6:H3112),"")</f>
        <v/>
      </c>
    </row>
    <row r="3113">
      <c r="I3113">
        <f>IFERROR(SUMIF(A$6:A3113,"&lt;&gt;""",G$6:G3113)-SUMIF(A$6:A3113,"&lt;&gt;""",H$6:H3113),"")</f>
        <v/>
      </c>
    </row>
    <row r="3114">
      <c r="I3114">
        <f>IFERROR(SUMIF(A$6:A3114,"&lt;&gt;""",G$6:G3114)-SUMIF(A$6:A3114,"&lt;&gt;""",H$6:H3114),"")</f>
        <v/>
      </c>
    </row>
    <row r="3115">
      <c r="I3115">
        <f>IFERROR(SUMIF(A$6:A3115,"&lt;&gt;""",G$6:G3115)-SUMIF(A$6:A3115,"&lt;&gt;""",H$6:H3115),"")</f>
        <v/>
      </c>
    </row>
    <row r="3116">
      <c r="I3116">
        <f>IFERROR(SUMIF(A$6:A3116,"&lt;&gt;""",G$6:G3116)-SUMIF(A$6:A3116,"&lt;&gt;""",H$6:H3116),"")</f>
        <v/>
      </c>
    </row>
    <row r="3117">
      <c r="I3117">
        <f>IFERROR(SUMIF(A$6:A3117,"&lt;&gt;""",G$6:G3117)-SUMIF(A$6:A3117,"&lt;&gt;""",H$6:H3117),"")</f>
        <v/>
      </c>
    </row>
    <row r="3118">
      <c r="I3118">
        <f>IFERROR(SUMIF(A$6:A3118,"&lt;&gt;""",G$6:G3118)-SUMIF(A$6:A3118,"&lt;&gt;""",H$6:H3118),"")</f>
        <v/>
      </c>
    </row>
    <row r="3119">
      <c r="I3119">
        <f>IFERROR(SUMIF(A$6:A3119,"&lt;&gt;""",G$6:G3119)-SUMIF(A$6:A3119,"&lt;&gt;""",H$6:H3119),"")</f>
        <v/>
      </c>
    </row>
    <row r="3120">
      <c r="I3120">
        <f>IFERROR(SUMIF(A$6:A3120,"&lt;&gt;""",G$6:G3120)-SUMIF(A$6:A3120,"&lt;&gt;""",H$6:H3120),"")</f>
        <v/>
      </c>
    </row>
    <row r="3121">
      <c r="I3121">
        <f>IFERROR(SUMIF(A$6:A3121,"&lt;&gt;""",G$6:G3121)-SUMIF(A$6:A3121,"&lt;&gt;""",H$6:H3121),"")</f>
        <v/>
      </c>
    </row>
    <row r="3122">
      <c r="I3122">
        <f>IFERROR(SUMIF(A$6:A3122,"&lt;&gt;""",G$6:G3122)-SUMIF(A$6:A3122,"&lt;&gt;""",H$6:H3122),"")</f>
        <v/>
      </c>
    </row>
    <row r="3123">
      <c r="I3123">
        <f>IFERROR(SUMIF(A$6:A3123,"&lt;&gt;""",G$6:G3123)-SUMIF(A$6:A3123,"&lt;&gt;""",H$6:H3123),"")</f>
        <v/>
      </c>
    </row>
    <row r="3124">
      <c r="I3124">
        <f>IFERROR(SUMIF(A$6:A3124,"&lt;&gt;""",G$6:G3124)-SUMIF(A$6:A3124,"&lt;&gt;""",H$6:H3124),"")</f>
        <v/>
      </c>
    </row>
    <row r="3125">
      <c r="I3125">
        <f>IFERROR(SUMIF(A$6:A3125,"&lt;&gt;""",G$6:G3125)-SUMIF(A$6:A3125,"&lt;&gt;""",H$6:H3125),"")</f>
        <v/>
      </c>
    </row>
    <row r="3126">
      <c r="I3126">
        <f>IFERROR(SUMIF(A$6:A3126,"&lt;&gt;""",G$6:G3126)-SUMIF(A$6:A3126,"&lt;&gt;""",H$6:H3126),"")</f>
        <v/>
      </c>
    </row>
    <row r="3127">
      <c r="I3127">
        <f>IFERROR(SUMIF(A$6:A3127,"&lt;&gt;""",G$6:G3127)-SUMIF(A$6:A3127,"&lt;&gt;""",H$6:H3127),"")</f>
        <v/>
      </c>
    </row>
    <row r="3128">
      <c r="I3128">
        <f>IFERROR(SUMIF(A$6:A3128,"&lt;&gt;""",G$6:G3128)-SUMIF(A$6:A3128,"&lt;&gt;""",H$6:H3128),"")</f>
        <v/>
      </c>
    </row>
    <row r="3129">
      <c r="I3129">
        <f>IFERROR(SUMIF(A$6:A3129,"&lt;&gt;""",G$6:G3129)-SUMIF(A$6:A3129,"&lt;&gt;""",H$6:H3129),"")</f>
        <v/>
      </c>
    </row>
    <row r="3130">
      <c r="I3130">
        <f>IFERROR(SUMIF(A$6:A3130,"&lt;&gt;""",G$6:G3130)-SUMIF(A$6:A3130,"&lt;&gt;""",H$6:H3130),"")</f>
        <v/>
      </c>
    </row>
    <row r="3131">
      <c r="I3131">
        <f>IFERROR(SUMIF(A$6:A3131,"&lt;&gt;""",G$6:G3131)-SUMIF(A$6:A3131,"&lt;&gt;""",H$6:H3131),"")</f>
        <v/>
      </c>
    </row>
    <row r="3132">
      <c r="I3132">
        <f>IFERROR(SUMIF(A$6:A3132,"&lt;&gt;""",G$6:G3132)-SUMIF(A$6:A3132,"&lt;&gt;""",H$6:H3132),"")</f>
        <v/>
      </c>
    </row>
    <row r="3133">
      <c r="I3133">
        <f>IFERROR(SUMIF(A$6:A3133,"&lt;&gt;""",G$6:G3133)-SUMIF(A$6:A3133,"&lt;&gt;""",H$6:H3133),"")</f>
        <v/>
      </c>
    </row>
    <row r="3134">
      <c r="I3134">
        <f>IFERROR(SUMIF(A$6:A3134,"&lt;&gt;""",G$6:G3134)-SUMIF(A$6:A3134,"&lt;&gt;""",H$6:H3134),"")</f>
        <v/>
      </c>
    </row>
    <row r="3135">
      <c r="I3135">
        <f>IFERROR(SUMIF(A$6:A3135,"&lt;&gt;""",G$6:G3135)-SUMIF(A$6:A3135,"&lt;&gt;""",H$6:H3135),"")</f>
        <v/>
      </c>
    </row>
    <row r="3136">
      <c r="I3136">
        <f>IFERROR(SUMIF(A$6:A3136,"&lt;&gt;""",G$6:G3136)-SUMIF(A$6:A3136,"&lt;&gt;""",H$6:H3136),"")</f>
        <v/>
      </c>
    </row>
    <row r="3137">
      <c r="I3137">
        <f>IFERROR(SUMIF(A$6:A3137,"&lt;&gt;""",G$6:G3137)-SUMIF(A$6:A3137,"&lt;&gt;""",H$6:H3137),"")</f>
        <v/>
      </c>
    </row>
    <row r="3138">
      <c r="I3138">
        <f>IFERROR(SUMIF(A$6:A3138,"&lt;&gt;""",G$6:G3138)-SUMIF(A$6:A3138,"&lt;&gt;""",H$6:H3138),"")</f>
        <v/>
      </c>
    </row>
    <row r="3139">
      <c r="I3139">
        <f>IFERROR(SUMIF(A$6:A3139,"&lt;&gt;""",G$6:G3139)-SUMIF(A$6:A3139,"&lt;&gt;""",H$6:H3139),"")</f>
        <v/>
      </c>
    </row>
    <row r="3140">
      <c r="I3140">
        <f>IFERROR(SUMIF(A$6:A3140,"&lt;&gt;""",G$6:G3140)-SUMIF(A$6:A3140,"&lt;&gt;""",H$6:H3140),"")</f>
        <v/>
      </c>
    </row>
    <row r="3141">
      <c r="I3141">
        <f>IFERROR(SUMIF(A$6:A3141,"&lt;&gt;""",G$6:G3141)-SUMIF(A$6:A3141,"&lt;&gt;""",H$6:H3141),"")</f>
        <v/>
      </c>
    </row>
    <row r="3142">
      <c r="I3142">
        <f>IFERROR(SUMIF(A$6:A3142,"&lt;&gt;""",G$6:G3142)-SUMIF(A$6:A3142,"&lt;&gt;""",H$6:H3142),"")</f>
        <v/>
      </c>
    </row>
    <row r="3143">
      <c r="I3143">
        <f>IFERROR(SUMIF(A$6:A3143,"&lt;&gt;""",G$6:G3143)-SUMIF(A$6:A3143,"&lt;&gt;""",H$6:H3143),"")</f>
        <v/>
      </c>
    </row>
    <row r="3144">
      <c r="I3144">
        <f>IFERROR(SUMIF(A$6:A3144,"&lt;&gt;""",G$6:G3144)-SUMIF(A$6:A3144,"&lt;&gt;""",H$6:H3144),"")</f>
        <v/>
      </c>
    </row>
    <row r="3145">
      <c r="I3145">
        <f>IFERROR(SUMIF(A$6:A3145,"&lt;&gt;""",G$6:G3145)-SUMIF(A$6:A3145,"&lt;&gt;""",H$6:H3145),"")</f>
        <v/>
      </c>
    </row>
    <row r="3146">
      <c r="I3146">
        <f>IFERROR(SUMIF(A$6:A3146,"&lt;&gt;""",G$6:G3146)-SUMIF(A$6:A3146,"&lt;&gt;""",H$6:H3146),"")</f>
        <v/>
      </c>
    </row>
    <row r="3147">
      <c r="I3147">
        <f>IFERROR(SUMIF(A$6:A3147,"&lt;&gt;""",G$6:G3147)-SUMIF(A$6:A3147,"&lt;&gt;""",H$6:H3147),"")</f>
        <v/>
      </c>
    </row>
    <row r="3148">
      <c r="I3148">
        <f>IFERROR(SUMIF(A$6:A3148,"&lt;&gt;""",G$6:G3148)-SUMIF(A$6:A3148,"&lt;&gt;""",H$6:H3148),"")</f>
        <v/>
      </c>
    </row>
    <row r="3149">
      <c r="I3149">
        <f>IFERROR(SUMIF(A$6:A3149,"&lt;&gt;""",G$6:G3149)-SUMIF(A$6:A3149,"&lt;&gt;""",H$6:H3149),"")</f>
        <v/>
      </c>
    </row>
    <row r="3150">
      <c r="I3150">
        <f>IFERROR(SUMIF(A$6:A3150,"&lt;&gt;""",G$6:G3150)-SUMIF(A$6:A3150,"&lt;&gt;""",H$6:H3150),"")</f>
        <v/>
      </c>
    </row>
    <row r="3151">
      <c r="I3151">
        <f>IFERROR(SUMIF(A$6:A3151,"&lt;&gt;""",G$6:G3151)-SUMIF(A$6:A3151,"&lt;&gt;""",H$6:H3151),"")</f>
        <v/>
      </c>
    </row>
    <row r="3152">
      <c r="I3152">
        <f>IFERROR(SUMIF(A$6:A3152,"&lt;&gt;""",G$6:G3152)-SUMIF(A$6:A3152,"&lt;&gt;""",H$6:H3152),"")</f>
        <v/>
      </c>
    </row>
    <row r="3153">
      <c r="I3153">
        <f>IFERROR(SUMIF(A$6:A3153,"&lt;&gt;""",G$6:G3153)-SUMIF(A$6:A3153,"&lt;&gt;""",H$6:H3153),"")</f>
        <v/>
      </c>
    </row>
    <row r="3154">
      <c r="I3154">
        <f>IFERROR(SUMIF(A$6:A3154,"&lt;&gt;""",G$6:G3154)-SUMIF(A$6:A3154,"&lt;&gt;""",H$6:H3154),"")</f>
        <v/>
      </c>
    </row>
    <row r="3155">
      <c r="I3155">
        <f>IFERROR(SUMIF(A$6:A3155,"&lt;&gt;""",G$6:G3155)-SUMIF(A$6:A3155,"&lt;&gt;""",H$6:H3155),"")</f>
        <v/>
      </c>
    </row>
    <row r="3156">
      <c r="I3156">
        <f>IFERROR(SUMIF(A$6:A3156,"&lt;&gt;""",G$6:G3156)-SUMIF(A$6:A3156,"&lt;&gt;""",H$6:H3156),"")</f>
        <v/>
      </c>
    </row>
    <row r="3157">
      <c r="I3157">
        <f>IFERROR(SUMIF(A$6:A3157,"&lt;&gt;""",G$6:G3157)-SUMIF(A$6:A3157,"&lt;&gt;""",H$6:H3157),"")</f>
        <v/>
      </c>
    </row>
    <row r="3158">
      <c r="I3158">
        <f>IFERROR(SUMIF(A$6:A3158,"&lt;&gt;""",G$6:G3158)-SUMIF(A$6:A3158,"&lt;&gt;""",H$6:H3158),"")</f>
        <v/>
      </c>
    </row>
    <row r="3159">
      <c r="I3159">
        <f>IFERROR(SUMIF(A$6:A3159,"&lt;&gt;""",G$6:G3159)-SUMIF(A$6:A3159,"&lt;&gt;""",H$6:H3159),"")</f>
        <v/>
      </c>
    </row>
    <row r="3160">
      <c r="I3160">
        <f>IFERROR(SUMIF(A$6:A3160,"&lt;&gt;""",G$6:G3160)-SUMIF(A$6:A3160,"&lt;&gt;""",H$6:H3160),"")</f>
        <v/>
      </c>
    </row>
    <row r="3161">
      <c r="I3161">
        <f>IFERROR(SUMIF(A$6:A3161,"&lt;&gt;""",G$6:G3161)-SUMIF(A$6:A3161,"&lt;&gt;""",H$6:H3161),"")</f>
        <v/>
      </c>
    </row>
    <row r="3162">
      <c r="I3162">
        <f>IFERROR(SUMIF(A$6:A3162,"&lt;&gt;""",G$6:G3162)-SUMIF(A$6:A3162,"&lt;&gt;""",H$6:H3162),"")</f>
        <v/>
      </c>
    </row>
    <row r="3163">
      <c r="I3163">
        <f>IFERROR(SUMIF(A$6:A3163,"&lt;&gt;""",G$6:G3163)-SUMIF(A$6:A3163,"&lt;&gt;""",H$6:H3163),"")</f>
        <v/>
      </c>
    </row>
    <row r="3164">
      <c r="I3164">
        <f>IFERROR(SUMIF(A$6:A3164,"&lt;&gt;""",G$6:G3164)-SUMIF(A$6:A3164,"&lt;&gt;""",H$6:H3164),"")</f>
        <v/>
      </c>
    </row>
    <row r="3165">
      <c r="I3165">
        <f>IFERROR(SUMIF(A$6:A3165,"&lt;&gt;""",G$6:G3165)-SUMIF(A$6:A3165,"&lt;&gt;""",H$6:H3165),"")</f>
        <v/>
      </c>
    </row>
    <row r="3166">
      <c r="I3166">
        <f>IFERROR(SUMIF(A$6:A3166,"&lt;&gt;""",G$6:G3166)-SUMIF(A$6:A3166,"&lt;&gt;""",H$6:H3166),"")</f>
        <v/>
      </c>
    </row>
    <row r="3167">
      <c r="I3167">
        <f>IFERROR(SUMIF(A$6:A3167,"&lt;&gt;""",G$6:G3167)-SUMIF(A$6:A3167,"&lt;&gt;""",H$6:H3167),"")</f>
        <v/>
      </c>
    </row>
    <row r="3168">
      <c r="I3168">
        <f>IFERROR(SUMIF(A$6:A3168,"&lt;&gt;""",G$6:G3168)-SUMIF(A$6:A3168,"&lt;&gt;""",H$6:H3168),"")</f>
        <v/>
      </c>
    </row>
    <row r="3169">
      <c r="I3169">
        <f>IFERROR(SUMIF(A$6:A3169,"&lt;&gt;""",G$6:G3169)-SUMIF(A$6:A3169,"&lt;&gt;""",H$6:H3169),"")</f>
        <v/>
      </c>
    </row>
    <row r="3170">
      <c r="I3170">
        <f>IFERROR(SUMIF(A$6:A3170,"&lt;&gt;""",G$6:G3170)-SUMIF(A$6:A3170,"&lt;&gt;""",H$6:H3170),"")</f>
        <v/>
      </c>
    </row>
    <row r="3171">
      <c r="I3171">
        <f>IFERROR(SUMIF(A$6:A3171,"&lt;&gt;""",G$6:G3171)-SUMIF(A$6:A3171,"&lt;&gt;""",H$6:H3171),"")</f>
        <v/>
      </c>
    </row>
    <row r="3172">
      <c r="I3172">
        <f>IFERROR(SUMIF(A$6:A3172,"&lt;&gt;""",G$6:G3172)-SUMIF(A$6:A3172,"&lt;&gt;""",H$6:H3172),"")</f>
        <v/>
      </c>
    </row>
    <row r="3173">
      <c r="I3173">
        <f>IFERROR(SUMIF(A$6:A3173,"&lt;&gt;""",G$6:G3173)-SUMIF(A$6:A3173,"&lt;&gt;""",H$6:H3173),"")</f>
        <v/>
      </c>
    </row>
    <row r="3174">
      <c r="I3174">
        <f>IFERROR(SUMIF(A$6:A3174,"&lt;&gt;""",G$6:G3174)-SUMIF(A$6:A3174,"&lt;&gt;""",H$6:H3174),"")</f>
        <v/>
      </c>
    </row>
    <row r="3175">
      <c r="I3175">
        <f>IFERROR(SUMIF(A$6:A3175,"&lt;&gt;""",G$6:G3175)-SUMIF(A$6:A3175,"&lt;&gt;""",H$6:H3175),"")</f>
        <v/>
      </c>
    </row>
    <row r="3176">
      <c r="I3176">
        <f>IFERROR(SUMIF(A$6:A3176,"&lt;&gt;""",G$6:G3176)-SUMIF(A$6:A3176,"&lt;&gt;""",H$6:H3176),"")</f>
        <v/>
      </c>
    </row>
    <row r="3177">
      <c r="I3177">
        <f>IFERROR(SUMIF(A$6:A3177,"&lt;&gt;""",G$6:G3177)-SUMIF(A$6:A3177,"&lt;&gt;""",H$6:H3177),"")</f>
        <v/>
      </c>
    </row>
    <row r="3178">
      <c r="I3178">
        <f>IFERROR(SUMIF(A$6:A3178,"&lt;&gt;""",G$6:G3178)-SUMIF(A$6:A3178,"&lt;&gt;""",H$6:H3178),"")</f>
        <v/>
      </c>
    </row>
    <row r="3179">
      <c r="I3179">
        <f>IFERROR(SUMIF(A$6:A3179,"&lt;&gt;""",G$6:G3179)-SUMIF(A$6:A3179,"&lt;&gt;""",H$6:H3179),"")</f>
        <v/>
      </c>
    </row>
    <row r="3180">
      <c r="I3180">
        <f>IFERROR(SUMIF(A$6:A3180,"&lt;&gt;""",G$6:G3180)-SUMIF(A$6:A3180,"&lt;&gt;""",H$6:H3180),"")</f>
        <v/>
      </c>
    </row>
    <row r="3181">
      <c r="I3181">
        <f>IFERROR(SUMIF(A$6:A3181,"&lt;&gt;""",G$6:G3181)-SUMIF(A$6:A3181,"&lt;&gt;""",H$6:H3181),"")</f>
        <v/>
      </c>
    </row>
    <row r="3182">
      <c r="I3182">
        <f>IFERROR(SUMIF(A$6:A3182,"&lt;&gt;""",G$6:G3182)-SUMIF(A$6:A3182,"&lt;&gt;""",H$6:H3182),"")</f>
        <v/>
      </c>
    </row>
    <row r="3183">
      <c r="I3183">
        <f>IFERROR(SUMIF(A$6:A3183,"&lt;&gt;""",G$6:G3183)-SUMIF(A$6:A3183,"&lt;&gt;""",H$6:H3183),"")</f>
        <v/>
      </c>
    </row>
    <row r="3184">
      <c r="I3184">
        <f>IFERROR(SUMIF(A$6:A3184,"&lt;&gt;""",G$6:G3184)-SUMIF(A$6:A3184,"&lt;&gt;""",H$6:H3184),"")</f>
        <v/>
      </c>
    </row>
    <row r="3185">
      <c r="I3185">
        <f>IFERROR(SUMIF(A$6:A3185,"&lt;&gt;""",G$6:G3185)-SUMIF(A$6:A3185,"&lt;&gt;""",H$6:H3185),"")</f>
        <v/>
      </c>
    </row>
    <row r="3186">
      <c r="I3186">
        <f>IFERROR(SUMIF(A$6:A3186,"&lt;&gt;""",G$6:G3186)-SUMIF(A$6:A3186,"&lt;&gt;""",H$6:H3186),"")</f>
        <v/>
      </c>
    </row>
    <row r="3187">
      <c r="I3187">
        <f>IFERROR(SUMIF(A$6:A3187,"&lt;&gt;""",G$6:G3187)-SUMIF(A$6:A3187,"&lt;&gt;""",H$6:H3187),"")</f>
        <v/>
      </c>
    </row>
    <row r="3188">
      <c r="I3188">
        <f>IFERROR(SUMIF(A$6:A3188,"&lt;&gt;""",G$6:G3188)-SUMIF(A$6:A3188,"&lt;&gt;""",H$6:H3188),"")</f>
        <v/>
      </c>
    </row>
    <row r="3189">
      <c r="I3189">
        <f>IFERROR(SUMIF(A$6:A3189,"&lt;&gt;""",G$6:G3189)-SUMIF(A$6:A3189,"&lt;&gt;""",H$6:H3189),"")</f>
        <v/>
      </c>
    </row>
    <row r="3190">
      <c r="I3190">
        <f>IFERROR(SUMIF(A$6:A3190,"&lt;&gt;""",G$6:G3190)-SUMIF(A$6:A3190,"&lt;&gt;""",H$6:H3190),"")</f>
        <v/>
      </c>
    </row>
    <row r="3191">
      <c r="I3191">
        <f>IFERROR(SUMIF(A$6:A3191,"&lt;&gt;""",G$6:G3191)-SUMIF(A$6:A3191,"&lt;&gt;""",H$6:H3191),"")</f>
        <v/>
      </c>
    </row>
    <row r="3192">
      <c r="I3192">
        <f>IFERROR(SUMIF(A$6:A3192,"&lt;&gt;""",G$6:G3192)-SUMIF(A$6:A3192,"&lt;&gt;""",H$6:H3192),"")</f>
        <v/>
      </c>
    </row>
    <row r="3193">
      <c r="I3193">
        <f>IFERROR(SUMIF(A$6:A3193,"&lt;&gt;""",G$6:G3193)-SUMIF(A$6:A3193,"&lt;&gt;""",H$6:H3193),"")</f>
        <v/>
      </c>
    </row>
    <row r="3194">
      <c r="I3194">
        <f>IFERROR(SUMIF(A$6:A3194,"&lt;&gt;""",G$6:G3194)-SUMIF(A$6:A3194,"&lt;&gt;""",H$6:H3194),"")</f>
        <v/>
      </c>
    </row>
    <row r="3195">
      <c r="I3195">
        <f>IFERROR(SUMIF(A$6:A3195,"&lt;&gt;""",G$6:G3195)-SUMIF(A$6:A3195,"&lt;&gt;""",H$6:H3195),"")</f>
        <v/>
      </c>
    </row>
    <row r="3196">
      <c r="I3196">
        <f>IFERROR(SUMIF(A$6:A3196,"&lt;&gt;""",G$6:G3196)-SUMIF(A$6:A3196,"&lt;&gt;""",H$6:H3196),"")</f>
        <v/>
      </c>
    </row>
    <row r="3197">
      <c r="I3197">
        <f>IFERROR(SUMIF(A$6:A3197,"&lt;&gt;""",G$6:G3197)-SUMIF(A$6:A3197,"&lt;&gt;""",H$6:H3197),"")</f>
        <v/>
      </c>
    </row>
    <row r="3198">
      <c r="I3198">
        <f>IFERROR(SUMIF(A$6:A3198,"&lt;&gt;""",G$6:G3198)-SUMIF(A$6:A3198,"&lt;&gt;""",H$6:H3198),"")</f>
        <v/>
      </c>
    </row>
    <row r="3199">
      <c r="I3199">
        <f>IFERROR(SUMIF(A$6:A3199,"&lt;&gt;""",G$6:G3199)-SUMIF(A$6:A3199,"&lt;&gt;""",H$6:H3199),"")</f>
        <v/>
      </c>
    </row>
    <row r="3200">
      <c r="I3200">
        <f>IFERROR(SUMIF(A$6:A3200,"&lt;&gt;""",G$6:G3200)-SUMIF(A$6:A3200,"&lt;&gt;""",H$6:H3200),"")</f>
        <v/>
      </c>
    </row>
    <row r="3201">
      <c r="I3201">
        <f>IFERROR(SUMIF(A$6:A3201,"&lt;&gt;""",G$6:G3201)-SUMIF(A$6:A3201,"&lt;&gt;""",H$6:H3201),"")</f>
        <v/>
      </c>
    </row>
    <row r="3202">
      <c r="I3202">
        <f>IFERROR(SUMIF(A$6:A3202,"&lt;&gt;""",G$6:G3202)-SUMIF(A$6:A3202,"&lt;&gt;""",H$6:H3202),"")</f>
        <v/>
      </c>
    </row>
    <row r="3203">
      <c r="I3203">
        <f>IFERROR(SUMIF(A$6:A3203,"&lt;&gt;""",G$6:G3203)-SUMIF(A$6:A3203,"&lt;&gt;""",H$6:H3203),"")</f>
        <v/>
      </c>
    </row>
    <row r="3204">
      <c r="I3204">
        <f>IFERROR(SUMIF(A$6:A3204,"&lt;&gt;""",G$6:G3204)-SUMIF(A$6:A3204,"&lt;&gt;""",H$6:H3204),"")</f>
        <v/>
      </c>
    </row>
    <row r="3205">
      <c r="I3205">
        <f>IFERROR(SUMIF(A$6:A3205,"&lt;&gt;""",G$6:G3205)-SUMIF(A$6:A3205,"&lt;&gt;""",H$6:H3205),"")</f>
        <v/>
      </c>
    </row>
    <row r="3206">
      <c r="I3206">
        <f>IFERROR(SUMIF(A$6:A3206,"&lt;&gt;""",G$6:G3206)-SUMIF(A$6:A3206,"&lt;&gt;""",H$6:H3206),"")</f>
        <v/>
      </c>
    </row>
    <row r="3207">
      <c r="I3207">
        <f>IFERROR(SUMIF(A$6:A3207,"&lt;&gt;""",G$6:G3207)-SUMIF(A$6:A3207,"&lt;&gt;""",H$6:H3207),"")</f>
        <v/>
      </c>
    </row>
    <row r="3208">
      <c r="I3208">
        <f>IFERROR(SUMIF(A$6:A3208,"&lt;&gt;""",G$6:G3208)-SUMIF(A$6:A3208,"&lt;&gt;""",H$6:H3208),"")</f>
        <v/>
      </c>
    </row>
    <row r="3209">
      <c r="I3209">
        <f>IFERROR(SUMIF(A$6:A3209,"&lt;&gt;""",G$6:G3209)-SUMIF(A$6:A3209,"&lt;&gt;""",H$6:H3209),"")</f>
        <v/>
      </c>
    </row>
    <row r="3210">
      <c r="I3210">
        <f>IFERROR(SUMIF(A$6:A3210,"&lt;&gt;""",G$6:G3210)-SUMIF(A$6:A3210,"&lt;&gt;""",H$6:H3210),"")</f>
        <v/>
      </c>
    </row>
    <row r="3211">
      <c r="I3211">
        <f>IFERROR(SUMIF(A$6:A3211,"&lt;&gt;""",G$6:G3211)-SUMIF(A$6:A3211,"&lt;&gt;""",H$6:H3211),"")</f>
        <v/>
      </c>
    </row>
    <row r="3212">
      <c r="I3212">
        <f>IFERROR(SUMIF(A$6:A3212,"&lt;&gt;""",G$6:G3212)-SUMIF(A$6:A3212,"&lt;&gt;""",H$6:H3212),"")</f>
        <v/>
      </c>
    </row>
    <row r="3213">
      <c r="I3213">
        <f>IFERROR(SUMIF(A$6:A3213,"&lt;&gt;""",G$6:G3213)-SUMIF(A$6:A3213,"&lt;&gt;""",H$6:H3213),"")</f>
        <v/>
      </c>
    </row>
    <row r="3214">
      <c r="I3214">
        <f>IFERROR(SUMIF(A$6:A3214,"&lt;&gt;""",G$6:G3214)-SUMIF(A$6:A3214,"&lt;&gt;""",H$6:H3214),"")</f>
        <v/>
      </c>
    </row>
    <row r="3215">
      <c r="I3215">
        <f>IFERROR(SUMIF(A$6:A3215,"&lt;&gt;""",G$6:G3215)-SUMIF(A$6:A3215,"&lt;&gt;""",H$6:H3215),"")</f>
        <v/>
      </c>
    </row>
    <row r="3216">
      <c r="I3216">
        <f>IFERROR(SUMIF(A$6:A3216,"&lt;&gt;""",G$6:G3216)-SUMIF(A$6:A3216,"&lt;&gt;""",H$6:H3216),"")</f>
        <v/>
      </c>
    </row>
    <row r="3217">
      <c r="I3217">
        <f>IFERROR(SUMIF(A$6:A3217,"&lt;&gt;""",G$6:G3217)-SUMIF(A$6:A3217,"&lt;&gt;""",H$6:H3217),"")</f>
        <v/>
      </c>
    </row>
    <row r="3218">
      <c r="I3218">
        <f>IFERROR(SUMIF(A$6:A3218,"&lt;&gt;""",G$6:G3218)-SUMIF(A$6:A3218,"&lt;&gt;""",H$6:H3218),"")</f>
        <v/>
      </c>
    </row>
    <row r="3219">
      <c r="I3219">
        <f>IFERROR(SUMIF(A$6:A3219,"&lt;&gt;""",G$6:G3219)-SUMIF(A$6:A3219,"&lt;&gt;""",H$6:H3219),"")</f>
        <v/>
      </c>
    </row>
    <row r="3220">
      <c r="I3220">
        <f>IFERROR(SUMIF(A$6:A3220,"&lt;&gt;""",G$6:G3220)-SUMIF(A$6:A3220,"&lt;&gt;""",H$6:H3220),"")</f>
        <v/>
      </c>
    </row>
    <row r="3221">
      <c r="I3221">
        <f>IFERROR(SUMIF(A$6:A3221,"&lt;&gt;""",G$6:G3221)-SUMIF(A$6:A3221,"&lt;&gt;""",H$6:H3221),"")</f>
        <v/>
      </c>
    </row>
    <row r="3222">
      <c r="I3222">
        <f>IFERROR(SUMIF(A$6:A3222,"&lt;&gt;""",G$6:G3222)-SUMIF(A$6:A3222,"&lt;&gt;""",H$6:H3222),"")</f>
        <v/>
      </c>
    </row>
    <row r="3223">
      <c r="I3223">
        <f>IFERROR(SUMIF(A$6:A3223,"&lt;&gt;""",G$6:G3223)-SUMIF(A$6:A3223,"&lt;&gt;""",H$6:H3223),"")</f>
        <v/>
      </c>
    </row>
    <row r="3224">
      <c r="I3224">
        <f>IFERROR(SUMIF(A$6:A3224,"&lt;&gt;""",G$6:G3224)-SUMIF(A$6:A3224,"&lt;&gt;""",H$6:H3224),"")</f>
        <v/>
      </c>
    </row>
    <row r="3225">
      <c r="I3225">
        <f>IFERROR(SUMIF(A$6:A3225,"&lt;&gt;""",G$6:G3225)-SUMIF(A$6:A3225,"&lt;&gt;""",H$6:H3225),"")</f>
        <v/>
      </c>
    </row>
    <row r="3226">
      <c r="I3226">
        <f>IFERROR(SUMIF(A$6:A3226,"&lt;&gt;""",G$6:G3226)-SUMIF(A$6:A3226,"&lt;&gt;""",H$6:H3226),"")</f>
        <v/>
      </c>
    </row>
    <row r="3227">
      <c r="I3227">
        <f>IFERROR(SUMIF(A$6:A3227,"&lt;&gt;""",G$6:G3227)-SUMIF(A$6:A3227,"&lt;&gt;""",H$6:H3227),"")</f>
        <v/>
      </c>
    </row>
    <row r="3228">
      <c r="I3228">
        <f>IFERROR(SUMIF(A$6:A3228,"&lt;&gt;""",G$6:G3228)-SUMIF(A$6:A3228,"&lt;&gt;""",H$6:H3228),"")</f>
        <v/>
      </c>
    </row>
    <row r="3229">
      <c r="I3229">
        <f>IFERROR(SUMIF(A$6:A3229,"&lt;&gt;""",G$6:G3229)-SUMIF(A$6:A3229,"&lt;&gt;""",H$6:H3229),"")</f>
        <v/>
      </c>
    </row>
    <row r="3230">
      <c r="I3230">
        <f>IFERROR(SUMIF(A$6:A3230,"&lt;&gt;""",G$6:G3230)-SUMIF(A$6:A3230,"&lt;&gt;""",H$6:H3230),"")</f>
        <v/>
      </c>
    </row>
    <row r="3231">
      <c r="I3231">
        <f>IFERROR(SUMIF(A$6:A3231,"&lt;&gt;""",G$6:G3231)-SUMIF(A$6:A3231,"&lt;&gt;""",H$6:H3231),"")</f>
        <v/>
      </c>
    </row>
    <row r="3232">
      <c r="I3232">
        <f>IFERROR(SUMIF(A$6:A3232,"&lt;&gt;""",G$6:G3232)-SUMIF(A$6:A3232,"&lt;&gt;""",H$6:H3232),"")</f>
        <v/>
      </c>
    </row>
    <row r="3233">
      <c r="I3233">
        <f>IFERROR(SUMIF(A$6:A3233,"&lt;&gt;""",G$6:G3233)-SUMIF(A$6:A3233,"&lt;&gt;""",H$6:H3233),"")</f>
        <v/>
      </c>
    </row>
    <row r="3234">
      <c r="I3234">
        <f>IFERROR(SUMIF(A$6:A3234,"&lt;&gt;""",G$6:G3234)-SUMIF(A$6:A3234,"&lt;&gt;""",H$6:H3234),"")</f>
        <v/>
      </c>
    </row>
    <row r="3235">
      <c r="I3235">
        <f>IFERROR(SUMIF(A$6:A3235,"&lt;&gt;""",G$6:G3235)-SUMIF(A$6:A3235,"&lt;&gt;""",H$6:H3235),"")</f>
        <v/>
      </c>
    </row>
    <row r="3236">
      <c r="I3236">
        <f>IFERROR(SUMIF(A$6:A3236,"&lt;&gt;""",G$6:G3236)-SUMIF(A$6:A3236,"&lt;&gt;""",H$6:H3236),"")</f>
        <v/>
      </c>
    </row>
    <row r="3237">
      <c r="I3237">
        <f>IFERROR(SUMIF(A$6:A3237,"&lt;&gt;""",G$6:G3237)-SUMIF(A$6:A3237,"&lt;&gt;""",H$6:H3237),"")</f>
        <v/>
      </c>
    </row>
    <row r="3238">
      <c r="I3238">
        <f>IFERROR(SUMIF(A$6:A3238,"&lt;&gt;""",G$6:G3238)-SUMIF(A$6:A3238,"&lt;&gt;""",H$6:H3238),"")</f>
        <v/>
      </c>
    </row>
    <row r="3239">
      <c r="I3239">
        <f>IFERROR(SUMIF(A$6:A3239,"&lt;&gt;""",G$6:G3239)-SUMIF(A$6:A3239,"&lt;&gt;""",H$6:H3239),"")</f>
        <v/>
      </c>
    </row>
    <row r="3240">
      <c r="I3240">
        <f>IFERROR(SUMIF(A$6:A3240,"&lt;&gt;""",G$6:G3240)-SUMIF(A$6:A3240,"&lt;&gt;""",H$6:H3240),"")</f>
        <v/>
      </c>
    </row>
    <row r="3241">
      <c r="I3241">
        <f>IFERROR(SUMIF(A$6:A3241,"&lt;&gt;""",G$6:G3241)-SUMIF(A$6:A3241,"&lt;&gt;""",H$6:H3241),"")</f>
        <v/>
      </c>
    </row>
    <row r="3242">
      <c r="I3242">
        <f>IFERROR(SUMIF(A$6:A3242,"&lt;&gt;""",G$6:G3242)-SUMIF(A$6:A3242,"&lt;&gt;""",H$6:H3242),"")</f>
        <v/>
      </c>
    </row>
    <row r="3243">
      <c r="I3243">
        <f>IFERROR(SUMIF(A$6:A3243,"&lt;&gt;""",G$6:G3243)-SUMIF(A$6:A3243,"&lt;&gt;""",H$6:H3243),"")</f>
        <v/>
      </c>
    </row>
    <row r="3244">
      <c r="I3244">
        <f>IFERROR(SUMIF(A$6:A3244,"&lt;&gt;""",G$6:G3244)-SUMIF(A$6:A3244,"&lt;&gt;""",H$6:H3244),"")</f>
        <v/>
      </c>
    </row>
    <row r="3245">
      <c r="I3245">
        <f>IFERROR(SUMIF(A$6:A3245,"&lt;&gt;""",G$6:G3245)-SUMIF(A$6:A3245,"&lt;&gt;""",H$6:H3245),"")</f>
        <v/>
      </c>
    </row>
    <row r="3246">
      <c r="I3246">
        <f>IFERROR(SUMIF(A$6:A3246,"&lt;&gt;""",G$6:G3246)-SUMIF(A$6:A3246,"&lt;&gt;""",H$6:H3246),"")</f>
        <v/>
      </c>
    </row>
    <row r="3247">
      <c r="I3247">
        <f>IFERROR(SUMIF(A$6:A3247,"&lt;&gt;""",G$6:G3247)-SUMIF(A$6:A3247,"&lt;&gt;""",H$6:H3247),"")</f>
        <v/>
      </c>
    </row>
    <row r="3248">
      <c r="I3248">
        <f>IFERROR(SUMIF(A$6:A3248,"&lt;&gt;""",G$6:G3248)-SUMIF(A$6:A3248,"&lt;&gt;""",H$6:H3248),"")</f>
        <v/>
      </c>
    </row>
    <row r="3249">
      <c r="I3249">
        <f>IFERROR(SUMIF(A$6:A3249,"&lt;&gt;""",G$6:G3249)-SUMIF(A$6:A3249,"&lt;&gt;""",H$6:H3249),"")</f>
        <v/>
      </c>
    </row>
    <row r="3250">
      <c r="I3250">
        <f>IFERROR(SUMIF(A$6:A3250,"&lt;&gt;""",G$6:G3250)-SUMIF(A$6:A3250,"&lt;&gt;""",H$6:H3250),"")</f>
        <v/>
      </c>
    </row>
    <row r="3251">
      <c r="I3251">
        <f>IFERROR(SUMIF(A$6:A3251,"&lt;&gt;""",G$6:G3251)-SUMIF(A$6:A3251,"&lt;&gt;""",H$6:H3251),"")</f>
        <v/>
      </c>
    </row>
    <row r="3252">
      <c r="I3252">
        <f>IFERROR(SUMIF(A$6:A3252,"&lt;&gt;""",G$6:G3252)-SUMIF(A$6:A3252,"&lt;&gt;""",H$6:H3252),"")</f>
        <v/>
      </c>
    </row>
    <row r="3253">
      <c r="I3253">
        <f>IFERROR(SUMIF(A$6:A3253,"&lt;&gt;""",G$6:G3253)-SUMIF(A$6:A3253,"&lt;&gt;""",H$6:H3253),"")</f>
        <v/>
      </c>
    </row>
    <row r="3254">
      <c r="I3254">
        <f>IFERROR(SUMIF(A$6:A3254,"&lt;&gt;""",G$6:G3254)-SUMIF(A$6:A3254,"&lt;&gt;""",H$6:H3254),"")</f>
        <v/>
      </c>
    </row>
    <row r="3255">
      <c r="I3255">
        <f>IFERROR(SUMIF(A$6:A3255,"&lt;&gt;""",G$6:G3255)-SUMIF(A$6:A3255,"&lt;&gt;""",H$6:H3255),"")</f>
        <v/>
      </c>
    </row>
    <row r="3256">
      <c r="I3256">
        <f>IFERROR(SUMIF(A$6:A3256,"&lt;&gt;""",G$6:G3256)-SUMIF(A$6:A3256,"&lt;&gt;""",H$6:H3256),"")</f>
        <v/>
      </c>
    </row>
    <row r="3257">
      <c r="I3257">
        <f>IFERROR(SUMIF(A$6:A3257,"&lt;&gt;""",G$6:G3257)-SUMIF(A$6:A3257,"&lt;&gt;""",H$6:H3257),"")</f>
        <v/>
      </c>
    </row>
    <row r="3258">
      <c r="I3258">
        <f>IFERROR(SUMIF(A$6:A3258,"&lt;&gt;""",G$6:G3258)-SUMIF(A$6:A3258,"&lt;&gt;""",H$6:H3258),"")</f>
        <v/>
      </c>
    </row>
    <row r="3259">
      <c r="I3259">
        <f>IFERROR(SUMIF(A$6:A3259,"&lt;&gt;""",G$6:G3259)-SUMIF(A$6:A3259,"&lt;&gt;""",H$6:H3259),"")</f>
        <v/>
      </c>
    </row>
    <row r="3260">
      <c r="I3260">
        <f>IFERROR(SUMIF(A$6:A3260,"&lt;&gt;""",G$6:G3260)-SUMIF(A$6:A3260,"&lt;&gt;""",H$6:H3260),"")</f>
        <v/>
      </c>
    </row>
    <row r="3261">
      <c r="I3261">
        <f>IFERROR(SUMIF(A$6:A3261,"&lt;&gt;""",G$6:G3261)-SUMIF(A$6:A3261,"&lt;&gt;""",H$6:H3261),"")</f>
        <v/>
      </c>
    </row>
    <row r="3262">
      <c r="I3262">
        <f>IFERROR(SUMIF(A$6:A3262,"&lt;&gt;""",G$6:G3262)-SUMIF(A$6:A3262,"&lt;&gt;""",H$6:H3262),"")</f>
        <v/>
      </c>
    </row>
    <row r="3263">
      <c r="I3263">
        <f>IFERROR(SUMIF(A$6:A3263,"&lt;&gt;""",G$6:G3263)-SUMIF(A$6:A3263,"&lt;&gt;""",H$6:H3263),"")</f>
        <v/>
      </c>
    </row>
    <row r="3264">
      <c r="I3264">
        <f>IFERROR(SUMIF(A$6:A3264,"&lt;&gt;""",G$6:G3264)-SUMIF(A$6:A3264,"&lt;&gt;""",H$6:H3264),"")</f>
        <v/>
      </c>
    </row>
    <row r="3265">
      <c r="I3265">
        <f>IFERROR(SUMIF(A$6:A3265,"&lt;&gt;""",G$6:G3265)-SUMIF(A$6:A3265,"&lt;&gt;""",H$6:H3265),"")</f>
        <v/>
      </c>
    </row>
    <row r="3266">
      <c r="I3266">
        <f>IFERROR(SUMIF(A$6:A3266,"&lt;&gt;""",G$6:G3266)-SUMIF(A$6:A3266,"&lt;&gt;""",H$6:H3266),"")</f>
        <v/>
      </c>
    </row>
    <row r="3267">
      <c r="I3267">
        <f>IFERROR(SUMIF(A$6:A3267,"&lt;&gt;""",G$6:G3267)-SUMIF(A$6:A3267,"&lt;&gt;""",H$6:H3267),"")</f>
        <v/>
      </c>
    </row>
    <row r="3268">
      <c r="I3268">
        <f>IFERROR(SUMIF(A$6:A3268,"&lt;&gt;""",G$6:G3268)-SUMIF(A$6:A3268,"&lt;&gt;""",H$6:H3268),"")</f>
        <v/>
      </c>
    </row>
    <row r="3269">
      <c r="I3269">
        <f>IFERROR(SUMIF(A$6:A3269,"&lt;&gt;""",G$6:G3269)-SUMIF(A$6:A3269,"&lt;&gt;""",H$6:H3269),"")</f>
        <v/>
      </c>
    </row>
    <row r="3270">
      <c r="I3270">
        <f>IFERROR(SUMIF(A$6:A3270,"&lt;&gt;""",G$6:G3270)-SUMIF(A$6:A3270,"&lt;&gt;""",H$6:H3270),"")</f>
        <v/>
      </c>
    </row>
    <row r="3271">
      <c r="I3271">
        <f>IFERROR(SUMIF(A$6:A3271,"&lt;&gt;""",G$6:G3271)-SUMIF(A$6:A3271,"&lt;&gt;""",H$6:H3271),"")</f>
        <v/>
      </c>
    </row>
    <row r="3272">
      <c r="I3272">
        <f>IFERROR(SUMIF(A$6:A3272,"&lt;&gt;""",G$6:G3272)-SUMIF(A$6:A3272,"&lt;&gt;""",H$6:H3272),"")</f>
        <v/>
      </c>
    </row>
    <row r="3273">
      <c r="I3273">
        <f>IFERROR(SUMIF(A$6:A3273,"&lt;&gt;""",G$6:G3273)-SUMIF(A$6:A3273,"&lt;&gt;""",H$6:H3273),"")</f>
        <v/>
      </c>
    </row>
    <row r="3274">
      <c r="I3274">
        <f>IFERROR(SUMIF(A$6:A3274,"&lt;&gt;""",G$6:G3274)-SUMIF(A$6:A3274,"&lt;&gt;""",H$6:H3274),"")</f>
        <v/>
      </c>
    </row>
    <row r="3275">
      <c r="I3275">
        <f>IFERROR(SUMIF(A$6:A3275,"&lt;&gt;""",G$6:G3275)-SUMIF(A$6:A3275,"&lt;&gt;""",H$6:H3275),"")</f>
        <v/>
      </c>
    </row>
    <row r="3276">
      <c r="I3276">
        <f>IFERROR(SUMIF(A$6:A3276,"&lt;&gt;""",G$6:G3276)-SUMIF(A$6:A3276,"&lt;&gt;""",H$6:H3276),"")</f>
        <v/>
      </c>
    </row>
    <row r="3277">
      <c r="I3277">
        <f>IFERROR(SUMIF(A$6:A3277,"&lt;&gt;""",G$6:G3277)-SUMIF(A$6:A3277,"&lt;&gt;""",H$6:H3277),"")</f>
        <v/>
      </c>
    </row>
    <row r="3278">
      <c r="I3278">
        <f>IFERROR(SUMIF(A$6:A3278,"&lt;&gt;""",G$6:G3278)-SUMIF(A$6:A3278,"&lt;&gt;""",H$6:H3278),"")</f>
        <v/>
      </c>
    </row>
    <row r="3279">
      <c r="I3279">
        <f>IFERROR(SUMIF(A$6:A3279,"&lt;&gt;""",G$6:G3279)-SUMIF(A$6:A3279,"&lt;&gt;""",H$6:H3279),"")</f>
        <v/>
      </c>
    </row>
    <row r="3280">
      <c r="I3280">
        <f>IFERROR(SUMIF(A$6:A3280,"&lt;&gt;""",G$6:G3280)-SUMIF(A$6:A3280,"&lt;&gt;""",H$6:H3280),"")</f>
        <v/>
      </c>
    </row>
    <row r="3281">
      <c r="I3281">
        <f>IFERROR(SUMIF(A$6:A3281,"&lt;&gt;""",G$6:G3281)-SUMIF(A$6:A3281,"&lt;&gt;""",H$6:H3281),"")</f>
        <v/>
      </c>
    </row>
    <row r="3282">
      <c r="I3282">
        <f>IFERROR(SUMIF(A$6:A3282,"&lt;&gt;""",G$6:G3282)-SUMIF(A$6:A3282,"&lt;&gt;""",H$6:H3282),"")</f>
        <v/>
      </c>
    </row>
    <row r="3283">
      <c r="I3283">
        <f>IFERROR(SUMIF(A$6:A3283,"&lt;&gt;""",G$6:G3283)-SUMIF(A$6:A3283,"&lt;&gt;""",H$6:H3283),"")</f>
        <v/>
      </c>
    </row>
    <row r="3284">
      <c r="I3284">
        <f>IFERROR(SUMIF(A$6:A3284,"&lt;&gt;""",G$6:G3284)-SUMIF(A$6:A3284,"&lt;&gt;""",H$6:H3284),"")</f>
        <v/>
      </c>
    </row>
    <row r="3285">
      <c r="I3285">
        <f>IFERROR(SUMIF(A$6:A3285,"&lt;&gt;""",G$6:G3285)-SUMIF(A$6:A3285,"&lt;&gt;""",H$6:H3285),"")</f>
        <v/>
      </c>
    </row>
    <row r="3286">
      <c r="I3286">
        <f>IFERROR(SUMIF(A$6:A3286,"&lt;&gt;""",G$6:G3286)-SUMIF(A$6:A3286,"&lt;&gt;""",H$6:H3286),"")</f>
        <v/>
      </c>
    </row>
    <row r="3287">
      <c r="I3287">
        <f>IFERROR(SUMIF(A$6:A3287,"&lt;&gt;""",G$6:G3287)-SUMIF(A$6:A3287,"&lt;&gt;""",H$6:H3287),"")</f>
        <v/>
      </c>
    </row>
    <row r="3288">
      <c r="I3288">
        <f>IFERROR(SUMIF(A$6:A3288,"&lt;&gt;""",G$6:G3288)-SUMIF(A$6:A3288,"&lt;&gt;""",H$6:H3288),"")</f>
        <v/>
      </c>
    </row>
    <row r="3289">
      <c r="I3289">
        <f>IFERROR(SUMIF(A$6:A3289,"&lt;&gt;""",G$6:G3289)-SUMIF(A$6:A3289,"&lt;&gt;""",H$6:H3289),"")</f>
        <v/>
      </c>
    </row>
    <row r="3290">
      <c r="I3290">
        <f>IFERROR(SUMIF(A$6:A3290,"&lt;&gt;""",G$6:G3290)-SUMIF(A$6:A3290,"&lt;&gt;""",H$6:H3290),"")</f>
        <v/>
      </c>
    </row>
    <row r="3291">
      <c r="I3291">
        <f>IFERROR(SUMIF(A$6:A3291,"&lt;&gt;""",G$6:G3291)-SUMIF(A$6:A3291,"&lt;&gt;""",H$6:H3291),"")</f>
        <v/>
      </c>
    </row>
    <row r="3292">
      <c r="I3292">
        <f>IFERROR(SUMIF(A$6:A3292,"&lt;&gt;""",G$6:G3292)-SUMIF(A$6:A3292,"&lt;&gt;""",H$6:H3292),"")</f>
        <v/>
      </c>
    </row>
    <row r="3293">
      <c r="I3293">
        <f>IFERROR(SUMIF(A$6:A3293,"&lt;&gt;""",G$6:G3293)-SUMIF(A$6:A3293,"&lt;&gt;""",H$6:H3293),"")</f>
        <v/>
      </c>
    </row>
    <row r="3294">
      <c r="I3294">
        <f>IFERROR(SUMIF(A$6:A3294,"&lt;&gt;""",G$6:G3294)-SUMIF(A$6:A3294,"&lt;&gt;""",H$6:H3294),"")</f>
        <v/>
      </c>
    </row>
    <row r="3295">
      <c r="I3295">
        <f>IFERROR(SUMIF(A$6:A3295,"&lt;&gt;""",G$6:G3295)-SUMIF(A$6:A3295,"&lt;&gt;""",H$6:H3295),"")</f>
        <v/>
      </c>
    </row>
    <row r="3296">
      <c r="I3296">
        <f>IFERROR(SUMIF(A$6:A3296,"&lt;&gt;""",G$6:G3296)-SUMIF(A$6:A3296,"&lt;&gt;""",H$6:H3296),"")</f>
        <v/>
      </c>
    </row>
    <row r="3297">
      <c r="I3297">
        <f>IFERROR(SUMIF(A$6:A3297,"&lt;&gt;""",G$6:G3297)-SUMIF(A$6:A3297,"&lt;&gt;""",H$6:H3297),"")</f>
        <v/>
      </c>
    </row>
    <row r="3298">
      <c r="I3298">
        <f>IFERROR(SUMIF(A$6:A3298,"&lt;&gt;""",G$6:G3298)-SUMIF(A$6:A3298,"&lt;&gt;""",H$6:H3298),"")</f>
        <v/>
      </c>
    </row>
    <row r="3299">
      <c r="I3299">
        <f>IFERROR(SUMIF(A$6:A3299,"&lt;&gt;""",G$6:G3299)-SUMIF(A$6:A3299,"&lt;&gt;""",H$6:H3299),"")</f>
        <v/>
      </c>
    </row>
    <row r="3300">
      <c r="I3300">
        <f>IFERROR(SUMIF(A$6:A3300,"&lt;&gt;""",G$6:G3300)-SUMIF(A$6:A3300,"&lt;&gt;""",H$6:H3300),"")</f>
        <v/>
      </c>
    </row>
    <row r="3301">
      <c r="I3301">
        <f>IFERROR(SUMIF(A$6:A3301,"&lt;&gt;""",G$6:G3301)-SUMIF(A$6:A3301,"&lt;&gt;""",H$6:H3301),"")</f>
        <v/>
      </c>
    </row>
    <row r="3302">
      <c r="I3302">
        <f>IFERROR(SUMIF(A$6:A3302,"&lt;&gt;""",G$6:G3302)-SUMIF(A$6:A3302,"&lt;&gt;""",H$6:H3302),"")</f>
        <v/>
      </c>
    </row>
    <row r="3303">
      <c r="I3303">
        <f>IFERROR(SUMIF(A$6:A3303,"&lt;&gt;""",G$6:G3303)-SUMIF(A$6:A3303,"&lt;&gt;""",H$6:H3303),"")</f>
        <v/>
      </c>
    </row>
    <row r="3304">
      <c r="I3304">
        <f>IFERROR(SUMIF(A$6:A3304,"&lt;&gt;""",G$6:G3304)-SUMIF(A$6:A3304,"&lt;&gt;""",H$6:H3304),"")</f>
        <v/>
      </c>
    </row>
    <row r="3305">
      <c r="I3305">
        <f>IFERROR(SUMIF(A$6:A3305,"&lt;&gt;""",G$6:G3305)-SUMIF(A$6:A3305,"&lt;&gt;""",H$6:H3305),"")</f>
        <v/>
      </c>
    </row>
    <row r="3306">
      <c r="I3306">
        <f>IFERROR(SUMIF(A$6:A3306,"&lt;&gt;""",G$6:G3306)-SUMIF(A$6:A3306,"&lt;&gt;""",H$6:H3306),"")</f>
        <v/>
      </c>
    </row>
    <row r="3307">
      <c r="I3307">
        <f>IFERROR(SUMIF(A$6:A3307,"&lt;&gt;""",G$6:G3307)-SUMIF(A$6:A3307,"&lt;&gt;""",H$6:H3307),"")</f>
        <v/>
      </c>
    </row>
    <row r="3308">
      <c r="I3308">
        <f>IFERROR(SUMIF(A$6:A3308,"&lt;&gt;""",G$6:G3308)-SUMIF(A$6:A3308,"&lt;&gt;""",H$6:H3308),"")</f>
        <v/>
      </c>
    </row>
    <row r="3309">
      <c r="I3309">
        <f>IFERROR(SUMIF(A$6:A3309,"&lt;&gt;""",G$6:G3309)-SUMIF(A$6:A3309,"&lt;&gt;""",H$6:H3309),"")</f>
        <v/>
      </c>
    </row>
    <row r="3310">
      <c r="I3310">
        <f>IFERROR(SUMIF(A$6:A3310,"&lt;&gt;""",G$6:G3310)-SUMIF(A$6:A3310,"&lt;&gt;""",H$6:H3310),"")</f>
        <v/>
      </c>
    </row>
    <row r="3311">
      <c r="I3311">
        <f>IFERROR(SUMIF(A$6:A3311,"&lt;&gt;""",G$6:G3311)-SUMIF(A$6:A3311,"&lt;&gt;""",H$6:H3311),"")</f>
        <v/>
      </c>
    </row>
    <row r="3312">
      <c r="I3312">
        <f>IFERROR(SUMIF(A$6:A3312,"&lt;&gt;""",G$6:G3312)-SUMIF(A$6:A3312,"&lt;&gt;""",H$6:H3312),"")</f>
        <v/>
      </c>
    </row>
    <row r="3313">
      <c r="I3313">
        <f>IFERROR(SUMIF(A$6:A3313,"&lt;&gt;""",G$6:G3313)-SUMIF(A$6:A3313,"&lt;&gt;""",H$6:H3313),"")</f>
        <v/>
      </c>
    </row>
    <row r="3314">
      <c r="I3314">
        <f>IFERROR(SUMIF(A$6:A3314,"&lt;&gt;""",G$6:G3314)-SUMIF(A$6:A3314,"&lt;&gt;""",H$6:H3314),"")</f>
        <v/>
      </c>
    </row>
    <row r="3315">
      <c r="I3315">
        <f>IFERROR(SUMIF(A$6:A3315,"&lt;&gt;""",G$6:G3315)-SUMIF(A$6:A3315,"&lt;&gt;""",H$6:H3315),"")</f>
        <v/>
      </c>
    </row>
    <row r="3316">
      <c r="I3316">
        <f>IFERROR(SUMIF(A$6:A3316,"&lt;&gt;""",G$6:G3316)-SUMIF(A$6:A3316,"&lt;&gt;""",H$6:H3316),"")</f>
        <v/>
      </c>
    </row>
    <row r="3317">
      <c r="I3317">
        <f>IFERROR(SUMIF(A$6:A3317,"&lt;&gt;""",G$6:G3317)-SUMIF(A$6:A3317,"&lt;&gt;""",H$6:H3317),"")</f>
        <v/>
      </c>
    </row>
    <row r="3318">
      <c r="I3318">
        <f>IFERROR(SUMIF(A$6:A3318,"&lt;&gt;""",G$6:G3318)-SUMIF(A$6:A3318,"&lt;&gt;""",H$6:H3318),"")</f>
        <v/>
      </c>
    </row>
    <row r="3319">
      <c r="I3319">
        <f>IFERROR(SUMIF(A$6:A3319,"&lt;&gt;""",G$6:G3319)-SUMIF(A$6:A3319,"&lt;&gt;""",H$6:H3319),"")</f>
        <v/>
      </c>
    </row>
    <row r="3320">
      <c r="I3320">
        <f>IFERROR(SUMIF(A$6:A3320,"&lt;&gt;""",G$6:G3320)-SUMIF(A$6:A3320,"&lt;&gt;""",H$6:H3320),"")</f>
        <v/>
      </c>
    </row>
    <row r="3321">
      <c r="I3321">
        <f>IFERROR(SUMIF(A$6:A3321,"&lt;&gt;""",G$6:G3321)-SUMIF(A$6:A3321,"&lt;&gt;""",H$6:H3321),"")</f>
        <v/>
      </c>
    </row>
    <row r="3322">
      <c r="I3322">
        <f>IFERROR(SUMIF(A$6:A3322,"&lt;&gt;""",G$6:G3322)-SUMIF(A$6:A3322,"&lt;&gt;""",H$6:H3322),"")</f>
        <v/>
      </c>
    </row>
    <row r="3323">
      <c r="I3323">
        <f>IFERROR(SUMIF(A$6:A3323,"&lt;&gt;""",G$6:G3323)-SUMIF(A$6:A3323,"&lt;&gt;""",H$6:H3323),"")</f>
        <v/>
      </c>
    </row>
    <row r="3324">
      <c r="I3324">
        <f>IFERROR(SUMIF(A$6:A3324,"&lt;&gt;""",G$6:G3324)-SUMIF(A$6:A3324,"&lt;&gt;""",H$6:H3324),"")</f>
        <v/>
      </c>
    </row>
    <row r="3325">
      <c r="I3325">
        <f>IFERROR(SUMIF(A$6:A3325,"&lt;&gt;""",G$6:G3325)-SUMIF(A$6:A3325,"&lt;&gt;""",H$6:H3325),"")</f>
        <v/>
      </c>
    </row>
    <row r="3326">
      <c r="I3326">
        <f>IFERROR(SUMIF(A$6:A3326,"&lt;&gt;""",G$6:G3326)-SUMIF(A$6:A3326,"&lt;&gt;""",H$6:H3326),"")</f>
        <v/>
      </c>
    </row>
    <row r="3327">
      <c r="I3327">
        <f>IFERROR(SUMIF(A$6:A3327,"&lt;&gt;""",G$6:G3327)-SUMIF(A$6:A3327,"&lt;&gt;""",H$6:H3327),"")</f>
        <v/>
      </c>
    </row>
    <row r="3328">
      <c r="I3328">
        <f>IFERROR(SUMIF(A$6:A3328,"&lt;&gt;""",G$6:G3328)-SUMIF(A$6:A3328,"&lt;&gt;""",H$6:H3328),"")</f>
        <v/>
      </c>
    </row>
    <row r="3329">
      <c r="I3329">
        <f>IFERROR(SUMIF(A$6:A3329,"&lt;&gt;""",G$6:G3329)-SUMIF(A$6:A3329,"&lt;&gt;""",H$6:H3329),"")</f>
        <v/>
      </c>
    </row>
    <row r="3330">
      <c r="I3330">
        <f>IFERROR(SUMIF(A$6:A3330,"&lt;&gt;""",G$6:G3330)-SUMIF(A$6:A3330,"&lt;&gt;""",H$6:H3330),"")</f>
        <v/>
      </c>
    </row>
    <row r="3331">
      <c r="I3331">
        <f>IFERROR(SUMIF(A$6:A3331,"&lt;&gt;""",G$6:G3331)-SUMIF(A$6:A3331,"&lt;&gt;""",H$6:H3331),"")</f>
        <v/>
      </c>
    </row>
    <row r="3332">
      <c r="I3332">
        <f>IFERROR(SUMIF(A$6:A3332,"&lt;&gt;""",G$6:G3332)-SUMIF(A$6:A3332,"&lt;&gt;""",H$6:H3332),"")</f>
        <v/>
      </c>
    </row>
    <row r="3333">
      <c r="I3333">
        <f>IFERROR(SUMIF(A$6:A3333,"&lt;&gt;""",G$6:G3333)-SUMIF(A$6:A3333,"&lt;&gt;""",H$6:H3333),"")</f>
        <v/>
      </c>
    </row>
    <row r="3334">
      <c r="I3334">
        <f>IFERROR(SUMIF(A$6:A3334,"&lt;&gt;""",G$6:G3334)-SUMIF(A$6:A3334,"&lt;&gt;""",H$6:H3334),"")</f>
        <v/>
      </c>
    </row>
    <row r="3335">
      <c r="I3335">
        <f>IFERROR(SUMIF(A$6:A3335,"&lt;&gt;""",G$6:G3335)-SUMIF(A$6:A3335,"&lt;&gt;""",H$6:H3335),"")</f>
        <v/>
      </c>
    </row>
    <row r="3336">
      <c r="I3336">
        <f>IFERROR(SUMIF(A$6:A3336,"&lt;&gt;""",G$6:G3336)-SUMIF(A$6:A3336,"&lt;&gt;""",H$6:H3336),"")</f>
        <v/>
      </c>
    </row>
    <row r="3337">
      <c r="I3337">
        <f>IFERROR(SUMIF(A$6:A3337,"&lt;&gt;""",G$6:G3337)-SUMIF(A$6:A3337,"&lt;&gt;""",H$6:H3337),"")</f>
        <v/>
      </c>
    </row>
    <row r="3338">
      <c r="I3338">
        <f>IFERROR(SUMIF(A$6:A3338,"&lt;&gt;""",G$6:G3338)-SUMIF(A$6:A3338,"&lt;&gt;""",H$6:H3338),"")</f>
        <v/>
      </c>
    </row>
    <row r="3339">
      <c r="I3339">
        <f>IFERROR(SUMIF(A$6:A3339,"&lt;&gt;""",G$6:G3339)-SUMIF(A$6:A3339,"&lt;&gt;""",H$6:H3339),"")</f>
        <v/>
      </c>
    </row>
    <row r="3340">
      <c r="I3340">
        <f>IFERROR(SUMIF(A$6:A3340,"&lt;&gt;""",G$6:G3340)-SUMIF(A$6:A3340,"&lt;&gt;""",H$6:H3340),"")</f>
        <v/>
      </c>
    </row>
    <row r="3341">
      <c r="I3341">
        <f>IFERROR(SUMIF(A$6:A3341,"&lt;&gt;""",G$6:G3341)-SUMIF(A$6:A3341,"&lt;&gt;""",H$6:H3341),"")</f>
        <v/>
      </c>
    </row>
    <row r="3342">
      <c r="I3342">
        <f>IFERROR(SUMIF(A$6:A3342,"&lt;&gt;""",G$6:G3342)-SUMIF(A$6:A3342,"&lt;&gt;""",H$6:H3342),"")</f>
        <v/>
      </c>
    </row>
    <row r="3343">
      <c r="I3343">
        <f>IFERROR(SUMIF(A$6:A3343,"&lt;&gt;""",G$6:G3343)-SUMIF(A$6:A3343,"&lt;&gt;""",H$6:H3343),"")</f>
        <v/>
      </c>
    </row>
    <row r="3344">
      <c r="I3344">
        <f>IFERROR(SUMIF(A$6:A3344,"&lt;&gt;""",G$6:G3344)-SUMIF(A$6:A3344,"&lt;&gt;""",H$6:H3344),"")</f>
        <v/>
      </c>
    </row>
    <row r="3345">
      <c r="I3345">
        <f>IFERROR(SUMIF(A$6:A3345,"&lt;&gt;""",G$6:G3345)-SUMIF(A$6:A3345,"&lt;&gt;""",H$6:H3345),"")</f>
        <v/>
      </c>
    </row>
    <row r="3346">
      <c r="I3346">
        <f>IFERROR(SUMIF(A$6:A3346,"&lt;&gt;""",G$6:G3346)-SUMIF(A$6:A3346,"&lt;&gt;""",H$6:H3346),"")</f>
        <v/>
      </c>
    </row>
    <row r="3347">
      <c r="I3347">
        <f>IFERROR(SUMIF(A$6:A3347,"&lt;&gt;""",G$6:G3347)-SUMIF(A$6:A3347,"&lt;&gt;""",H$6:H3347),"")</f>
        <v/>
      </c>
    </row>
    <row r="3348">
      <c r="I3348">
        <f>IFERROR(SUMIF(A$6:A3348,"&lt;&gt;""",G$6:G3348)-SUMIF(A$6:A3348,"&lt;&gt;""",H$6:H3348),"")</f>
        <v/>
      </c>
    </row>
    <row r="3349">
      <c r="I3349">
        <f>IFERROR(SUMIF(A$6:A3349,"&lt;&gt;""",G$6:G3349)-SUMIF(A$6:A3349,"&lt;&gt;""",H$6:H3349),"")</f>
        <v/>
      </c>
    </row>
    <row r="3350">
      <c r="I3350">
        <f>IFERROR(SUMIF(A$6:A3350,"&lt;&gt;""",G$6:G3350)-SUMIF(A$6:A3350,"&lt;&gt;""",H$6:H3350),"")</f>
        <v/>
      </c>
    </row>
    <row r="3351">
      <c r="I3351">
        <f>IFERROR(SUMIF(A$6:A3351,"&lt;&gt;""",G$6:G3351)-SUMIF(A$6:A3351,"&lt;&gt;""",H$6:H3351),"")</f>
        <v/>
      </c>
    </row>
    <row r="3352">
      <c r="I3352">
        <f>IFERROR(SUMIF(A$6:A3352,"&lt;&gt;""",G$6:G3352)-SUMIF(A$6:A3352,"&lt;&gt;""",H$6:H3352),"")</f>
        <v/>
      </c>
    </row>
    <row r="3353">
      <c r="I3353">
        <f>IFERROR(SUMIF(A$6:A3353,"&lt;&gt;""",G$6:G3353)-SUMIF(A$6:A3353,"&lt;&gt;""",H$6:H3353),"")</f>
        <v/>
      </c>
    </row>
    <row r="3354">
      <c r="I3354">
        <f>IFERROR(SUMIF(A$6:A3354,"&lt;&gt;""",G$6:G3354)-SUMIF(A$6:A3354,"&lt;&gt;""",H$6:H3354),"")</f>
        <v/>
      </c>
    </row>
    <row r="3355">
      <c r="I3355">
        <f>IFERROR(SUMIF(A$6:A3355,"&lt;&gt;""",G$6:G3355)-SUMIF(A$6:A3355,"&lt;&gt;""",H$6:H3355),"")</f>
        <v/>
      </c>
    </row>
    <row r="3356">
      <c r="I3356">
        <f>IFERROR(SUMIF(A$6:A3356,"&lt;&gt;""",G$6:G3356)-SUMIF(A$6:A3356,"&lt;&gt;""",H$6:H3356),"")</f>
        <v/>
      </c>
    </row>
    <row r="3357">
      <c r="I3357">
        <f>IFERROR(SUMIF(A$6:A3357,"&lt;&gt;""",G$6:G3357)-SUMIF(A$6:A3357,"&lt;&gt;""",H$6:H3357),"")</f>
        <v/>
      </c>
    </row>
    <row r="3358">
      <c r="I3358">
        <f>IFERROR(SUMIF(A$6:A3358,"&lt;&gt;""",G$6:G3358)-SUMIF(A$6:A3358,"&lt;&gt;""",H$6:H3358),"")</f>
        <v/>
      </c>
    </row>
    <row r="3359">
      <c r="I3359">
        <f>IFERROR(SUMIF(A$6:A3359,"&lt;&gt;""",G$6:G3359)-SUMIF(A$6:A3359,"&lt;&gt;""",H$6:H3359),"")</f>
        <v/>
      </c>
    </row>
    <row r="3360">
      <c r="I3360">
        <f>IFERROR(SUMIF(A$6:A3360,"&lt;&gt;""",G$6:G3360)-SUMIF(A$6:A3360,"&lt;&gt;""",H$6:H3360),"")</f>
        <v/>
      </c>
    </row>
    <row r="3361">
      <c r="I3361">
        <f>IFERROR(SUMIF(A$6:A3361,"&lt;&gt;""",G$6:G3361)-SUMIF(A$6:A3361,"&lt;&gt;""",H$6:H3361),"")</f>
        <v/>
      </c>
    </row>
    <row r="3362">
      <c r="I3362">
        <f>IFERROR(SUMIF(A$6:A3362,"&lt;&gt;""",G$6:G3362)-SUMIF(A$6:A3362,"&lt;&gt;""",H$6:H3362),"")</f>
        <v/>
      </c>
    </row>
    <row r="3363">
      <c r="I3363">
        <f>IFERROR(SUMIF(A$6:A3363,"&lt;&gt;""",G$6:G3363)-SUMIF(A$6:A3363,"&lt;&gt;""",H$6:H3363),"")</f>
        <v/>
      </c>
    </row>
    <row r="3364">
      <c r="I3364">
        <f>IFERROR(SUMIF(A$6:A3364,"&lt;&gt;""",G$6:G3364)-SUMIF(A$6:A3364,"&lt;&gt;""",H$6:H3364),"")</f>
        <v/>
      </c>
    </row>
    <row r="3365">
      <c r="I3365">
        <f>IFERROR(SUMIF(A$6:A3365,"&lt;&gt;""",G$6:G3365)-SUMIF(A$6:A3365,"&lt;&gt;""",H$6:H3365),"")</f>
        <v/>
      </c>
    </row>
    <row r="3366">
      <c r="I3366">
        <f>IFERROR(SUMIF(A$6:A3366,"&lt;&gt;""",G$6:G3366)-SUMIF(A$6:A3366,"&lt;&gt;""",H$6:H3366),"")</f>
        <v/>
      </c>
    </row>
    <row r="3367">
      <c r="I3367">
        <f>IFERROR(SUMIF(A$6:A3367,"&lt;&gt;""",G$6:G3367)-SUMIF(A$6:A3367,"&lt;&gt;""",H$6:H3367),"")</f>
        <v/>
      </c>
    </row>
    <row r="3368">
      <c r="I3368">
        <f>IFERROR(SUMIF(A$6:A3368,"&lt;&gt;""",G$6:G3368)-SUMIF(A$6:A3368,"&lt;&gt;""",H$6:H3368),"")</f>
        <v/>
      </c>
    </row>
    <row r="3369">
      <c r="I3369">
        <f>IFERROR(SUMIF(A$6:A3369,"&lt;&gt;""",G$6:G3369)-SUMIF(A$6:A3369,"&lt;&gt;""",H$6:H3369),"")</f>
        <v/>
      </c>
    </row>
    <row r="3370">
      <c r="I3370">
        <f>IFERROR(SUMIF(A$6:A3370,"&lt;&gt;""",G$6:G3370)-SUMIF(A$6:A3370,"&lt;&gt;""",H$6:H3370),"")</f>
        <v/>
      </c>
    </row>
    <row r="3371">
      <c r="I3371">
        <f>IFERROR(SUMIF(A$6:A3371,"&lt;&gt;""",G$6:G3371)-SUMIF(A$6:A3371,"&lt;&gt;""",H$6:H3371),"")</f>
        <v/>
      </c>
    </row>
    <row r="3372">
      <c r="I3372">
        <f>IFERROR(SUMIF(A$6:A3372,"&lt;&gt;""",G$6:G3372)-SUMIF(A$6:A3372,"&lt;&gt;""",H$6:H3372),"")</f>
        <v/>
      </c>
    </row>
    <row r="3373">
      <c r="I3373">
        <f>IFERROR(SUMIF(A$6:A3373,"&lt;&gt;""",G$6:G3373)-SUMIF(A$6:A3373,"&lt;&gt;""",H$6:H3373),"")</f>
        <v/>
      </c>
    </row>
    <row r="3374">
      <c r="I3374">
        <f>IFERROR(SUMIF(A$6:A3374,"&lt;&gt;""",G$6:G3374)-SUMIF(A$6:A3374,"&lt;&gt;""",H$6:H3374),"")</f>
        <v/>
      </c>
    </row>
    <row r="3375">
      <c r="I3375">
        <f>IFERROR(SUMIF(A$6:A3375,"&lt;&gt;""",G$6:G3375)-SUMIF(A$6:A3375,"&lt;&gt;""",H$6:H3375),"")</f>
        <v/>
      </c>
    </row>
    <row r="3376">
      <c r="I3376">
        <f>IFERROR(SUMIF(A$6:A3376,"&lt;&gt;""",G$6:G3376)-SUMIF(A$6:A3376,"&lt;&gt;""",H$6:H3376),"")</f>
        <v/>
      </c>
    </row>
    <row r="3377">
      <c r="I3377">
        <f>IFERROR(SUMIF(A$6:A3377,"&lt;&gt;""",G$6:G3377)-SUMIF(A$6:A3377,"&lt;&gt;""",H$6:H3377),"")</f>
        <v/>
      </c>
    </row>
    <row r="3378">
      <c r="I3378">
        <f>IFERROR(SUMIF(A$6:A3378,"&lt;&gt;""",G$6:G3378)-SUMIF(A$6:A3378,"&lt;&gt;""",H$6:H3378),"")</f>
        <v/>
      </c>
    </row>
    <row r="3379">
      <c r="I3379">
        <f>IFERROR(SUMIF(A$6:A3379,"&lt;&gt;""",G$6:G3379)-SUMIF(A$6:A3379,"&lt;&gt;""",H$6:H3379),"")</f>
        <v/>
      </c>
    </row>
    <row r="3380">
      <c r="I3380">
        <f>IFERROR(SUMIF(A$6:A3380,"&lt;&gt;""",G$6:G3380)-SUMIF(A$6:A3380,"&lt;&gt;""",H$6:H3380),"")</f>
        <v/>
      </c>
    </row>
    <row r="3381">
      <c r="I3381">
        <f>IFERROR(SUMIF(A$6:A3381,"&lt;&gt;""",G$6:G3381)-SUMIF(A$6:A3381,"&lt;&gt;""",H$6:H3381),"")</f>
        <v/>
      </c>
    </row>
    <row r="3382">
      <c r="I3382">
        <f>IFERROR(SUMIF(A$6:A3382,"&lt;&gt;""",G$6:G3382)-SUMIF(A$6:A3382,"&lt;&gt;""",H$6:H3382),"")</f>
        <v/>
      </c>
    </row>
    <row r="3383">
      <c r="I3383">
        <f>IFERROR(SUMIF(A$6:A3383,"&lt;&gt;""",G$6:G3383)-SUMIF(A$6:A3383,"&lt;&gt;""",H$6:H3383),"")</f>
        <v/>
      </c>
    </row>
    <row r="3384">
      <c r="I3384">
        <f>IFERROR(SUMIF(A$6:A3384,"&lt;&gt;""",G$6:G3384)-SUMIF(A$6:A3384,"&lt;&gt;""",H$6:H3384),"")</f>
        <v/>
      </c>
    </row>
    <row r="3385">
      <c r="I3385">
        <f>IFERROR(SUMIF(A$6:A3385,"&lt;&gt;""",G$6:G3385)-SUMIF(A$6:A3385,"&lt;&gt;""",H$6:H3385),"")</f>
        <v/>
      </c>
    </row>
    <row r="3386">
      <c r="I3386">
        <f>IFERROR(SUMIF(A$6:A3386,"&lt;&gt;""",G$6:G3386)-SUMIF(A$6:A3386,"&lt;&gt;""",H$6:H3386),"")</f>
        <v/>
      </c>
    </row>
    <row r="3387">
      <c r="I3387">
        <f>IFERROR(SUMIF(A$6:A3387,"&lt;&gt;""",G$6:G3387)-SUMIF(A$6:A3387,"&lt;&gt;""",H$6:H3387),"")</f>
        <v/>
      </c>
    </row>
    <row r="3388">
      <c r="I3388">
        <f>IFERROR(SUMIF(A$6:A3388,"&lt;&gt;""",G$6:G3388)-SUMIF(A$6:A3388,"&lt;&gt;""",H$6:H3388),"")</f>
        <v/>
      </c>
    </row>
    <row r="3389">
      <c r="I3389">
        <f>IFERROR(SUMIF(A$6:A3389,"&lt;&gt;""",G$6:G3389)-SUMIF(A$6:A3389,"&lt;&gt;""",H$6:H3389),"")</f>
        <v/>
      </c>
    </row>
    <row r="3390">
      <c r="I3390">
        <f>IFERROR(SUMIF(A$6:A3390,"&lt;&gt;""",G$6:G3390)-SUMIF(A$6:A3390,"&lt;&gt;""",H$6:H3390),"")</f>
        <v/>
      </c>
    </row>
    <row r="3391">
      <c r="I3391">
        <f>IFERROR(SUMIF(A$6:A3391,"&lt;&gt;""",G$6:G3391)-SUMIF(A$6:A3391,"&lt;&gt;""",H$6:H3391),"")</f>
        <v/>
      </c>
    </row>
    <row r="3392">
      <c r="I3392">
        <f>IFERROR(SUMIF(A$6:A3392,"&lt;&gt;""",G$6:G3392)-SUMIF(A$6:A3392,"&lt;&gt;""",H$6:H3392),"")</f>
        <v/>
      </c>
    </row>
    <row r="3393">
      <c r="I3393">
        <f>IFERROR(SUMIF(A$6:A3393,"&lt;&gt;""",G$6:G3393)-SUMIF(A$6:A3393,"&lt;&gt;""",H$6:H3393),"")</f>
        <v/>
      </c>
    </row>
    <row r="3394">
      <c r="I3394">
        <f>IFERROR(SUMIF(A$6:A3394,"&lt;&gt;""",G$6:G3394)-SUMIF(A$6:A3394,"&lt;&gt;""",H$6:H3394),"")</f>
        <v/>
      </c>
    </row>
    <row r="3395">
      <c r="I3395">
        <f>IFERROR(SUMIF(A$6:A3395,"&lt;&gt;""",G$6:G3395)-SUMIF(A$6:A3395,"&lt;&gt;""",H$6:H3395),"")</f>
        <v/>
      </c>
    </row>
    <row r="3396">
      <c r="I3396">
        <f>IFERROR(SUMIF(A$6:A3396,"&lt;&gt;""",G$6:G3396)-SUMIF(A$6:A3396,"&lt;&gt;""",H$6:H3396),"")</f>
        <v/>
      </c>
    </row>
    <row r="3397">
      <c r="I3397">
        <f>IFERROR(SUMIF(A$6:A3397,"&lt;&gt;""",G$6:G3397)-SUMIF(A$6:A3397,"&lt;&gt;""",H$6:H3397),"")</f>
        <v/>
      </c>
    </row>
    <row r="3398">
      <c r="I3398">
        <f>IFERROR(SUMIF(A$6:A3398,"&lt;&gt;""",G$6:G3398)-SUMIF(A$6:A3398,"&lt;&gt;""",H$6:H3398),"")</f>
        <v/>
      </c>
    </row>
    <row r="3399">
      <c r="I3399">
        <f>IFERROR(SUMIF(A$6:A3399,"&lt;&gt;""",G$6:G3399)-SUMIF(A$6:A3399,"&lt;&gt;""",H$6:H3399),"")</f>
        <v/>
      </c>
    </row>
    <row r="3400">
      <c r="I3400">
        <f>IFERROR(SUMIF(A$6:A3400,"&lt;&gt;""",G$6:G3400)-SUMIF(A$6:A3400,"&lt;&gt;""",H$6:H3400),"")</f>
        <v/>
      </c>
    </row>
    <row r="3401">
      <c r="I3401">
        <f>IFERROR(SUMIF(A$6:A3401,"&lt;&gt;""",G$6:G3401)-SUMIF(A$6:A3401,"&lt;&gt;""",H$6:H3401),"")</f>
        <v/>
      </c>
    </row>
    <row r="3402">
      <c r="I3402">
        <f>IFERROR(SUMIF(A$6:A3402,"&lt;&gt;""",G$6:G3402)-SUMIF(A$6:A3402,"&lt;&gt;""",H$6:H3402),"")</f>
        <v/>
      </c>
    </row>
    <row r="3403">
      <c r="I3403">
        <f>IFERROR(SUMIF(A$6:A3403,"&lt;&gt;""",G$6:G3403)-SUMIF(A$6:A3403,"&lt;&gt;""",H$6:H3403),"")</f>
        <v/>
      </c>
    </row>
    <row r="3404">
      <c r="I3404">
        <f>IFERROR(SUMIF(A$6:A3404,"&lt;&gt;""",G$6:G3404)-SUMIF(A$6:A3404,"&lt;&gt;""",H$6:H3404),"")</f>
        <v/>
      </c>
    </row>
    <row r="3405">
      <c r="I3405">
        <f>IFERROR(SUMIF(A$6:A3405,"&lt;&gt;""",G$6:G3405)-SUMIF(A$6:A3405,"&lt;&gt;""",H$6:H3405),"")</f>
        <v/>
      </c>
    </row>
    <row r="3406">
      <c r="I3406">
        <f>IFERROR(SUMIF(A$6:A3406,"&lt;&gt;""",G$6:G3406)-SUMIF(A$6:A3406,"&lt;&gt;""",H$6:H3406),"")</f>
        <v/>
      </c>
    </row>
    <row r="3407">
      <c r="I3407">
        <f>IFERROR(SUMIF(A$6:A3407,"&lt;&gt;""",G$6:G3407)-SUMIF(A$6:A3407,"&lt;&gt;""",H$6:H3407),"")</f>
        <v/>
      </c>
    </row>
    <row r="3408">
      <c r="I3408">
        <f>IFERROR(SUMIF(A$6:A3408,"&lt;&gt;""",G$6:G3408)-SUMIF(A$6:A3408,"&lt;&gt;""",H$6:H3408),"")</f>
        <v/>
      </c>
    </row>
    <row r="3409">
      <c r="I3409">
        <f>IFERROR(SUMIF(A$6:A3409,"&lt;&gt;""",G$6:G3409)-SUMIF(A$6:A3409,"&lt;&gt;""",H$6:H3409),"")</f>
        <v/>
      </c>
    </row>
    <row r="3410">
      <c r="I3410">
        <f>IFERROR(SUMIF(A$6:A3410,"&lt;&gt;""",G$6:G3410)-SUMIF(A$6:A3410,"&lt;&gt;""",H$6:H3410),"")</f>
        <v/>
      </c>
    </row>
    <row r="3411">
      <c r="I3411">
        <f>IFERROR(SUMIF(A$6:A3411,"&lt;&gt;""",G$6:G3411)-SUMIF(A$6:A3411,"&lt;&gt;""",H$6:H3411),"")</f>
        <v/>
      </c>
    </row>
    <row r="3412">
      <c r="I3412">
        <f>IFERROR(SUMIF(A$6:A3412,"&lt;&gt;""",G$6:G3412)-SUMIF(A$6:A3412,"&lt;&gt;""",H$6:H3412),"")</f>
        <v/>
      </c>
    </row>
    <row r="3413">
      <c r="I3413">
        <f>IFERROR(SUMIF(A$6:A3413,"&lt;&gt;""",G$6:G3413)-SUMIF(A$6:A3413,"&lt;&gt;""",H$6:H3413),"")</f>
        <v/>
      </c>
    </row>
    <row r="3414">
      <c r="I3414">
        <f>IFERROR(SUMIF(A$6:A3414,"&lt;&gt;""",G$6:G3414)-SUMIF(A$6:A3414,"&lt;&gt;""",H$6:H3414),"")</f>
        <v/>
      </c>
    </row>
    <row r="3415">
      <c r="I3415">
        <f>IFERROR(SUMIF(A$6:A3415,"&lt;&gt;""",G$6:G3415)-SUMIF(A$6:A3415,"&lt;&gt;""",H$6:H3415),"")</f>
        <v/>
      </c>
    </row>
    <row r="3416">
      <c r="I3416">
        <f>IFERROR(SUMIF(A$6:A3416,"&lt;&gt;""",G$6:G3416)-SUMIF(A$6:A3416,"&lt;&gt;""",H$6:H3416),"")</f>
        <v/>
      </c>
    </row>
    <row r="3417">
      <c r="I3417">
        <f>IFERROR(SUMIF(A$6:A3417,"&lt;&gt;""",G$6:G3417)-SUMIF(A$6:A3417,"&lt;&gt;""",H$6:H3417),"")</f>
        <v/>
      </c>
    </row>
    <row r="3418">
      <c r="I3418">
        <f>IFERROR(SUMIF(A$6:A3418,"&lt;&gt;""",G$6:G3418)-SUMIF(A$6:A3418,"&lt;&gt;""",H$6:H3418),"")</f>
        <v/>
      </c>
    </row>
    <row r="3419">
      <c r="I3419">
        <f>IFERROR(SUMIF(A$6:A3419,"&lt;&gt;""",G$6:G3419)-SUMIF(A$6:A3419,"&lt;&gt;""",H$6:H3419),"")</f>
        <v/>
      </c>
    </row>
    <row r="3420">
      <c r="I3420">
        <f>IFERROR(SUMIF(A$6:A3420,"&lt;&gt;""",G$6:G3420)-SUMIF(A$6:A3420,"&lt;&gt;""",H$6:H3420),"")</f>
        <v/>
      </c>
    </row>
    <row r="3421">
      <c r="I3421">
        <f>IFERROR(SUMIF(A$6:A3421,"&lt;&gt;""",G$6:G3421)-SUMIF(A$6:A3421,"&lt;&gt;""",H$6:H3421),"")</f>
        <v/>
      </c>
    </row>
    <row r="3422">
      <c r="I3422">
        <f>IFERROR(SUMIF(A$6:A3422,"&lt;&gt;""",G$6:G3422)-SUMIF(A$6:A3422,"&lt;&gt;""",H$6:H3422),"")</f>
        <v/>
      </c>
    </row>
    <row r="3423">
      <c r="I3423">
        <f>IFERROR(SUMIF(A$6:A3423,"&lt;&gt;""",G$6:G3423)-SUMIF(A$6:A3423,"&lt;&gt;""",H$6:H3423),"")</f>
        <v/>
      </c>
    </row>
    <row r="3424">
      <c r="I3424">
        <f>IFERROR(SUMIF(A$6:A3424,"&lt;&gt;""",G$6:G3424)-SUMIF(A$6:A3424,"&lt;&gt;""",H$6:H3424),"")</f>
        <v/>
      </c>
    </row>
    <row r="3425">
      <c r="I3425">
        <f>IFERROR(SUMIF(A$6:A3425,"&lt;&gt;""",G$6:G3425)-SUMIF(A$6:A3425,"&lt;&gt;""",H$6:H3425),"")</f>
        <v/>
      </c>
    </row>
    <row r="3426">
      <c r="I3426">
        <f>IFERROR(SUMIF(A$6:A3426,"&lt;&gt;""",G$6:G3426)-SUMIF(A$6:A3426,"&lt;&gt;""",H$6:H3426),"")</f>
        <v/>
      </c>
    </row>
    <row r="3427">
      <c r="I3427">
        <f>IFERROR(SUMIF(A$6:A3427,"&lt;&gt;""",G$6:G3427)-SUMIF(A$6:A3427,"&lt;&gt;""",H$6:H3427),"")</f>
        <v/>
      </c>
    </row>
    <row r="3428">
      <c r="I3428">
        <f>IFERROR(SUMIF(A$6:A3428,"&lt;&gt;""",G$6:G3428)-SUMIF(A$6:A3428,"&lt;&gt;""",H$6:H3428),"")</f>
        <v/>
      </c>
    </row>
    <row r="3429">
      <c r="I3429">
        <f>IFERROR(SUMIF(A$6:A3429,"&lt;&gt;""",G$6:G3429)-SUMIF(A$6:A3429,"&lt;&gt;""",H$6:H3429),"")</f>
        <v/>
      </c>
    </row>
    <row r="3430">
      <c r="I3430">
        <f>IFERROR(SUMIF(A$6:A3430,"&lt;&gt;""",G$6:G3430)-SUMIF(A$6:A3430,"&lt;&gt;""",H$6:H3430),"")</f>
        <v/>
      </c>
    </row>
    <row r="3431">
      <c r="I3431">
        <f>IFERROR(SUMIF(A$6:A3431,"&lt;&gt;""",G$6:G3431)-SUMIF(A$6:A3431,"&lt;&gt;""",H$6:H3431),"")</f>
        <v/>
      </c>
    </row>
    <row r="3432">
      <c r="I3432">
        <f>IFERROR(SUMIF(A$6:A3432,"&lt;&gt;""",G$6:G3432)-SUMIF(A$6:A3432,"&lt;&gt;""",H$6:H3432),"")</f>
        <v/>
      </c>
    </row>
    <row r="3433">
      <c r="I3433">
        <f>IFERROR(SUMIF(A$6:A3433,"&lt;&gt;""",G$6:G3433)-SUMIF(A$6:A3433,"&lt;&gt;""",H$6:H3433),"")</f>
        <v/>
      </c>
    </row>
    <row r="3434">
      <c r="I3434">
        <f>IFERROR(SUMIF(A$6:A3434,"&lt;&gt;""",G$6:G3434)-SUMIF(A$6:A3434,"&lt;&gt;""",H$6:H3434),"")</f>
        <v/>
      </c>
    </row>
    <row r="3435">
      <c r="I3435">
        <f>IFERROR(SUMIF(A$6:A3435,"&lt;&gt;""",G$6:G3435)-SUMIF(A$6:A3435,"&lt;&gt;""",H$6:H3435),"")</f>
        <v/>
      </c>
    </row>
    <row r="3436">
      <c r="I3436">
        <f>IFERROR(SUMIF(A$6:A3436,"&lt;&gt;""",G$6:G3436)-SUMIF(A$6:A3436,"&lt;&gt;""",H$6:H3436),"")</f>
        <v/>
      </c>
    </row>
    <row r="3437">
      <c r="I3437">
        <f>IFERROR(SUMIF(A$6:A3437,"&lt;&gt;""",G$6:G3437)-SUMIF(A$6:A3437,"&lt;&gt;""",H$6:H3437),"")</f>
        <v/>
      </c>
    </row>
    <row r="3438">
      <c r="I3438">
        <f>IFERROR(SUMIF(A$6:A3438,"&lt;&gt;""",G$6:G3438)-SUMIF(A$6:A3438,"&lt;&gt;""",H$6:H3438),"")</f>
        <v/>
      </c>
    </row>
    <row r="3439">
      <c r="I3439">
        <f>IFERROR(SUMIF(A$6:A3439,"&lt;&gt;""",G$6:G3439)-SUMIF(A$6:A3439,"&lt;&gt;""",H$6:H3439),"")</f>
        <v/>
      </c>
    </row>
    <row r="3440">
      <c r="I3440">
        <f>IFERROR(SUMIF(A$6:A3440,"&lt;&gt;""",G$6:G3440)-SUMIF(A$6:A3440,"&lt;&gt;""",H$6:H3440),"")</f>
        <v/>
      </c>
    </row>
    <row r="3441">
      <c r="I3441">
        <f>IFERROR(SUMIF(A$6:A3441,"&lt;&gt;""",G$6:G3441)-SUMIF(A$6:A3441,"&lt;&gt;""",H$6:H3441),"")</f>
        <v/>
      </c>
    </row>
    <row r="3442">
      <c r="I3442">
        <f>IFERROR(SUMIF(A$6:A3442,"&lt;&gt;""",G$6:G3442)-SUMIF(A$6:A3442,"&lt;&gt;""",H$6:H3442),"")</f>
        <v/>
      </c>
    </row>
    <row r="3443">
      <c r="I3443">
        <f>IFERROR(SUMIF(A$6:A3443,"&lt;&gt;""",G$6:G3443)-SUMIF(A$6:A3443,"&lt;&gt;""",H$6:H3443),"")</f>
        <v/>
      </c>
    </row>
    <row r="3444">
      <c r="I3444">
        <f>IFERROR(SUMIF(A$6:A3444,"&lt;&gt;""",G$6:G3444)-SUMIF(A$6:A3444,"&lt;&gt;""",H$6:H3444),"")</f>
        <v/>
      </c>
    </row>
    <row r="3445">
      <c r="I3445">
        <f>IFERROR(SUMIF(A$6:A3445,"&lt;&gt;""",G$6:G3445)-SUMIF(A$6:A3445,"&lt;&gt;""",H$6:H3445),"")</f>
        <v/>
      </c>
    </row>
    <row r="3446">
      <c r="I3446">
        <f>IFERROR(SUMIF(A$6:A3446,"&lt;&gt;""",G$6:G3446)-SUMIF(A$6:A3446,"&lt;&gt;""",H$6:H3446),"")</f>
        <v/>
      </c>
    </row>
    <row r="3447">
      <c r="I3447">
        <f>IFERROR(SUMIF(A$6:A3447,"&lt;&gt;""",G$6:G3447)-SUMIF(A$6:A3447,"&lt;&gt;""",H$6:H3447),"")</f>
        <v/>
      </c>
    </row>
    <row r="3448">
      <c r="I3448">
        <f>IFERROR(SUMIF(A$6:A3448,"&lt;&gt;""",G$6:G3448)-SUMIF(A$6:A3448,"&lt;&gt;""",H$6:H3448),"")</f>
        <v/>
      </c>
    </row>
    <row r="3449">
      <c r="I3449">
        <f>IFERROR(SUMIF(A$6:A3449,"&lt;&gt;""",G$6:G3449)-SUMIF(A$6:A3449,"&lt;&gt;""",H$6:H3449),"")</f>
        <v/>
      </c>
    </row>
    <row r="3450">
      <c r="I3450">
        <f>IFERROR(SUMIF(A$6:A3450,"&lt;&gt;""",G$6:G3450)-SUMIF(A$6:A3450,"&lt;&gt;""",H$6:H3450),"")</f>
        <v/>
      </c>
    </row>
    <row r="3451">
      <c r="I3451">
        <f>IFERROR(SUMIF(A$6:A3451,"&lt;&gt;""",G$6:G3451)-SUMIF(A$6:A3451,"&lt;&gt;""",H$6:H3451),"")</f>
        <v/>
      </c>
    </row>
    <row r="3452">
      <c r="I3452">
        <f>IFERROR(SUMIF(A$6:A3452,"&lt;&gt;""",G$6:G3452)-SUMIF(A$6:A3452,"&lt;&gt;""",H$6:H3452),"")</f>
        <v/>
      </c>
    </row>
    <row r="3453">
      <c r="I3453">
        <f>IFERROR(SUMIF(A$6:A3453,"&lt;&gt;""",G$6:G3453)-SUMIF(A$6:A3453,"&lt;&gt;""",H$6:H3453),"")</f>
        <v/>
      </c>
    </row>
    <row r="3454">
      <c r="I3454">
        <f>IFERROR(SUMIF(A$6:A3454,"&lt;&gt;""",G$6:G3454)-SUMIF(A$6:A3454,"&lt;&gt;""",H$6:H3454),"")</f>
        <v/>
      </c>
    </row>
    <row r="3455">
      <c r="I3455">
        <f>IFERROR(SUMIF(A$6:A3455,"&lt;&gt;""",G$6:G3455)-SUMIF(A$6:A3455,"&lt;&gt;""",H$6:H3455),"")</f>
        <v/>
      </c>
    </row>
    <row r="3456">
      <c r="I3456">
        <f>IFERROR(SUMIF(A$6:A3456,"&lt;&gt;""",G$6:G3456)-SUMIF(A$6:A3456,"&lt;&gt;""",H$6:H3456),"")</f>
        <v/>
      </c>
    </row>
    <row r="3457">
      <c r="I3457">
        <f>IFERROR(SUMIF(A$6:A3457,"&lt;&gt;""",G$6:G3457)-SUMIF(A$6:A3457,"&lt;&gt;""",H$6:H3457),"")</f>
        <v/>
      </c>
    </row>
    <row r="3458">
      <c r="I3458">
        <f>IFERROR(SUMIF(A$6:A3458,"&lt;&gt;""",G$6:G3458)-SUMIF(A$6:A3458,"&lt;&gt;""",H$6:H3458),"")</f>
        <v/>
      </c>
    </row>
    <row r="3459">
      <c r="I3459">
        <f>IFERROR(SUMIF(A$6:A3459,"&lt;&gt;""",G$6:G3459)-SUMIF(A$6:A3459,"&lt;&gt;""",H$6:H3459),"")</f>
        <v/>
      </c>
    </row>
    <row r="3460">
      <c r="I3460">
        <f>IFERROR(SUMIF(A$6:A3460,"&lt;&gt;""",G$6:G3460)-SUMIF(A$6:A3460,"&lt;&gt;""",H$6:H3460),"")</f>
        <v/>
      </c>
    </row>
    <row r="3461">
      <c r="I3461">
        <f>IFERROR(SUMIF(A$6:A3461,"&lt;&gt;""",G$6:G3461)-SUMIF(A$6:A3461,"&lt;&gt;""",H$6:H3461),"")</f>
        <v/>
      </c>
    </row>
    <row r="3462">
      <c r="I3462">
        <f>IFERROR(SUMIF(A$6:A3462,"&lt;&gt;""",G$6:G3462)-SUMIF(A$6:A3462,"&lt;&gt;""",H$6:H3462),"")</f>
        <v/>
      </c>
    </row>
    <row r="3463">
      <c r="I3463">
        <f>IFERROR(SUMIF(A$6:A3463,"&lt;&gt;""",G$6:G3463)-SUMIF(A$6:A3463,"&lt;&gt;""",H$6:H3463),"")</f>
        <v/>
      </c>
    </row>
    <row r="3464">
      <c r="I3464">
        <f>IFERROR(SUMIF(A$6:A3464,"&lt;&gt;""",G$6:G3464)-SUMIF(A$6:A3464,"&lt;&gt;""",H$6:H3464),"")</f>
        <v/>
      </c>
    </row>
    <row r="3465">
      <c r="I3465">
        <f>IFERROR(SUMIF(A$6:A3465,"&lt;&gt;""",G$6:G3465)-SUMIF(A$6:A3465,"&lt;&gt;""",H$6:H3465),"")</f>
        <v/>
      </c>
    </row>
    <row r="3466">
      <c r="I3466">
        <f>IFERROR(SUMIF(A$6:A3466,"&lt;&gt;""",G$6:G3466)-SUMIF(A$6:A3466,"&lt;&gt;""",H$6:H3466),"")</f>
        <v/>
      </c>
    </row>
    <row r="3467">
      <c r="I3467">
        <f>IFERROR(SUMIF(A$6:A3467,"&lt;&gt;""",G$6:G3467)-SUMIF(A$6:A3467,"&lt;&gt;""",H$6:H3467),"")</f>
        <v/>
      </c>
    </row>
    <row r="3468">
      <c r="I3468">
        <f>IFERROR(SUMIF(A$6:A3468,"&lt;&gt;""",G$6:G3468)-SUMIF(A$6:A3468,"&lt;&gt;""",H$6:H3468),"")</f>
        <v/>
      </c>
    </row>
    <row r="3469">
      <c r="I3469">
        <f>IFERROR(SUMIF(A$6:A3469,"&lt;&gt;""",G$6:G3469)-SUMIF(A$6:A3469,"&lt;&gt;""",H$6:H3469),"")</f>
        <v/>
      </c>
    </row>
    <row r="3470">
      <c r="I3470">
        <f>IFERROR(SUMIF(A$6:A3470,"&lt;&gt;""",G$6:G3470)-SUMIF(A$6:A3470,"&lt;&gt;""",H$6:H3470),"")</f>
        <v/>
      </c>
    </row>
    <row r="3471">
      <c r="I3471">
        <f>IFERROR(SUMIF(A$6:A3471,"&lt;&gt;""",G$6:G3471)-SUMIF(A$6:A3471,"&lt;&gt;""",H$6:H3471),"")</f>
        <v/>
      </c>
    </row>
    <row r="3472">
      <c r="I3472">
        <f>IFERROR(SUMIF(A$6:A3472,"&lt;&gt;""",G$6:G3472)-SUMIF(A$6:A3472,"&lt;&gt;""",H$6:H3472),"")</f>
        <v/>
      </c>
    </row>
    <row r="3473">
      <c r="I3473">
        <f>IFERROR(SUMIF(A$6:A3473,"&lt;&gt;""",G$6:G3473)-SUMIF(A$6:A3473,"&lt;&gt;""",H$6:H3473),"")</f>
        <v/>
      </c>
    </row>
    <row r="3474">
      <c r="I3474">
        <f>IFERROR(SUMIF(A$6:A3474,"&lt;&gt;""",G$6:G3474)-SUMIF(A$6:A3474,"&lt;&gt;""",H$6:H3474),"")</f>
        <v/>
      </c>
    </row>
    <row r="3475">
      <c r="I3475">
        <f>IFERROR(SUMIF(A$6:A3475,"&lt;&gt;""",G$6:G3475)-SUMIF(A$6:A3475,"&lt;&gt;""",H$6:H3475),"")</f>
        <v/>
      </c>
    </row>
    <row r="3476">
      <c r="I3476">
        <f>IFERROR(SUMIF(A$6:A3476,"&lt;&gt;""",G$6:G3476)-SUMIF(A$6:A3476,"&lt;&gt;""",H$6:H3476),"")</f>
        <v/>
      </c>
    </row>
    <row r="3477">
      <c r="I3477">
        <f>IFERROR(SUMIF(A$6:A3477,"&lt;&gt;""",G$6:G3477)-SUMIF(A$6:A3477,"&lt;&gt;""",H$6:H3477),"")</f>
        <v/>
      </c>
    </row>
    <row r="3478">
      <c r="I3478">
        <f>IFERROR(SUMIF(A$6:A3478,"&lt;&gt;""",G$6:G3478)-SUMIF(A$6:A3478,"&lt;&gt;""",H$6:H3478),"")</f>
        <v/>
      </c>
    </row>
    <row r="3479">
      <c r="I3479">
        <f>IFERROR(SUMIF(A$6:A3479,"&lt;&gt;""",G$6:G3479)-SUMIF(A$6:A3479,"&lt;&gt;""",H$6:H3479),"")</f>
        <v/>
      </c>
    </row>
    <row r="3480">
      <c r="I3480">
        <f>IFERROR(SUMIF(A$6:A3480,"&lt;&gt;""",G$6:G3480)-SUMIF(A$6:A3480,"&lt;&gt;""",H$6:H3480),"")</f>
        <v/>
      </c>
    </row>
    <row r="3481">
      <c r="I3481">
        <f>IFERROR(SUMIF(A$6:A3481,"&lt;&gt;""",G$6:G3481)-SUMIF(A$6:A3481,"&lt;&gt;""",H$6:H3481),"")</f>
        <v/>
      </c>
    </row>
    <row r="3482">
      <c r="I3482">
        <f>IFERROR(SUMIF(A$6:A3482,"&lt;&gt;""",G$6:G3482)-SUMIF(A$6:A3482,"&lt;&gt;""",H$6:H3482),"")</f>
        <v/>
      </c>
    </row>
    <row r="3483">
      <c r="I3483">
        <f>IFERROR(SUMIF(A$6:A3483,"&lt;&gt;""",G$6:G3483)-SUMIF(A$6:A3483,"&lt;&gt;""",H$6:H3483),"")</f>
        <v/>
      </c>
    </row>
    <row r="3484">
      <c r="I3484">
        <f>IFERROR(SUMIF(A$6:A3484,"&lt;&gt;""",G$6:G3484)-SUMIF(A$6:A3484,"&lt;&gt;""",H$6:H3484),"")</f>
        <v/>
      </c>
    </row>
    <row r="3485">
      <c r="I3485">
        <f>IFERROR(SUMIF(A$6:A3485,"&lt;&gt;""",G$6:G3485)-SUMIF(A$6:A3485,"&lt;&gt;""",H$6:H3485),"")</f>
        <v/>
      </c>
    </row>
    <row r="3486">
      <c r="I3486">
        <f>IFERROR(SUMIF(A$6:A3486,"&lt;&gt;""",G$6:G3486)-SUMIF(A$6:A3486,"&lt;&gt;""",H$6:H3486),"")</f>
        <v/>
      </c>
    </row>
    <row r="3487">
      <c r="I3487">
        <f>IFERROR(SUMIF(A$6:A3487,"&lt;&gt;""",G$6:G3487)-SUMIF(A$6:A3487,"&lt;&gt;""",H$6:H3487),"")</f>
        <v/>
      </c>
    </row>
    <row r="3488">
      <c r="I3488">
        <f>IFERROR(SUMIF(A$6:A3488,"&lt;&gt;""",G$6:G3488)-SUMIF(A$6:A3488,"&lt;&gt;""",H$6:H3488),"")</f>
        <v/>
      </c>
    </row>
    <row r="3489">
      <c r="I3489">
        <f>IFERROR(SUMIF(A$6:A3489,"&lt;&gt;""",G$6:G3489)-SUMIF(A$6:A3489,"&lt;&gt;""",H$6:H3489),"")</f>
        <v/>
      </c>
    </row>
    <row r="3490">
      <c r="I3490">
        <f>IFERROR(SUMIF(A$6:A3490,"&lt;&gt;""",G$6:G3490)-SUMIF(A$6:A3490,"&lt;&gt;""",H$6:H3490),"")</f>
        <v/>
      </c>
    </row>
    <row r="3491">
      <c r="I3491">
        <f>IFERROR(SUMIF(A$6:A3491,"&lt;&gt;""",G$6:G3491)-SUMIF(A$6:A3491,"&lt;&gt;""",H$6:H3491),"")</f>
        <v/>
      </c>
    </row>
    <row r="3492">
      <c r="I3492">
        <f>IFERROR(SUMIF(A$6:A3492,"&lt;&gt;""",G$6:G3492)-SUMIF(A$6:A3492,"&lt;&gt;""",H$6:H3492),"")</f>
        <v/>
      </c>
    </row>
    <row r="3493">
      <c r="I3493">
        <f>IFERROR(SUMIF(A$6:A3493,"&lt;&gt;""",G$6:G3493)-SUMIF(A$6:A3493,"&lt;&gt;""",H$6:H3493),"")</f>
        <v/>
      </c>
    </row>
    <row r="3494">
      <c r="I3494">
        <f>IFERROR(SUMIF(A$6:A3494,"&lt;&gt;""",G$6:G3494)-SUMIF(A$6:A3494,"&lt;&gt;""",H$6:H3494),"")</f>
        <v/>
      </c>
    </row>
    <row r="3495">
      <c r="I3495">
        <f>IFERROR(SUMIF(A$6:A3495,"&lt;&gt;""",G$6:G3495)-SUMIF(A$6:A3495,"&lt;&gt;""",H$6:H3495),"")</f>
        <v/>
      </c>
    </row>
    <row r="3496">
      <c r="I3496">
        <f>IFERROR(SUMIF(A$6:A3496,"&lt;&gt;""",G$6:G3496)-SUMIF(A$6:A3496,"&lt;&gt;""",H$6:H3496),"")</f>
        <v/>
      </c>
    </row>
    <row r="3497">
      <c r="I3497">
        <f>IFERROR(SUMIF(A$6:A3497,"&lt;&gt;""",G$6:G3497)-SUMIF(A$6:A3497,"&lt;&gt;""",H$6:H3497),"")</f>
        <v/>
      </c>
    </row>
    <row r="3498">
      <c r="I3498">
        <f>IFERROR(SUMIF(A$6:A3498,"&lt;&gt;""",G$6:G3498)-SUMIF(A$6:A3498,"&lt;&gt;""",H$6:H3498),"")</f>
        <v/>
      </c>
    </row>
    <row r="3499">
      <c r="I3499">
        <f>IFERROR(SUMIF(A$6:A3499,"&lt;&gt;""",G$6:G3499)-SUMIF(A$6:A3499,"&lt;&gt;""",H$6:H3499),"")</f>
        <v/>
      </c>
    </row>
    <row r="3500">
      <c r="I3500">
        <f>IFERROR(SUMIF(A$6:A3500,"&lt;&gt;""",G$6:G3500)-SUMIF(A$6:A3500,"&lt;&gt;""",H$6:H3500),"")</f>
        <v/>
      </c>
    </row>
    <row r="3501">
      <c r="I3501">
        <f>IFERROR(SUMIF(A$6:A3501,"&lt;&gt;""",G$6:G3501)-SUMIF(A$6:A3501,"&lt;&gt;""",H$6:H3501),"")</f>
        <v/>
      </c>
    </row>
    <row r="3502">
      <c r="I3502">
        <f>IFERROR(SUMIF(A$6:A3502,"&lt;&gt;""",G$6:G3502)-SUMIF(A$6:A3502,"&lt;&gt;""",H$6:H3502),"")</f>
        <v/>
      </c>
    </row>
    <row r="3503">
      <c r="I3503">
        <f>IFERROR(SUMIF(A$6:A3503,"&lt;&gt;""",G$6:G3503)-SUMIF(A$6:A3503,"&lt;&gt;""",H$6:H3503),"")</f>
        <v/>
      </c>
    </row>
    <row r="3504">
      <c r="I3504">
        <f>IFERROR(SUMIF(A$6:A3504,"&lt;&gt;""",G$6:G3504)-SUMIF(A$6:A3504,"&lt;&gt;""",H$6:H3504),"")</f>
        <v/>
      </c>
    </row>
    <row r="3505">
      <c r="I3505">
        <f>IFERROR(SUMIF(A$6:A3505,"&lt;&gt;""",G$6:G3505)-SUMIF(A$6:A3505,"&lt;&gt;""",H$6:H3505),"")</f>
        <v/>
      </c>
    </row>
    <row r="3506">
      <c r="I3506">
        <f>IFERROR(SUMIF(A$6:A3506,"&lt;&gt;""",G$6:G3506)-SUMIF(A$6:A3506,"&lt;&gt;""",H$6:H3506),"")</f>
        <v/>
      </c>
    </row>
    <row r="3507">
      <c r="I3507">
        <f>IFERROR(SUMIF(A$6:A3507,"&lt;&gt;""",G$6:G3507)-SUMIF(A$6:A3507,"&lt;&gt;""",H$6:H3507),"")</f>
        <v/>
      </c>
    </row>
    <row r="3508">
      <c r="I3508">
        <f>IFERROR(SUMIF(A$6:A3508,"&lt;&gt;""",G$6:G3508)-SUMIF(A$6:A3508,"&lt;&gt;""",H$6:H3508),"")</f>
        <v/>
      </c>
    </row>
    <row r="3509">
      <c r="I3509">
        <f>IFERROR(SUMIF(A$6:A3509,"&lt;&gt;""",G$6:G3509)-SUMIF(A$6:A3509,"&lt;&gt;""",H$6:H3509),"")</f>
        <v/>
      </c>
    </row>
    <row r="3510">
      <c r="I3510">
        <f>IFERROR(SUMIF(A$6:A3510,"&lt;&gt;""",G$6:G3510)-SUMIF(A$6:A3510,"&lt;&gt;""",H$6:H3510),"")</f>
        <v/>
      </c>
    </row>
    <row r="3511">
      <c r="I3511">
        <f>IFERROR(SUMIF(A$6:A3511,"&lt;&gt;""",G$6:G3511)-SUMIF(A$6:A3511,"&lt;&gt;""",H$6:H3511),"")</f>
        <v/>
      </c>
    </row>
    <row r="3512">
      <c r="I3512">
        <f>IFERROR(SUMIF(A$6:A3512,"&lt;&gt;""",G$6:G3512)-SUMIF(A$6:A3512,"&lt;&gt;""",H$6:H3512),"")</f>
        <v/>
      </c>
    </row>
    <row r="3513">
      <c r="I3513">
        <f>IFERROR(SUMIF(A$6:A3513,"&lt;&gt;""",G$6:G3513)-SUMIF(A$6:A3513,"&lt;&gt;""",H$6:H3513),"")</f>
        <v/>
      </c>
    </row>
    <row r="3514">
      <c r="I3514">
        <f>IFERROR(SUMIF(A$6:A3514,"&lt;&gt;""",G$6:G3514)-SUMIF(A$6:A3514,"&lt;&gt;""",H$6:H3514),"")</f>
        <v/>
      </c>
    </row>
    <row r="3515">
      <c r="I3515">
        <f>IFERROR(SUMIF(A$6:A3515,"&lt;&gt;""",G$6:G3515)-SUMIF(A$6:A3515,"&lt;&gt;""",H$6:H3515),"")</f>
        <v/>
      </c>
    </row>
    <row r="3516">
      <c r="I3516">
        <f>IFERROR(SUMIF(A$6:A3516,"&lt;&gt;""",G$6:G3516)-SUMIF(A$6:A3516,"&lt;&gt;""",H$6:H3516),"")</f>
        <v/>
      </c>
    </row>
    <row r="3517">
      <c r="I3517">
        <f>IFERROR(SUMIF(A$6:A3517,"&lt;&gt;""",G$6:G3517)-SUMIF(A$6:A3517,"&lt;&gt;""",H$6:H3517),"")</f>
        <v/>
      </c>
    </row>
    <row r="3518">
      <c r="I3518">
        <f>IFERROR(SUMIF(A$6:A3518,"&lt;&gt;""",G$6:G3518)-SUMIF(A$6:A3518,"&lt;&gt;""",H$6:H3518),"")</f>
        <v/>
      </c>
    </row>
    <row r="3519">
      <c r="I3519">
        <f>IFERROR(SUMIF(A$6:A3519,"&lt;&gt;""",G$6:G3519)-SUMIF(A$6:A3519,"&lt;&gt;""",H$6:H3519),"")</f>
        <v/>
      </c>
    </row>
    <row r="3520">
      <c r="I3520">
        <f>IFERROR(SUMIF(A$6:A3520,"&lt;&gt;""",G$6:G3520)-SUMIF(A$6:A3520,"&lt;&gt;""",H$6:H3520),"")</f>
        <v/>
      </c>
    </row>
    <row r="3521">
      <c r="I3521">
        <f>IFERROR(SUMIF(A$6:A3521,"&lt;&gt;""",G$6:G3521)-SUMIF(A$6:A3521,"&lt;&gt;""",H$6:H3521),"")</f>
        <v/>
      </c>
    </row>
    <row r="3522">
      <c r="I3522">
        <f>IFERROR(SUMIF(A$6:A3522,"&lt;&gt;""",G$6:G3522)-SUMIF(A$6:A3522,"&lt;&gt;""",H$6:H3522),"")</f>
        <v/>
      </c>
    </row>
    <row r="3523">
      <c r="I3523">
        <f>IFERROR(SUMIF(A$6:A3523,"&lt;&gt;""",G$6:G3523)-SUMIF(A$6:A3523,"&lt;&gt;""",H$6:H3523),"")</f>
        <v/>
      </c>
    </row>
    <row r="3524">
      <c r="I3524">
        <f>IFERROR(SUMIF(A$6:A3524,"&lt;&gt;""",G$6:G3524)-SUMIF(A$6:A3524,"&lt;&gt;""",H$6:H3524),"")</f>
        <v/>
      </c>
    </row>
    <row r="3525">
      <c r="I3525">
        <f>IFERROR(SUMIF(A$6:A3525,"&lt;&gt;""",G$6:G3525)-SUMIF(A$6:A3525,"&lt;&gt;""",H$6:H3525),"")</f>
        <v/>
      </c>
    </row>
    <row r="3526">
      <c r="I3526">
        <f>IFERROR(SUMIF(A$6:A3526,"&lt;&gt;""",G$6:G3526)-SUMIF(A$6:A3526,"&lt;&gt;""",H$6:H3526),"")</f>
        <v/>
      </c>
    </row>
    <row r="3527">
      <c r="I3527">
        <f>IFERROR(SUMIF(A$6:A3527,"&lt;&gt;""",G$6:G3527)-SUMIF(A$6:A3527,"&lt;&gt;""",H$6:H3527),"")</f>
        <v/>
      </c>
    </row>
    <row r="3528">
      <c r="I3528">
        <f>IFERROR(SUMIF(A$6:A3528,"&lt;&gt;""",G$6:G3528)-SUMIF(A$6:A3528,"&lt;&gt;""",H$6:H3528),"")</f>
        <v/>
      </c>
    </row>
    <row r="3529">
      <c r="I3529">
        <f>IFERROR(SUMIF(A$6:A3529,"&lt;&gt;""",G$6:G3529)-SUMIF(A$6:A3529,"&lt;&gt;""",H$6:H3529),"")</f>
        <v/>
      </c>
    </row>
    <row r="3530">
      <c r="I3530">
        <f>IFERROR(SUMIF(A$6:A3530,"&lt;&gt;""",G$6:G3530)-SUMIF(A$6:A3530,"&lt;&gt;""",H$6:H3530),"")</f>
        <v/>
      </c>
    </row>
    <row r="3531">
      <c r="I3531">
        <f>IFERROR(SUMIF(A$6:A3531,"&lt;&gt;""",G$6:G3531)-SUMIF(A$6:A3531,"&lt;&gt;""",H$6:H3531),"")</f>
        <v/>
      </c>
    </row>
    <row r="3532">
      <c r="I3532">
        <f>IFERROR(SUMIF(A$6:A3532,"&lt;&gt;""",G$6:G3532)-SUMIF(A$6:A3532,"&lt;&gt;""",H$6:H3532),"")</f>
        <v/>
      </c>
    </row>
    <row r="3533">
      <c r="I3533">
        <f>IFERROR(SUMIF(A$6:A3533,"&lt;&gt;""",G$6:G3533)-SUMIF(A$6:A3533,"&lt;&gt;""",H$6:H3533),"")</f>
        <v/>
      </c>
    </row>
    <row r="3534">
      <c r="I3534">
        <f>IFERROR(SUMIF(A$6:A3534,"&lt;&gt;""",G$6:G3534)-SUMIF(A$6:A3534,"&lt;&gt;""",H$6:H3534),"")</f>
        <v/>
      </c>
    </row>
    <row r="3535">
      <c r="I3535">
        <f>IFERROR(SUMIF(A$6:A3535,"&lt;&gt;""",G$6:G3535)-SUMIF(A$6:A3535,"&lt;&gt;""",H$6:H3535),"")</f>
        <v/>
      </c>
    </row>
    <row r="3536">
      <c r="I3536">
        <f>IFERROR(SUMIF(A$6:A3536,"&lt;&gt;""",G$6:G3536)-SUMIF(A$6:A3536,"&lt;&gt;""",H$6:H3536),"")</f>
        <v/>
      </c>
    </row>
    <row r="3537">
      <c r="I3537">
        <f>IFERROR(SUMIF(A$6:A3537,"&lt;&gt;""",G$6:G3537)-SUMIF(A$6:A3537,"&lt;&gt;""",H$6:H3537),"")</f>
        <v/>
      </c>
    </row>
    <row r="3538">
      <c r="I3538">
        <f>IFERROR(SUMIF(A$6:A3538,"&lt;&gt;""",G$6:G3538)-SUMIF(A$6:A3538,"&lt;&gt;""",H$6:H3538),"")</f>
        <v/>
      </c>
    </row>
    <row r="3539">
      <c r="I3539">
        <f>IFERROR(SUMIF(A$6:A3539,"&lt;&gt;""",G$6:G3539)-SUMIF(A$6:A3539,"&lt;&gt;""",H$6:H3539),"")</f>
        <v/>
      </c>
    </row>
    <row r="3540">
      <c r="I3540">
        <f>IFERROR(SUMIF(A$6:A3540,"&lt;&gt;""",G$6:G3540)-SUMIF(A$6:A3540,"&lt;&gt;""",H$6:H3540),"")</f>
        <v/>
      </c>
    </row>
    <row r="3541">
      <c r="I3541">
        <f>IFERROR(SUMIF(A$6:A3541,"&lt;&gt;""",G$6:G3541)-SUMIF(A$6:A3541,"&lt;&gt;""",H$6:H3541),"")</f>
        <v/>
      </c>
    </row>
    <row r="3542">
      <c r="I3542">
        <f>IFERROR(SUMIF(A$6:A3542,"&lt;&gt;""",G$6:G3542)-SUMIF(A$6:A3542,"&lt;&gt;""",H$6:H3542),"")</f>
        <v/>
      </c>
    </row>
    <row r="3543">
      <c r="I3543">
        <f>IFERROR(SUMIF(A$6:A3543,"&lt;&gt;""",G$6:G3543)-SUMIF(A$6:A3543,"&lt;&gt;""",H$6:H3543),"")</f>
        <v/>
      </c>
    </row>
    <row r="3544">
      <c r="I3544">
        <f>IFERROR(SUMIF(A$6:A3544,"&lt;&gt;""",G$6:G3544)-SUMIF(A$6:A3544,"&lt;&gt;""",H$6:H3544),"")</f>
        <v/>
      </c>
    </row>
    <row r="3545">
      <c r="I3545">
        <f>IFERROR(SUMIF(A$6:A3545,"&lt;&gt;""",G$6:G3545)-SUMIF(A$6:A3545,"&lt;&gt;""",H$6:H3545),"")</f>
        <v/>
      </c>
    </row>
    <row r="3546">
      <c r="I3546">
        <f>IFERROR(SUMIF(A$6:A3546,"&lt;&gt;""",G$6:G3546)-SUMIF(A$6:A3546,"&lt;&gt;""",H$6:H3546),"")</f>
        <v/>
      </c>
    </row>
    <row r="3547">
      <c r="I3547">
        <f>IFERROR(SUMIF(A$6:A3547,"&lt;&gt;""",G$6:G3547)-SUMIF(A$6:A3547,"&lt;&gt;""",H$6:H3547),"")</f>
        <v/>
      </c>
    </row>
    <row r="3548">
      <c r="I3548">
        <f>IFERROR(SUMIF(A$6:A3548,"&lt;&gt;""",G$6:G3548)-SUMIF(A$6:A3548,"&lt;&gt;""",H$6:H3548),"")</f>
        <v/>
      </c>
    </row>
    <row r="3549">
      <c r="I3549">
        <f>IFERROR(SUMIF(A$6:A3549,"&lt;&gt;""",G$6:G3549)-SUMIF(A$6:A3549,"&lt;&gt;""",H$6:H3549),"")</f>
        <v/>
      </c>
    </row>
    <row r="3550">
      <c r="I3550">
        <f>IFERROR(SUMIF(A$6:A3550,"&lt;&gt;""",G$6:G3550)-SUMIF(A$6:A3550,"&lt;&gt;""",H$6:H3550),"")</f>
        <v/>
      </c>
    </row>
    <row r="3551">
      <c r="I3551">
        <f>IFERROR(SUMIF(A$6:A3551,"&lt;&gt;""",G$6:G3551)-SUMIF(A$6:A3551,"&lt;&gt;""",H$6:H3551),"")</f>
        <v/>
      </c>
    </row>
    <row r="3552">
      <c r="I3552">
        <f>IFERROR(SUMIF(A$6:A3552,"&lt;&gt;""",G$6:G3552)-SUMIF(A$6:A3552,"&lt;&gt;""",H$6:H3552),"")</f>
        <v/>
      </c>
    </row>
    <row r="3553">
      <c r="I3553">
        <f>IFERROR(SUMIF(A$6:A3553,"&lt;&gt;""",G$6:G3553)-SUMIF(A$6:A3553,"&lt;&gt;""",H$6:H3553),"")</f>
        <v/>
      </c>
    </row>
    <row r="3554">
      <c r="I3554">
        <f>IFERROR(SUMIF(A$6:A3554,"&lt;&gt;""",G$6:G3554)-SUMIF(A$6:A3554,"&lt;&gt;""",H$6:H3554),"")</f>
        <v/>
      </c>
    </row>
    <row r="3555">
      <c r="I3555">
        <f>IFERROR(SUMIF(A$6:A3555,"&lt;&gt;""",G$6:G3555)-SUMIF(A$6:A3555,"&lt;&gt;""",H$6:H3555),"")</f>
        <v/>
      </c>
    </row>
    <row r="3556">
      <c r="I3556">
        <f>IFERROR(SUMIF(A$6:A3556,"&lt;&gt;""",G$6:G3556)-SUMIF(A$6:A3556,"&lt;&gt;""",H$6:H3556),"")</f>
        <v/>
      </c>
    </row>
    <row r="3557">
      <c r="I3557">
        <f>IFERROR(SUMIF(A$6:A3557,"&lt;&gt;""",G$6:G3557)-SUMIF(A$6:A3557,"&lt;&gt;""",H$6:H3557),"")</f>
        <v/>
      </c>
    </row>
    <row r="3558">
      <c r="I3558">
        <f>IFERROR(SUMIF(A$6:A3558,"&lt;&gt;""",G$6:G3558)-SUMIF(A$6:A3558,"&lt;&gt;""",H$6:H3558),"")</f>
        <v/>
      </c>
    </row>
    <row r="3559">
      <c r="I3559">
        <f>IFERROR(SUMIF(A$6:A3559,"&lt;&gt;""",G$6:G3559)-SUMIF(A$6:A3559,"&lt;&gt;""",H$6:H3559),"")</f>
        <v/>
      </c>
    </row>
    <row r="3560">
      <c r="I3560">
        <f>IFERROR(SUMIF(A$6:A3560,"&lt;&gt;""",G$6:G3560)-SUMIF(A$6:A3560,"&lt;&gt;""",H$6:H3560),"")</f>
        <v/>
      </c>
    </row>
    <row r="3561">
      <c r="I3561">
        <f>IFERROR(SUMIF(A$6:A3561,"&lt;&gt;""",G$6:G3561)-SUMIF(A$6:A3561,"&lt;&gt;""",H$6:H3561),"")</f>
        <v/>
      </c>
    </row>
    <row r="3562">
      <c r="I3562">
        <f>IFERROR(SUMIF(A$6:A3562,"&lt;&gt;""",G$6:G3562)-SUMIF(A$6:A3562,"&lt;&gt;""",H$6:H3562),"")</f>
        <v/>
      </c>
    </row>
    <row r="3563">
      <c r="I3563">
        <f>IFERROR(SUMIF(A$6:A3563,"&lt;&gt;""",G$6:G3563)-SUMIF(A$6:A3563,"&lt;&gt;""",H$6:H3563),"")</f>
        <v/>
      </c>
    </row>
    <row r="3564">
      <c r="I3564">
        <f>IFERROR(SUMIF(A$6:A3564,"&lt;&gt;""",G$6:G3564)-SUMIF(A$6:A3564,"&lt;&gt;""",H$6:H3564),"")</f>
        <v/>
      </c>
    </row>
    <row r="3565">
      <c r="I3565">
        <f>IFERROR(SUMIF(A$6:A3565,"&lt;&gt;""",G$6:G3565)-SUMIF(A$6:A3565,"&lt;&gt;""",H$6:H3565),"")</f>
        <v/>
      </c>
    </row>
    <row r="3566">
      <c r="I3566">
        <f>IFERROR(SUMIF(A$6:A3566,"&lt;&gt;""",G$6:G3566)-SUMIF(A$6:A3566,"&lt;&gt;""",H$6:H3566),"")</f>
        <v/>
      </c>
    </row>
    <row r="3567">
      <c r="I3567">
        <f>IFERROR(SUMIF(A$6:A3567,"&lt;&gt;""",G$6:G3567)-SUMIF(A$6:A3567,"&lt;&gt;""",H$6:H3567),"")</f>
        <v/>
      </c>
    </row>
    <row r="3568">
      <c r="I3568">
        <f>IFERROR(SUMIF(A$6:A3568,"&lt;&gt;""",G$6:G3568)-SUMIF(A$6:A3568,"&lt;&gt;""",H$6:H3568),"")</f>
        <v/>
      </c>
    </row>
    <row r="3569">
      <c r="I3569">
        <f>IFERROR(SUMIF(A$6:A3569,"&lt;&gt;""",G$6:G3569)-SUMIF(A$6:A3569,"&lt;&gt;""",H$6:H3569),"")</f>
        <v/>
      </c>
    </row>
    <row r="3570">
      <c r="I3570">
        <f>IFERROR(SUMIF(A$6:A3570,"&lt;&gt;""",G$6:G3570)-SUMIF(A$6:A3570,"&lt;&gt;""",H$6:H3570),"")</f>
        <v/>
      </c>
    </row>
    <row r="3571">
      <c r="I3571">
        <f>IFERROR(SUMIF(A$6:A3571,"&lt;&gt;""",G$6:G3571)-SUMIF(A$6:A3571,"&lt;&gt;""",H$6:H3571),"")</f>
        <v/>
      </c>
    </row>
    <row r="3572">
      <c r="I3572">
        <f>IFERROR(SUMIF(A$6:A3572,"&lt;&gt;""",G$6:G3572)-SUMIF(A$6:A3572,"&lt;&gt;""",H$6:H3572),"")</f>
        <v/>
      </c>
    </row>
    <row r="3573">
      <c r="I3573">
        <f>IFERROR(SUMIF(A$6:A3573,"&lt;&gt;""",G$6:G3573)-SUMIF(A$6:A3573,"&lt;&gt;""",H$6:H3573),"")</f>
        <v/>
      </c>
    </row>
    <row r="3574">
      <c r="I3574">
        <f>IFERROR(SUMIF(A$6:A3574,"&lt;&gt;""",G$6:G3574)-SUMIF(A$6:A3574,"&lt;&gt;""",H$6:H3574),"")</f>
        <v/>
      </c>
    </row>
    <row r="3575">
      <c r="I3575">
        <f>IFERROR(SUMIF(A$6:A3575,"&lt;&gt;""",G$6:G3575)-SUMIF(A$6:A3575,"&lt;&gt;""",H$6:H3575),"")</f>
        <v/>
      </c>
    </row>
    <row r="3576">
      <c r="I3576">
        <f>IFERROR(SUMIF(A$6:A3576,"&lt;&gt;""",G$6:G3576)-SUMIF(A$6:A3576,"&lt;&gt;""",H$6:H3576),"")</f>
        <v/>
      </c>
    </row>
    <row r="3577">
      <c r="I3577">
        <f>IFERROR(SUMIF(A$6:A3577,"&lt;&gt;""",G$6:G3577)-SUMIF(A$6:A3577,"&lt;&gt;""",H$6:H3577),"")</f>
        <v/>
      </c>
    </row>
    <row r="3578">
      <c r="I3578">
        <f>IFERROR(SUMIF(A$6:A3578,"&lt;&gt;""",G$6:G3578)-SUMIF(A$6:A3578,"&lt;&gt;""",H$6:H3578),"")</f>
        <v/>
      </c>
    </row>
    <row r="3579">
      <c r="I3579">
        <f>IFERROR(SUMIF(A$6:A3579,"&lt;&gt;""",G$6:G3579)-SUMIF(A$6:A3579,"&lt;&gt;""",H$6:H3579),"")</f>
        <v/>
      </c>
    </row>
    <row r="3580">
      <c r="I3580">
        <f>IFERROR(SUMIF(A$6:A3580,"&lt;&gt;""",G$6:G3580)-SUMIF(A$6:A3580,"&lt;&gt;""",H$6:H3580),"")</f>
        <v/>
      </c>
    </row>
    <row r="3581">
      <c r="I3581">
        <f>IFERROR(SUMIF(A$6:A3581,"&lt;&gt;""",G$6:G3581)-SUMIF(A$6:A3581,"&lt;&gt;""",H$6:H3581),"")</f>
        <v/>
      </c>
    </row>
    <row r="3582">
      <c r="I3582">
        <f>IFERROR(SUMIF(A$6:A3582,"&lt;&gt;""",G$6:G3582)-SUMIF(A$6:A3582,"&lt;&gt;""",H$6:H3582),"")</f>
        <v/>
      </c>
    </row>
    <row r="3583">
      <c r="I3583">
        <f>IFERROR(SUMIF(A$6:A3583,"&lt;&gt;""",G$6:G3583)-SUMIF(A$6:A3583,"&lt;&gt;""",H$6:H3583),"")</f>
        <v/>
      </c>
    </row>
    <row r="3584">
      <c r="I3584">
        <f>IFERROR(SUMIF(A$6:A3584,"&lt;&gt;""",G$6:G3584)-SUMIF(A$6:A3584,"&lt;&gt;""",H$6:H3584),"")</f>
        <v/>
      </c>
    </row>
    <row r="3585">
      <c r="I3585">
        <f>IFERROR(SUMIF(A$6:A3585,"&lt;&gt;""",G$6:G3585)-SUMIF(A$6:A3585,"&lt;&gt;""",H$6:H3585),"")</f>
        <v/>
      </c>
    </row>
    <row r="3586">
      <c r="I3586">
        <f>IFERROR(SUMIF(A$6:A3586,"&lt;&gt;""",G$6:G3586)-SUMIF(A$6:A3586,"&lt;&gt;""",H$6:H3586),"")</f>
        <v/>
      </c>
    </row>
    <row r="3587">
      <c r="I3587">
        <f>IFERROR(SUMIF(A$6:A3587,"&lt;&gt;""",G$6:G3587)-SUMIF(A$6:A3587,"&lt;&gt;""",H$6:H3587),"")</f>
        <v/>
      </c>
    </row>
    <row r="3588">
      <c r="I3588">
        <f>IFERROR(SUMIF(A$6:A3588,"&lt;&gt;""",G$6:G3588)-SUMIF(A$6:A3588,"&lt;&gt;""",H$6:H3588),"")</f>
        <v/>
      </c>
    </row>
    <row r="3589">
      <c r="I3589">
        <f>IFERROR(SUMIF(A$6:A3589,"&lt;&gt;""",G$6:G3589)-SUMIF(A$6:A3589,"&lt;&gt;""",H$6:H3589),"")</f>
        <v/>
      </c>
    </row>
    <row r="3590">
      <c r="I3590">
        <f>IFERROR(SUMIF(A$6:A3590,"&lt;&gt;""",G$6:G3590)-SUMIF(A$6:A3590,"&lt;&gt;""",H$6:H3590),"")</f>
        <v/>
      </c>
    </row>
    <row r="3591">
      <c r="I3591">
        <f>IFERROR(SUMIF(A$6:A3591,"&lt;&gt;""",G$6:G3591)-SUMIF(A$6:A3591,"&lt;&gt;""",H$6:H3591),"")</f>
        <v/>
      </c>
    </row>
    <row r="3592">
      <c r="I3592">
        <f>IFERROR(SUMIF(A$6:A3592,"&lt;&gt;""",G$6:G3592)-SUMIF(A$6:A3592,"&lt;&gt;""",H$6:H3592),"")</f>
        <v/>
      </c>
    </row>
    <row r="3593">
      <c r="I3593">
        <f>IFERROR(SUMIF(A$6:A3593,"&lt;&gt;""",G$6:G3593)-SUMIF(A$6:A3593,"&lt;&gt;""",H$6:H3593),"")</f>
        <v/>
      </c>
    </row>
    <row r="3594">
      <c r="I3594">
        <f>IFERROR(SUMIF(A$6:A3594,"&lt;&gt;""",G$6:G3594)-SUMIF(A$6:A3594,"&lt;&gt;""",H$6:H3594),"")</f>
        <v/>
      </c>
    </row>
    <row r="3595">
      <c r="I3595">
        <f>IFERROR(SUMIF(A$6:A3595,"&lt;&gt;""",G$6:G3595)-SUMIF(A$6:A3595,"&lt;&gt;""",H$6:H3595),"")</f>
        <v/>
      </c>
    </row>
    <row r="3596">
      <c r="I3596">
        <f>IFERROR(SUMIF(A$6:A3596,"&lt;&gt;""",G$6:G3596)-SUMIF(A$6:A3596,"&lt;&gt;""",H$6:H3596),"")</f>
        <v/>
      </c>
    </row>
    <row r="3597">
      <c r="I3597">
        <f>IFERROR(SUMIF(A$6:A3597,"&lt;&gt;""",G$6:G3597)-SUMIF(A$6:A3597,"&lt;&gt;""",H$6:H3597),"")</f>
        <v/>
      </c>
    </row>
    <row r="3598">
      <c r="I3598">
        <f>IFERROR(SUMIF(A$6:A3598,"&lt;&gt;""",G$6:G3598)-SUMIF(A$6:A3598,"&lt;&gt;""",H$6:H3598),"")</f>
        <v/>
      </c>
    </row>
    <row r="3599">
      <c r="I3599">
        <f>IFERROR(SUMIF(A$6:A3599,"&lt;&gt;""",G$6:G3599)-SUMIF(A$6:A3599,"&lt;&gt;""",H$6:H3599),"")</f>
        <v/>
      </c>
    </row>
    <row r="3600">
      <c r="I3600">
        <f>IFERROR(SUMIF(A$6:A3600,"&lt;&gt;""",G$6:G3600)-SUMIF(A$6:A3600,"&lt;&gt;""",H$6:H3600),"")</f>
        <v/>
      </c>
    </row>
    <row r="3601">
      <c r="I3601">
        <f>IFERROR(SUMIF(A$6:A3601,"&lt;&gt;""",G$6:G3601)-SUMIF(A$6:A3601,"&lt;&gt;""",H$6:H3601),"")</f>
        <v/>
      </c>
    </row>
    <row r="3602">
      <c r="I3602">
        <f>IFERROR(SUMIF(A$6:A3602,"&lt;&gt;""",G$6:G3602)-SUMIF(A$6:A3602,"&lt;&gt;""",H$6:H3602),"")</f>
        <v/>
      </c>
    </row>
    <row r="3603">
      <c r="I3603">
        <f>IFERROR(SUMIF(A$6:A3603,"&lt;&gt;""",G$6:G3603)-SUMIF(A$6:A3603,"&lt;&gt;""",H$6:H3603),"")</f>
        <v/>
      </c>
    </row>
    <row r="3604">
      <c r="I3604">
        <f>IFERROR(SUMIF(A$6:A3604,"&lt;&gt;""",G$6:G3604)-SUMIF(A$6:A3604,"&lt;&gt;""",H$6:H3604),"")</f>
        <v/>
      </c>
    </row>
    <row r="3605">
      <c r="I3605">
        <f>IFERROR(SUMIF(A$6:A3605,"&lt;&gt;""",G$6:G3605)-SUMIF(A$6:A3605,"&lt;&gt;""",H$6:H3605),"")</f>
        <v/>
      </c>
    </row>
    <row r="3606">
      <c r="I3606">
        <f>IFERROR(SUMIF(A$6:A3606,"&lt;&gt;""",G$6:G3606)-SUMIF(A$6:A3606,"&lt;&gt;""",H$6:H3606),"")</f>
        <v/>
      </c>
    </row>
    <row r="3607">
      <c r="I3607">
        <f>IFERROR(SUMIF(A$6:A3607,"&lt;&gt;""",G$6:G3607)-SUMIF(A$6:A3607,"&lt;&gt;""",H$6:H3607),"")</f>
        <v/>
      </c>
    </row>
    <row r="3608">
      <c r="I3608">
        <f>IFERROR(SUMIF(A$6:A3608,"&lt;&gt;""",G$6:G3608)-SUMIF(A$6:A3608,"&lt;&gt;""",H$6:H3608),"")</f>
        <v/>
      </c>
    </row>
    <row r="3609">
      <c r="I3609">
        <f>IFERROR(SUMIF(A$6:A3609,"&lt;&gt;""",G$6:G3609)-SUMIF(A$6:A3609,"&lt;&gt;""",H$6:H3609),"")</f>
        <v/>
      </c>
    </row>
    <row r="3610">
      <c r="I3610">
        <f>IFERROR(SUMIF(A$6:A3610,"&lt;&gt;""",G$6:G3610)-SUMIF(A$6:A3610,"&lt;&gt;""",H$6:H3610),"")</f>
        <v/>
      </c>
    </row>
    <row r="3611">
      <c r="I3611">
        <f>IFERROR(SUMIF(A$6:A3611,"&lt;&gt;""",G$6:G3611)-SUMIF(A$6:A3611,"&lt;&gt;""",H$6:H3611),"")</f>
        <v/>
      </c>
    </row>
    <row r="3612">
      <c r="I3612">
        <f>IFERROR(SUMIF(A$6:A3612,"&lt;&gt;""",G$6:G3612)-SUMIF(A$6:A3612,"&lt;&gt;""",H$6:H3612),"")</f>
        <v/>
      </c>
    </row>
    <row r="3613">
      <c r="I3613">
        <f>IFERROR(SUMIF(A$6:A3613,"&lt;&gt;""",G$6:G3613)-SUMIF(A$6:A3613,"&lt;&gt;""",H$6:H3613),"")</f>
        <v/>
      </c>
    </row>
    <row r="3614">
      <c r="I3614">
        <f>IFERROR(SUMIF(A$6:A3614,"&lt;&gt;""",G$6:G3614)-SUMIF(A$6:A3614,"&lt;&gt;""",H$6:H3614),"")</f>
        <v/>
      </c>
    </row>
    <row r="3615">
      <c r="I3615">
        <f>IFERROR(SUMIF(A$6:A3615,"&lt;&gt;""",G$6:G3615)-SUMIF(A$6:A3615,"&lt;&gt;""",H$6:H3615),"")</f>
        <v/>
      </c>
    </row>
    <row r="3616">
      <c r="I3616">
        <f>IFERROR(SUMIF(A$6:A3616,"&lt;&gt;""",G$6:G3616)-SUMIF(A$6:A3616,"&lt;&gt;""",H$6:H3616),"")</f>
        <v/>
      </c>
    </row>
    <row r="3617">
      <c r="I3617">
        <f>IFERROR(SUMIF(A$6:A3617,"&lt;&gt;""",G$6:G3617)-SUMIF(A$6:A3617,"&lt;&gt;""",H$6:H3617),"")</f>
        <v/>
      </c>
    </row>
    <row r="3618">
      <c r="I3618">
        <f>IFERROR(SUMIF(A$6:A3618,"&lt;&gt;""",G$6:G3618)-SUMIF(A$6:A3618,"&lt;&gt;""",H$6:H3618),"")</f>
        <v/>
      </c>
    </row>
    <row r="3619">
      <c r="I3619">
        <f>IFERROR(SUMIF(A$6:A3619,"&lt;&gt;""",G$6:G3619)-SUMIF(A$6:A3619,"&lt;&gt;""",H$6:H3619),"")</f>
        <v/>
      </c>
    </row>
    <row r="3620">
      <c r="I3620">
        <f>IFERROR(SUMIF(A$6:A3620,"&lt;&gt;""",G$6:G3620)-SUMIF(A$6:A3620,"&lt;&gt;""",H$6:H3620),"")</f>
        <v/>
      </c>
    </row>
    <row r="3621">
      <c r="I3621">
        <f>IFERROR(SUMIF(A$6:A3621,"&lt;&gt;""",G$6:G3621)-SUMIF(A$6:A3621,"&lt;&gt;""",H$6:H3621),"")</f>
        <v/>
      </c>
    </row>
    <row r="3622">
      <c r="I3622">
        <f>IFERROR(SUMIF(A$6:A3622,"&lt;&gt;""",G$6:G3622)-SUMIF(A$6:A3622,"&lt;&gt;""",H$6:H3622),"")</f>
        <v/>
      </c>
    </row>
    <row r="3623">
      <c r="I3623">
        <f>IFERROR(SUMIF(A$6:A3623,"&lt;&gt;""",G$6:G3623)-SUMIF(A$6:A3623,"&lt;&gt;""",H$6:H3623),"")</f>
        <v/>
      </c>
    </row>
    <row r="3624">
      <c r="I3624">
        <f>IFERROR(SUMIF(A$6:A3624,"&lt;&gt;""",G$6:G3624)-SUMIF(A$6:A3624,"&lt;&gt;""",H$6:H3624),"")</f>
        <v/>
      </c>
    </row>
    <row r="3625">
      <c r="I3625">
        <f>IFERROR(SUMIF(A$6:A3625,"&lt;&gt;""",G$6:G3625)-SUMIF(A$6:A3625,"&lt;&gt;""",H$6:H3625),"")</f>
        <v/>
      </c>
    </row>
    <row r="3626">
      <c r="I3626">
        <f>IFERROR(SUMIF(A$6:A3626,"&lt;&gt;""",G$6:G3626)-SUMIF(A$6:A3626,"&lt;&gt;""",H$6:H3626),"")</f>
        <v/>
      </c>
    </row>
    <row r="3627">
      <c r="I3627">
        <f>IFERROR(SUMIF(A$6:A3627,"&lt;&gt;""",G$6:G3627)-SUMIF(A$6:A3627,"&lt;&gt;""",H$6:H3627),"")</f>
        <v/>
      </c>
    </row>
    <row r="3628">
      <c r="I3628">
        <f>IFERROR(SUMIF(A$6:A3628,"&lt;&gt;""",G$6:G3628)-SUMIF(A$6:A3628,"&lt;&gt;""",H$6:H3628),"")</f>
        <v/>
      </c>
    </row>
    <row r="3629">
      <c r="I3629">
        <f>IFERROR(SUMIF(A$6:A3629,"&lt;&gt;""",G$6:G3629)-SUMIF(A$6:A3629,"&lt;&gt;""",H$6:H3629),"")</f>
        <v/>
      </c>
    </row>
    <row r="3630">
      <c r="I3630">
        <f>IFERROR(SUMIF(A$6:A3630,"&lt;&gt;""",G$6:G3630)-SUMIF(A$6:A3630,"&lt;&gt;""",H$6:H3630),"")</f>
        <v/>
      </c>
    </row>
    <row r="3631">
      <c r="I3631">
        <f>IFERROR(SUMIF(A$6:A3631,"&lt;&gt;""",G$6:G3631)-SUMIF(A$6:A3631,"&lt;&gt;""",H$6:H3631),"")</f>
        <v/>
      </c>
    </row>
    <row r="3632">
      <c r="I3632">
        <f>IFERROR(SUMIF(A$6:A3632,"&lt;&gt;""",G$6:G3632)-SUMIF(A$6:A3632,"&lt;&gt;""",H$6:H3632),"")</f>
        <v/>
      </c>
    </row>
    <row r="3633">
      <c r="I3633">
        <f>IFERROR(SUMIF(A$6:A3633,"&lt;&gt;""",G$6:G3633)-SUMIF(A$6:A3633,"&lt;&gt;""",H$6:H3633),"")</f>
        <v/>
      </c>
    </row>
    <row r="3634">
      <c r="I3634">
        <f>IFERROR(SUMIF(A$6:A3634,"&lt;&gt;""",G$6:G3634)-SUMIF(A$6:A3634,"&lt;&gt;""",H$6:H3634),"")</f>
        <v/>
      </c>
    </row>
    <row r="3635">
      <c r="I3635">
        <f>IFERROR(SUMIF(A$6:A3635,"&lt;&gt;""",G$6:G3635)-SUMIF(A$6:A3635,"&lt;&gt;""",H$6:H3635),"")</f>
        <v/>
      </c>
    </row>
    <row r="3636">
      <c r="I3636">
        <f>IFERROR(SUMIF(A$6:A3636,"&lt;&gt;""",G$6:G3636)-SUMIF(A$6:A3636,"&lt;&gt;""",H$6:H3636),"")</f>
        <v/>
      </c>
    </row>
    <row r="3637">
      <c r="I3637">
        <f>IFERROR(SUMIF(A$6:A3637,"&lt;&gt;""",G$6:G3637)-SUMIF(A$6:A3637,"&lt;&gt;""",H$6:H3637),"")</f>
        <v/>
      </c>
    </row>
    <row r="3638">
      <c r="I3638">
        <f>IFERROR(SUMIF(A$6:A3638,"&lt;&gt;""",G$6:G3638)-SUMIF(A$6:A3638,"&lt;&gt;""",H$6:H3638),"")</f>
        <v/>
      </c>
    </row>
    <row r="3639">
      <c r="I3639">
        <f>IFERROR(SUMIF(A$6:A3639,"&lt;&gt;""",G$6:G3639)-SUMIF(A$6:A3639,"&lt;&gt;""",H$6:H3639),"")</f>
        <v/>
      </c>
    </row>
    <row r="3640">
      <c r="I3640">
        <f>IFERROR(SUMIF(A$6:A3640,"&lt;&gt;""",G$6:G3640)-SUMIF(A$6:A3640,"&lt;&gt;""",H$6:H3640),"")</f>
        <v/>
      </c>
    </row>
    <row r="3641">
      <c r="I3641">
        <f>IFERROR(SUMIF(A$6:A3641,"&lt;&gt;""",G$6:G3641)-SUMIF(A$6:A3641,"&lt;&gt;""",H$6:H3641),"")</f>
        <v/>
      </c>
    </row>
    <row r="3642">
      <c r="I3642">
        <f>IFERROR(SUMIF(A$6:A3642,"&lt;&gt;""",G$6:G3642)-SUMIF(A$6:A3642,"&lt;&gt;""",H$6:H3642),"")</f>
        <v/>
      </c>
    </row>
    <row r="3643">
      <c r="I3643">
        <f>IFERROR(SUMIF(A$6:A3643,"&lt;&gt;""",G$6:G3643)-SUMIF(A$6:A3643,"&lt;&gt;""",H$6:H3643),"")</f>
        <v/>
      </c>
    </row>
    <row r="3644">
      <c r="I3644">
        <f>IFERROR(SUMIF(A$6:A3644,"&lt;&gt;""",G$6:G3644)-SUMIF(A$6:A3644,"&lt;&gt;""",H$6:H3644),"")</f>
        <v/>
      </c>
    </row>
    <row r="3645">
      <c r="I3645">
        <f>IFERROR(SUMIF(A$6:A3645,"&lt;&gt;""",G$6:G3645)-SUMIF(A$6:A3645,"&lt;&gt;""",H$6:H3645),"")</f>
        <v/>
      </c>
    </row>
    <row r="3646">
      <c r="I3646">
        <f>IFERROR(SUMIF(A$6:A3646,"&lt;&gt;""",G$6:G3646)-SUMIF(A$6:A3646,"&lt;&gt;""",H$6:H3646),"")</f>
        <v/>
      </c>
    </row>
    <row r="3647">
      <c r="I3647">
        <f>IFERROR(SUMIF(A$6:A3647,"&lt;&gt;""",G$6:G3647)-SUMIF(A$6:A3647,"&lt;&gt;""",H$6:H3647),"")</f>
        <v/>
      </c>
    </row>
    <row r="3648">
      <c r="I3648">
        <f>IFERROR(SUMIF(A$6:A3648,"&lt;&gt;""",G$6:G3648)-SUMIF(A$6:A3648,"&lt;&gt;""",H$6:H3648),"")</f>
        <v/>
      </c>
    </row>
    <row r="3649">
      <c r="I3649">
        <f>IFERROR(SUMIF(A$6:A3649,"&lt;&gt;""",G$6:G3649)-SUMIF(A$6:A3649,"&lt;&gt;""",H$6:H3649),"")</f>
        <v/>
      </c>
    </row>
    <row r="3650">
      <c r="I3650">
        <f>IFERROR(SUMIF(A$6:A3650,"&lt;&gt;""",G$6:G3650)-SUMIF(A$6:A3650,"&lt;&gt;""",H$6:H3650),"")</f>
        <v/>
      </c>
    </row>
    <row r="3651">
      <c r="I3651">
        <f>IFERROR(SUMIF(A$6:A3651,"&lt;&gt;""",G$6:G3651)-SUMIF(A$6:A3651,"&lt;&gt;""",H$6:H3651),"")</f>
        <v/>
      </c>
    </row>
    <row r="3652">
      <c r="I3652">
        <f>IFERROR(SUMIF(A$6:A3652,"&lt;&gt;""",G$6:G3652)-SUMIF(A$6:A3652,"&lt;&gt;""",H$6:H3652),"")</f>
        <v/>
      </c>
    </row>
    <row r="3653">
      <c r="I3653">
        <f>IFERROR(SUMIF(A$6:A3653,"&lt;&gt;""",G$6:G3653)-SUMIF(A$6:A3653,"&lt;&gt;""",H$6:H3653),"")</f>
        <v/>
      </c>
    </row>
    <row r="3654">
      <c r="I3654">
        <f>IFERROR(SUMIF(A$6:A3654,"&lt;&gt;""",G$6:G3654)-SUMIF(A$6:A3654,"&lt;&gt;""",H$6:H3654),"")</f>
        <v/>
      </c>
    </row>
    <row r="3655">
      <c r="I3655">
        <f>IFERROR(SUMIF(A$6:A3655,"&lt;&gt;""",G$6:G3655)-SUMIF(A$6:A3655,"&lt;&gt;""",H$6:H3655),"")</f>
        <v/>
      </c>
    </row>
    <row r="3656">
      <c r="I3656">
        <f>IFERROR(SUMIF(A$6:A3656,"&lt;&gt;""",G$6:G3656)-SUMIF(A$6:A3656,"&lt;&gt;""",H$6:H3656),"")</f>
        <v/>
      </c>
    </row>
    <row r="3657">
      <c r="I3657">
        <f>IFERROR(SUMIF(A$6:A3657,"&lt;&gt;""",G$6:G3657)-SUMIF(A$6:A3657,"&lt;&gt;""",H$6:H3657),"")</f>
        <v/>
      </c>
    </row>
    <row r="3658">
      <c r="I3658">
        <f>IFERROR(SUMIF(A$6:A3658,"&lt;&gt;""",G$6:G3658)-SUMIF(A$6:A3658,"&lt;&gt;""",H$6:H3658),"")</f>
        <v/>
      </c>
    </row>
    <row r="3659">
      <c r="I3659">
        <f>IFERROR(SUMIF(A$6:A3659,"&lt;&gt;""",G$6:G3659)-SUMIF(A$6:A3659,"&lt;&gt;""",H$6:H3659),"")</f>
        <v/>
      </c>
    </row>
    <row r="3660">
      <c r="I3660">
        <f>IFERROR(SUMIF(A$6:A3660,"&lt;&gt;""",G$6:G3660)-SUMIF(A$6:A3660,"&lt;&gt;""",H$6:H3660),"")</f>
        <v/>
      </c>
    </row>
    <row r="3661">
      <c r="I3661">
        <f>IFERROR(SUMIF(A$6:A3661,"&lt;&gt;""",G$6:G3661)-SUMIF(A$6:A3661,"&lt;&gt;""",H$6:H3661),"")</f>
        <v/>
      </c>
    </row>
    <row r="3662">
      <c r="I3662">
        <f>IFERROR(SUMIF(A$6:A3662,"&lt;&gt;""",G$6:G3662)-SUMIF(A$6:A3662,"&lt;&gt;""",H$6:H3662),"")</f>
        <v/>
      </c>
    </row>
    <row r="3663">
      <c r="I3663">
        <f>IFERROR(SUMIF(A$6:A3663,"&lt;&gt;""",G$6:G3663)-SUMIF(A$6:A3663,"&lt;&gt;""",H$6:H3663),"")</f>
        <v/>
      </c>
    </row>
    <row r="3664">
      <c r="I3664">
        <f>IFERROR(SUMIF(A$6:A3664,"&lt;&gt;""",G$6:G3664)-SUMIF(A$6:A3664,"&lt;&gt;""",H$6:H3664),"")</f>
        <v/>
      </c>
    </row>
    <row r="3665">
      <c r="I3665">
        <f>IFERROR(SUMIF(A$6:A3665,"&lt;&gt;""",G$6:G3665)-SUMIF(A$6:A3665,"&lt;&gt;""",H$6:H3665),"")</f>
        <v/>
      </c>
    </row>
    <row r="3666">
      <c r="I3666">
        <f>IFERROR(SUMIF(A$6:A3666,"&lt;&gt;""",G$6:G3666)-SUMIF(A$6:A3666,"&lt;&gt;""",H$6:H3666),"")</f>
        <v/>
      </c>
    </row>
    <row r="3667">
      <c r="I3667">
        <f>IFERROR(SUMIF(A$6:A3667,"&lt;&gt;""",G$6:G3667)-SUMIF(A$6:A3667,"&lt;&gt;""",H$6:H3667),"")</f>
        <v/>
      </c>
    </row>
    <row r="3668">
      <c r="I3668">
        <f>IFERROR(SUMIF(A$6:A3668,"&lt;&gt;""",G$6:G3668)-SUMIF(A$6:A3668,"&lt;&gt;""",H$6:H3668),"")</f>
        <v/>
      </c>
    </row>
    <row r="3669">
      <c r="I3669">
        <f>IFERROR(SUMIF(A$6:A3669,"&lt;&gt;""",G$6:G3669)-SUMIF(A$6:A3669,"&lt;&gt;""",H$6:H3669),"")</f>
        <v/>
      </c>
    </row>
    <row r="3670">
      <c r="I3670">
        <f>IFERROR(SUMIF(A$6:A3670,"&lt;&gt;""",G$6:G3670)-SUMIF(A$6:A3670,"&lt;&gt;""",H$6:H3670),"")</f>
        <v/>
      </c>
    </row>
    <row r="3671">
      <c r="I3671">
        <f>IFERROR(SUMIF(A$6:A3671,"&lt;&gt;""",G$6:G3671)-SUMIF(A$6:A3671,"&lt;&gt;""",H$6:H3671),"")</f>
        <v/>
      </c>
    </row>
    <row r="3672">
      <c r="I3672">
        <f>IFERROR(SUMIF(A$6:A3672,"&lt;&gt;""",G$6:G3672)-SUMIF(A$6:A3672,"&lt;&gt;""",H$6:H3672),"")</f>
        <v/>
      </c>
    </row>
    <row r="3673">
      <c r="I3673">
        <f>IFERROR(SUMIF(A$6:A3673,"&lt;&gt;""",G$6:G3673)-SUMIF(A$6:A3673,"&lt;&gt;""",H$6:H3673),"")</f>
        <v/>
      </c>
    </row>
    <row r="3674">
      <c r="I3674">
        <f>IFERROR(SUMIF(A$6:A3674,"&lt;&gt;""",G$6:G3674)-SUMIF(A$6:A3674,"&lt;&gt;""",H$6:H3674),"")</f>
        <v/>
      </c>
    </row>
    <row r="3675">
      <c r="I3675">
        <f>IFERROR(SUMIF(A$6:A3675,"&lt;&gt;""",G$6:G3675)-SUMIF(A$6:A3675,"&lt;&gt;""",H$6:H3675),"")</f>
        <v/>
      </c>
    </row>
    <row r="3676">
      <c r="I3676">
        <f>IFERROR(SUMIF(A$6:A3676,"&lt;&gt;""",G$6:G3676)-SUMIF(A$6:A3676,"&lt;&gt;""",H$6:H3676),"")</f>
        <v/>
      </c>
    </row>
    <row r="3677">
      <c r="I3677">
        <f>IFERROR(SUMIF(A$6:A3677,"&lt;&gt;""",G$6:G3677)-SUMIF(A$6:A3677,"&lt;&gt;""",H$6:H3677),"")</f>
        <v/>
      </c>
    </row>
    <row r="3678">
      <c r="I3678">
        <f>IFERROR(SUMIF(A$6:A3678,"&lt;&gt;""",G$6:G3678)-SUMIF(A$6:A3678,"&lt;&gt;""",H$6:H3678),"")</f>
        <v/>
      </c>
    </row>
    <row r="3679">
      <c r="I3679">
        <f>IFERROR(SUMIF(A$6:A3679,"&lt;&gt;""",G$6:G3679)-SUMIF(A$6:A3679,"&lt;&gt;""",H$6:H3679),"")</f>
        <v/>
      </c>
    </row>
    <row r="3680">
      <c r="I3680">
        <f>IFERROR(SUMIF(A$6:A3680,"&lt;&gt;""",G$6:G3680)-SUMIF(A$6:A3680,"&lt;&gt;""",H$6:H3680),"")</f>
        <v/>
      </c>
    </row>
    <row r="3681">
      <c r="I3681">
        <f>IFERROR(SUMIF(A$6:A3681,"&lt;&gt;""",G$6:G3681)-SUMIF(A$6:A3681,"&lt;&gt;""",H$6:H3681),"")</f>
        <v/>
      </c>
    </row>
    <row r="3682">
      <c r="I3682">
        <f>IFERROR(SUMIF(A$6:A3682,"&lt;&gt;""",G$6:G3682)-SUMIF(A$6:A3682,"&lt;&gt;""",H$6:H3682),"")</f>
        <v/>
      </c>
    </row>
    <row r="3683">
      <c r="I3683">
        <f>IFERROR(SUMIF(A$6:A3683,"&lt;&gt;""",G$6:G3683)-SUMIF(A$6:A3683,"&lt;&gt;""",H$6:H3683),"")</f>
        <v/>
      </c>
    </row>
    <row r="3684">
      <c r="I3684">
        <f>IFERROR(SUMIF(A$6:A3684,"&lt;&gt;""",G$6:G3684)-SUMIF(A$6:A3684,"&lt;&gt;""",H$6:H3684),"")</f>
        <v/>
      </c>
    </row>
    <row r="3685">
      <c r="I3685">
        <f>IFERROR(SUMIF(A$6:A3685,"&lt;&gt;""",G$6:G3685)-SUMIF(A$6:A3685,"&lt;&gt;""",H$6:H3685),"")</f>
        <v/>
      </c>
    </row>
    <row r="3686">
      <c r="I3686">
        <f>IFERROR(SUMIF(A$6:A3686,"&lt;&gt;""",G$6:G3686)-SUMIF(A$6:A3686,"&lt;&gt;""",H$6:H3686),"")</f>
        <v/>
      </c>
    </row>
    <row r="3687">
      <c r="I3687">
        <f>IFERROR(SUMIF(A$6:A3687,"&lt;&gt;""",G$6:G3687)-SUMIF(A$6:A3687,"&lt;&gt;""",H$6:H3687),"")</f>
        <v/>
      </c>
    </row>
    <row r="3688">
      <c r="I3688">
        <f>IFERROR(SUMIF(A$6:A3688,"&lt;&gt;""",G$6:G3688)-SUMIF(A$6:A3688,"&lt;&gt;""",H$6:H3688),"")</f>
        <v/>
      </c>
    </row>
    <row r="3689">
      <c r="I3689">
        <f>IFERROR(SUMIF(A$6:A3689,"&lt;&gt;""",G$6:G3689)-SUMIF(A$6:A3689,"&lt;&gt;""",H$6:H3689),"")</f>
        <v/>
      </c>
    </row>
    <row r="3690">
      <c r="I3690">
        <f>IFERROR(SUMIF(A$6:A3690,"&lt;&gt;""",G$6:G3690)-SUMIF(A$6:A3690,"&lt;&gt;""",H$6:H3690),"")</f>
        <v/>
      </c>
    </row>
    <row r="3691">
      <c r="I3691">
        <f>IFERROR(SUMIF(A$6:A3691,"&lt;&gt;""",G$6:G3691)-SUMIF(A$6:A3691,"&lt;&gt;""",H$6:H3691),"")</f>
        <v/>
      </c>
    </row>
    <row r="3692">
      <c r="I3692">
        <f>IFERROR(SUMIF(A$6:A3692,"&lt;&gt;""",G$6:G3692)-SUMIF(A$6:A3692,"&lt;&gt;""",H$6:H3692),"")</f>
        <v/>
      </c>
    </row>
    <row r="3693">
      <c r="I3693">
        <f>IFERROR(SUMIF(A$6:A3693,"&lt;&gt;""",G$6:G3693)-SUMIF(A$6:A3693,"&lt;&gt;""",H$6:H3693),"")</f>
        <v/>
      </c>
    </row>
    <row r="3694">
      <c r="I3694">
        <f>IFERROR(SUMIF(A$6:A3694,"&lt;&gt;""",G$6:G3694)-SUMIF(A$6:A3694,"&lt;&gt;""",H$6:H3694),"")</f>
        <v/>
      </c>
    </row>
    <row r="3695">
      <c r="I3695">
        <f>IFERROR(SUMIF(A$6:A3695,"&lt;&gt;""",G$6:G3695)-SUMIF(A$6:A3695,"&lt;&gt;""",H$6:H3695),"")</f>
        <v/>
      </c>
    </row>
    <row r="3696">
      <c r="I3696">
        <f>IFERROR(SUMIF(A$6:A3696,"&lt;&gt;""",G$6:G3696)-SUMIF(A$6:A3696,"&lt;&gt;""",H$6:H3696),"")</f>
        <v/>
      </c>
    </row>
    <row r="3697">
      <c r="I3697">
        <f>IFERROR(SUMIF(A$6:A3697,"&lt;&gt;""",G$6:G3697)-SUMIF(A$6:A3697,"&lt;&gt;""",H$6:H3697),"")</f>
        <v/>
      </c>
    </row>
    <row r="3698">
      <c r="I3698">
        <f>IFERROR(SUMIF(A$6:A3698,"&lt;&gt;""",G$6:G3698)-SUMIF(A$6:A3698,"&lt;&gt;""",H$6:H3698),"")</f>
        <v/>
      </c>
    </row>
    <row r="3699">
      <c r="I3699">
        <f>IFERROR(SUMIF(A$6:A3699,"&lt;&gt;""",G$6:G3699)-SUMIF(A$6:A3699,"&lt;&gt;""",H$6:H3699),"")</f>
        <v/>
      </c>
    </row>
    <row r="3700">
      <c r="I3700">
        <f>IFERROR(SUMIF(A$6:A3700,"&lt;&gt;""",G$6:G3700)-SUMIF(A$6:A3700,"&lt;&gt;""",H$6:H3700),"")</f>
        <v/>
      </c>
    </row>
    <row r="3701">
      <c r="I3701">
        <f>IFERROR(SUMIF(A$6:A3701,"&lt;&gt;""",G$6:G3701)-SUMIF(A$6:A3701,"&lt;&gt;""",H$6:H3701),"")</f>
        <v/>
      </c>
    </row>
    <row r="3702">
      <c r="I3702">
        <f>IFERROR(SUMIF(A$6:A3702,"&lt;&gt;""",G$6:G3702)-SUMIF(A$6:A3702,"&lt;&gt;""",H$6:H3702),"")</f>
        <v/>
      </c>
    </row>
    <row r="3703">
      <c r="I3703">
        <f>IFERROR(SUMIF(A$6:A3703,"&lt;&gt;""",G$6:G3703)-SUMIF(A$6:A3703,"&lt;&gt;""",H$6:H3703),"")</f>
        <v/>
      </c>
    </row>
    <row r="3704">
      <c r="I3704">
        <f>IFERROR(SUMIF(A$6:A3704,"&lt;&gt;""",G$6:G3704)-SUMIF(A$6:A3704,"&lt;&gt;""",H$6:H3704),"")</f>
        <v/>
      </c>
    </row>
    <row r="3705">
      <c r="I3705">
        <f>IFERROR(SUMIF(A$6:A3705,"&lt;&gt;""",G$6:G3705)-SUMIF(A$6:A3705,"&lt;&gt;""",H$6:H3705),"")</f>
        <v/>
      </c>
    </row>
    <row r="3706">
      <c r="I3706">
        <f>IFERROR(SUMIF(A$6:A3706,"&lt;&gt;""",G$6:G3706)-SUMIF(A$6:A3706,"&lt;&gt;""",H$6:H3706),"")</f>
        <v/>
      </c>
    </row>
    <row r="3707">
      <c r="I3707">
        <f>IFERROR(SUMIF(A$6:A3707,"&lt;&gt;""",G$6:G3707)-SUMIF(A$6:A3707,"&lt;&gt;""",H$6:H3707),"")</f>
        <v/>
      </c>
    </row>
    <row r="3708">
      <c r="I3708">
        <f>IFERROR(SUMIF(A$6:A3708,"&lt;&gt;""",G$6:G3708)-SUMIF(A$6:A3708,"&lt;&gt;""",H$6:H3708),"")</f>
        <v/>
      </c>
    </row>
    <row r="3709">
      <c r="I3709">
        <f>IFERROR(SUMIF(A$6:A3709,"&lt;&gt;""",G$6:G3709)-SUMIF(A$6:A3709,"&lt;&gt;""",H$6:H3709),"")</f>
        <v/>
      </c>
    </row>
    <row r="3710">
      <c r="I3710">
        <f>IFERROR(SUMIF(A$6:A3710,"&lt;&gt;""",G$6:G3710)-SUMIF(A$6:A3710,"&lt;&gt;""",H$6:H3710),"")</f>
        <v/>
      </c>
    </row>
    <row r="3711">
      <c r="I3711">
        <f>IFERROR(SUMIF(A$6:A3711,"&lt;&gt;""",G$6:G3711)-SUMIF(A$6:A3711,"&lt;&gt;""",H$6:H3711),"")</f>
        <v/>
      </c>
    </row>
    <row r="3712">
      <c r="I3712">
        <f>IFERROR(SUMIF(A$6:A3712,"&lt;&gt;""",G$6:G3712)-SUMIF(A$6:A3712,"&lt;&gt;""",H$6:H3712),"")</f>
        <v/>
      </c>
    </row>
    <row r="3713">
      <c r="I3713">
        <f>IFERROR(SUMIF(A$6:A3713,"&lt;&gt;""",G$6:G3713)-SUMIF(A$6:A3713,"&lt;&gt;""",H$6:H3713),"")</f>
        <v/>
      </c>
    </row>
    <row r="3714">
      <c r="I3714">
        <f>IFERROR(SUMIF(A$6:A3714,"&lt;&gt;""",G$6:G3714)-SUMIF(A$6:A3714,"&lt;&gt;""",H$6:H3714),"")</f>
        <v/>
      </c>
    </row>
    <row r="3715">
      <c r="I3715">
        <f>IFERROR(SUMIF(A$6:A3715,"&lt;&gt;""",G$6:G3715)-SUMIF(A$6:A3715,"&lt;&gt;""",H$6:H3715),"")</f>
        <v/>
      </c>
    </row>
    <row r="3716">
      <c r="I3716">
        <f>IFERROR(SUMIF(A$6:A3716,"&lt;&gt;""",G$6:G3716)-SUMIF(A$6:A3716,"&lt;&gt;""",H$6:H3716),"")</f>
        <v/>
      </c>
    </row>
    <row r="3717">
      <c r="I3717">
        <f>IFERROR(SUMIF(A$6:A3717,"&lt;&gt;""",G$6:G3717)-SUMIF(A$6:A3717,"&lt;&gt;""",H$6:H3717),"")</f>
        <v/>
      </c>
    </row>
    <row r="3718">
      <c r="I3718">
        <f>IFERROR(SUMIF(A$6:A3718,"&lt;&gt;""",G$6:G3718)-SUMIF(A$6:A3718,"&lt;&gt;""",H$6:H3718),"")</f>
        <v/>
      </c>
    </row>
    <row r="3719">
      <c r="I3719">
        <f>IFERROR(SUMIF(A$6:A3719,"&lt;&gt;""",G$6:G3719)-SUMIF(A$6:A3719,"&lt;&gt;""",H$6:H3719),"")</f>
        <v/>
      </c>
    </row>
    <row r="3720">
      <c r="I3720">
        <f>IFERROR(SUMIF(A$6:A3720,"&lt;&gt;""",G$6:G3720)-SUMIF(A$6:A3720,"&lt;&gt;""",H$6:H3720),"")</f>
        <v/>
      </c>
    </row>
    <row r="3721">
      <c r="I3721">
        <f>IFERROR(SUMIF(A$6:A3721,"&lt;&gt;""",G$6:G3721)-SUMIF(A$6:A3721,"&lt;&gt;""",H$6:H3721),"")</f>
        <v/>
      </c>
    </row>
    <row r="3722">
      <c r="I3722">
        <f>IFERROR(SUMIF(A$6:A3722,"&lt;&gt;""",G$6:G3722)-SUMIF(A$6:A3722,"&lt;&gt;""",H$6:H3722),"")</f>
        <v/>
      </c>
    </row>
    <row r="3723">
      <c r="I3723">
        <f>IFERROR(SUMIF(A$6:A3723,"&lt;&gt;""",G$6:G3723)-SUMIF(A$6:A3723,"&lt;&gt;""",H$6:H3723),"")</f>
        <v/>
      </c>
    </row>
    <row r="3724">
      <c r="I3724">
        <f>IFERROR(SUMIF(A$6:A3724,"&lt;&gt;""",G$6:G3724)-SUMIF(A$6:A3724,"&lt;&gt;""",H$6:H3724),"")</f>
        <v/>
      </c>
    </row>
    <row r="3725">
      <c r="I3725">
        <f>IFERROR(SUMIF(A$6:A3725,"&lt;&gt;""",G$6:G3725)-SUMIF(A$6:A3725,"&lt;&gt;""",H$6:H3725),"")</f>
        <v/>
      </c>
    </row>
    <row r="3726">
      <c r="I3726">
        <f>IFERROR(SUMIF(A$6:A3726,"&lt;&gt;""",G$6:G3726)-SUMIF(A$6:A3726,"&lt;&gt;""",H$6:H3726),"")</f>
        <v/>
      </c>
    </row>
    <row r="3727">
      <c r="I3727">
        <f>IFERROR(SUMIF(A$6:A3727,"&lt;&gt;""",G$6:G3727)-SUMIF(A$6:A3727,"&lt;&gt;""",H$6:H3727),"")</f>
        <v/>
      </c>
    </row>
    <row r="3728">
      <c r="I3728">
        <f>IFERROR(SUMIF(A$6:A3728,"&lt;&gt;""",G$6:G3728)-SUMIF(A$6:A3728,"&lt;&gt;""",H$6:H3728),"")</f>
        <v/>
      </c>
    </row>
    <row r="3729">
      <c r="I3729">
        <f>IFERROR(SUMIF(A$6:A3729,"&lt;&gt;""",G$6:G3729)-SUMIF(A$6:A3729,"&lt;&gt;""",H$6:H3729),"")</f>
        <v/>
      </c>
    </row>
    <row r="3730">
      <c r="I3730">
        <f>IFERROR(SUMIF(A$6:A3730,"&lt;&gt;""",G$6:G3730)-SUMIF(A$6:A3730,"&lt;&gt;""",H$6:H3730),"")</f>
        <v/>
      </c>
    </row>
    <row r="3731">
      <c r="I3731">
        <f>IFERROR(SUMIF(A$6:A3731,"&lt;&gt;""",G$6:G3731)-SUMIF(A$6:A3731,"&lt;&gt;""",H$6:H3731),"")</f>
        <v/>
      </c>
    </row>
    <row r="3732">
      <c r="I3732">
        <f>IFERROR(SUMIF(A$6:A3732,"&lt;&gt;""",G$6:G3732)-SUMIF(A$6:A3732,"&lt;&gt;""",H$6:H3732),"")</f>
        <v/>
      </c>
    </row>
    <row r="3733">
      <c r="I3733">
        <f>IFERROR(SUMIF(A$6:A3733,"&lt;&gt;""",G$6:G3733)-SUMIF(A$6:A3733,"&lt;&gt;""",H$6:H3733),"")</f>
        <v/>
      </c>
    </row>
    <row r="3734">
      <c r="I3734">
        <f>IFERROR(SUMIF(A$6:A3734,"&lt;&gt;""",G$6:G3734)-SUMIF(A$6:A3734,"&lt;&gt;""",H$6:H3734),"")</f>
        <v/>
      </c>
    </row>
    <row r="3735">
      <c r="I3735">
        <f>IFERROR(SUMIF(A$6:A3735,"&lt;&gt;""",G$6:G3735)-SUMIF(A$6:A3735,"&lt;&gt;""",H$6:H3735),"")</f>
        <v/>
      </c>
    </row>
    <row r="3736">
      <c r="I3736">
        <f>IFERROR(SUMIF(A$6:A3736,"&lt;&gt;""",G$6:G3736)-SUMIF(A$6:A3736,"&lt;&gt;""",H$6:H3736),"")</f>
        <v/>
      </c>
    </row>
    <row r="3737">
      <c r="I3737">
        <f>IFERROR(SUMIF(A$6:A3737,"&lt;&gt;""",G$6:G3737)-SUMIF(A$6:A3737,"&lt;&gt;""",H$6:H3737),"")</f>
        <v/>
      </c>
    </row>
    <row r="3738">
      <c r="I3738">
        <f>IFERROR(SUMIF(A$6:A3738,"&lt;&gt;""",G$6:G3738)-SUMIF(A$6:A3738,"&lt;&gt;""",H$6:H3738),"")</f>
        <v/>
      </c>
    </row>
    <row r="3739">
      <c r="I3739">
        <f>IFERROR(SUMIF(A$6:A3739,"&lt;&gt;""",G$6:G3739)-SUMIF(A$6:A3739,"&lt;&gt;""",H$6:H3739),"")</f>
        <v/>
      </c>
    </row>
    <row r="3740">
      <c r="I3740">
        <f>IFERROR(SUMIF(A$6:A3740,"&lt;&gt;""",G$6:G3740)-SUMIF(A$6:A3740,"&lt;&gt;""",H$6:H3740),"")</f>
        <v/>
      </c>
    </row>
    <row r="3741">
      <c r="I3741">
        <f>IFERROR(SUMIF(A$6:A3741,"&lt;&gt;""",G$6:G3741)-SUMIF(A$6:A3741,"&lt;&gt;""",H$6:H3741),"")</f>
        <v/>
      </c>
    </row>
    <row r="3742">
      <c r="I3742">
        <f>IFERROR(SUMIF(A$6:A3742,"&lt;&gt;""",G$6:G3742)-SUMIF(A$6:A3742,"&lt;&gt;""",H$6:H3742),"")</f>
        <v/>
      </c>
    </row>
    <row r="3743">
      <c r="I3743">
        <f>IFERROR(SUMIF(A$6:A3743,"&lt;&gt;""",G$6:G3743)-SUMIF(A$6:A3743,"&lt;&gt;""",H$6:H3743),"")</f>
        <v/>
      </c>
    </row>
    <row r="3744">
      <c r="I3744">
        <f>IFERROR(SUMIF(A$6:A3744,"&lt;&gt;""",G$6:G3744)-SUMIF(A$6:A3744,"&lt;&gt;""",H$6:H3744),"")</f>
        <v/>
      </c>
    </row>
    <row r="3745">
      <c r="I3745">
        <f>IFERROR(SUMIF(A$6:A3745,"&lt;&gt;""",G$6:G3745)-SUMIF(A$6:A3745,"&lt;&gt;""",H$6:H3745),"")</f>
        <v/>
      </c>
    </row>
    <row r="3746">
      <c r="I3746">
        <f>IFERROR(SUMIF(A$6:A3746,"&lt;&gt;""",G$6:G3746)-SUMIF(A$6:A3746,"&lt;&gt;""",H$6:H3746),"")</f>
        <v/>
      </c>
    </row>
    <row r="3747">
      <c r="I3747">
        <f>IFERROR(SUMIF(A$6:A3747,"&lt;&gt;""",G$6:G3747)-SUMIF(A$6:A3747,"&lt;&gt;""",H$6:H3747),"")</f>
        <v/>
      </c>
    </row>
    <row r="3748">
      <c r="I3748">
        <f>IFERROR(SUMIF(A$6:A3748,"&lt;&gt;""",G$6:G3748)-SUMIF(A$6:A3748,"&lt;&gt;""",H$6:H3748),"")</f>
        <v/>
      </c>
    </row>
    <row r="3749">
      <c r="I3749">
        <f>IFERROR(SUMIF(A$6:A3749,"&lt;&gt;""",G$6:G3749)-SUMIF(A$6:A3749,"&lt;&gt;""",H$6:H3749),"")</f>
        <v/>
      </c>
    </row>
    <row r="3750">
      <c r="I3750">
        <f>IFERROR(SUMIF(A$6:A3750,"&lt;&gt;""",G$6:G3750)-SUMIF(A$6:A3750,"&lt;&gt;""",H$6:H3750),"")</f>
        <v/>
      </c>
    </row>
    <row r="3751">
      <c r="I3751">
        <f>IFERROR(SUMIF(A$6:A3751,"&lt;&gt;""",G$6:G3751)-SUMIF(A$6:A3751,"&lt;&gt;""",H$6:H3751),"")</f>
        <v/>
      </c>
    </row>
    <row r="3752">
      <c r="I3752">
        <f>IFERROR(SUMIF(A$6:A3752,"&lt;&gt;""",G$6:G3752)-SUMIF(A$6:A3752,"&lt;&gt;""",H$6:H3752),"")</f>
        <v/>
      </c>
    </row>
    <row r="3753">
      <c r="I3753">
        <f>IFERROR(SUMIF(A$6:A3753,"&lt;&gt;""",G$6:G3753)-SUMIF(A$6:A3753,"&lt;&gt;""",H$6:H3753),"")</f>
        <v/>
      </c>
    </row>
    <row r="3754">
      <c r="I3754">
        <f>IFERROR(SUMIF(A$6:A3754,"&lt;&gt;""",G$6:G3754)-SUMIF(A$6:A3754,"&lt;&gt;""",H$6:H3754),"")</f>
        <v/>
      </c>
    </row>
    <row r="3755">
      <c r="I3755">
        <f>IFERROR(SUMIF(A$6:A3755,"&lt;&gt;""",G$6:G3755)-SUMIF(A$6:A3755,"&lt;&gt;""",H$6:H3755),"")</f>
        <v/>
      </c>
    </row>
    <row r="3756">
      <c r="I3756">
        <f>IFERROR(SUMIF(A$6:A3756,"&lt;&gt;""",G$6:G3756)-SUMIF(A$6:A3756,"&lt;&gt;""",H$6:H3756),"")</f>
        <v/>
      </c>
    </row>
    <row r="3757">
      <c r="I3757">
        <f>IFERROR(SUMIF(A$6:A3757,"&lt;&gt;""",G$6:G3757)-SUMIF(A$6:A3757,"&lt;&gt;""",H$6:H3757),"")</f>
        <v/>
      </c>
    </row>
    <row r="3758">
      <c r="I3758">
        <f>IFERROR(SUMIF(A$6:A3758,"&lt;&gt;""",G$6:G3758)-SUMIF(A$6:A3758,"&lt;&gt;""",H$6:H3758),"")</f>
        <v/>
      </c>
    </row>
    <row r="3759">
      <c r="I3759">
        <f>IFERROR(SUMIF(A$6:A3759,"&lt;&gt;""",G$6:G3759)-SUMIF(A$6:A3759,"&lt;&gt;""",H$6:H3759),"")</f>
        <v/>
      </c>
    </row>
    <row r="3760">
      <c r="I3760">
        <f>IFERROR(SUMIF(A$6:A3760,"&lt;&gt;""",G$6:G3760)-SUMIF(A$6:A3760,"&lt;&gt;""",H$6:H3760),"")</f>
        <v/>
      </c>
    </row>
    <row r="3761">
      <c r="I3761">
        <f>IFERROR(SUMIF(A$6:A3761,"&lt;&gt;""",G$6:G3761)-SUMIF(A$6:A3761,"&lt;&gt;""",H$6:H3761),"")</f>
        <v/>
      </c>
    </row>
    <row r="3762">
      <c r="I3762">
        <f>IFERROR(SUMIF(A$6:A3762,"&lt;&gt;""",G$6:G3762)-SUMIF(A$6:A3762,"&lt;&gt;""",H$6:H3762),"")</f>
        <v/>
      </c>
    </row>
    <row r="3763">
      <c r="I3763">
        <f>IFERROR(SUMIF(A$6:A3763,"&lt;&gt;""",G$6:G3763)-SUMIF(A$6:A3763,"&lt;&gt;""",H$6:H3763),"")</f>
        <v/>
      </c>
    </row>
    <row r="3764">
      <c r="I3764">
        <f>IFERROR(SUMIF(A$6:A3764,"&lt;&gt;""",G$6:G3764)-SUMIF(A$6:A3764,"&lt;&gt;""",H$6:H3764),"")</f>
        <v/>
      </c>
    </row>
    <row r="3765">
      <c r="I3765">
        <f>IFERROR(SUMIF(A$6:A3765,"&lt;&gt;""",G$6:G3765)-SUMIF(A$6:A3765,"&lt;&gt;""",H$6:H3765),"")</f>
        <v/>
      </c>
    </row>
    <row r="3766">
      <c r="I3766">
        <f>IFERROR(SUMIF(A$6:A3766,"&lt;&gt;""",G$6:G3766)-SUMIF(A$6:A3766,"&lt;&gt;""",H$6:H3766),"")</f>
        <v/>
      </c>
    </row>
    <row r="3767">
      <c r="I3767">
        <f>IFERROR(SUMIF(A$6:A3767,"&lt;&gt;""",G$6:G3767)-SUMIF(A$6:A3767,"&lt;&gt;""",H$6:H3767),"")</f>
        <v/>
      </c>
    </row>
    <row r="3768">
      <c r="I3768">
        <f>IFERROR(SUMIF(A$6:A3768,"&lt;&gt;""",G$6:G3768)-SUMIF(A$6:A3768,"&lt;&gt;""",H$6:H3768),"")</f>
        <v/>
      </c>
    </row>
    <row r="3769">
      <c r="I3769">
        <f>IFERROR(SUMIF(A$6:A3769,"&lt;&gt;""",G$6:G3769)-SUMIF(A$6:A3769,"&lt;&gt;""",H$6:H3769),"")</f>
        <v/>
      </c>
    </row>
    <row r="3770">
      <c r="I3770">
        <f>IFERROR(SUMIF(A$6:A3770,"&lt;&gt;""",G$6:G3770)-SUMIF(A$6:A3770,"&lt;&gt;""",H$6:H3770),"")</f>
        <v/>
      </c>
    </row>
    <row r="3771">
      <c r="I3771">
        <f>IFERROR(SUMIF(A$6:A3771,"&lt;&gt;""",G$6:G3771)-SUMIF(A$6:A3771,"&lt;&gt;""",H$6:H3771),"")</f>
        <v/>
      </c>
    </row>
    <row r="3772">
      <c r="I3772">
        <f>IFERROR(SUMIF(A$6:A3772,"&lt;&gt;""",G$6:G3772)-SUMIF(A$6:A3772,"&lt;&gt;""",H$6:H3772),"")</f>
        <v/>
      </c>
    </row>
    <row r="3773">
      <c r="I3773">
        <f>IFERROR(SUMIF(A$6:A3773,"&lt;&gt;""",G$6:G3773)-SUMIF(A$6:A3773,"&lt;&gt;""",H$6:H3773),"")</f>
        <v/>
      </c>
    </row>
    <row r="3774">
      <c r="I3774">
        <f>IFERROR(SUMIF(A$6:A3774,"&lt;&gt;""",G$6:G3774)-SUMIF(A$6:A3774,"&lt;&gt;""",H$6:H3774),"")</f>
        <v/>
      </c>
    </row>
    <row r="3775">
      <c r="I3775">
        <f>IFERROR(SUMIF(A$6:A3775,"&lt;&gt;""",G$6:G3775)-SUMIF(A$6:A3775,"&lt;&gt;""",H$6:H3775),"")</f>
        <v/>
      </c>
    </row>
    <row r="3776">
      <c r="I3776">
        <f>IFERROR(SUMIF(A$6:A3776,"&lt;&gt;""",G$6:G3776)-SUMIF(A$6:A3776,"&lt;&gt;""",H$6:H3776),"")</f>
        <v/>
      </c>
    </row>
    <row r="3777">
      <c r="I3777">
        <f>IFERROR(SUMIF(A$6:A3777,"&lt;&gt;""",G$6:G3777)-SUMIF(A$6:A3777,"&lt;&gt;""",H$6:H3777),"")</f>
        <v/>
      </c>
    </row>
    <row r="3778">
      <c r="I3778">
        <f>IFERROR(SUMIF(A$6:A3778,"&lt;&gt;""",G$6:G3778)-SUMIF(A$6:A3778,"&lt;&gt;""",H$6:H3778),"")</f>
        <v/>
      </c>
    </row>
    <row r="3779">
      <c r="I3779">
        <f>IFERROR(SUMIF(A$6:A3779,"&lt;&gt;""",G$6:G3779)-SUMIF(A$6:A3779,"&lt;&gt;""",H$6:H3779),"")</f>
        <v/>
      </c>
    </row>
    <row r="3780">
      <c r="I3780">
        <f>IFERROR(SUMIF(A$6:A3780,"&lt;&gt;""",G$6:G3780)-SUMIF(A$6:A3780,"&lt;&gt;""",H$6:H3780),"")</f>
        <v/>
      </c>
    </row>
    <row r="3781">
      <c r="I3781">
        <f>IFERROR(SUMIF(A$6:A3781,"&lt;&gt;""",G$6:G3781)-SUMIF(A$6:A3781,"&lt;&gt;""",H$6:H3781),"")</f>
        <v/>
      </c>
    </row>
    <row r="3782">
      <c r="I3782">
        <f>IFERROR(SUMIF(A$6:A3782,"&lt;&gt;""",G$6:G3782)-SUMIF(A$6:A3782,"&lt;&gt;""",H$6:H3782),"")</f>
        <v/>
      </c>
    </row>
    <row r="3783">
      <c r="I3783">
        <f>IFERROR(SUMIF(A$6:A3783,"&lt;&gt;""",G$6:G3783)-SUMIF(A$6:A3783,"&lt;&gt;""",H$6:H3783),"")</f>
        <v/>
      </c>
    </row>
    <row r="3784">
      <c r="I3784">
        <f>IFERROR(SUMIF(A$6:A3784,"&lt;&gt;""",G$6:G3784)-SUMIF(A$6:A3784,"&lt;&gt;""",H$6:H3784),"")</f>
        <v/>
      </c>
    </row>
    <row r="3785">
      <c r="I3785">
        <f>IFERROR(SUMIF(A$6:A3785,"&lt;&gt;""",G$6:G3785)-SUMIF(A$6:A3785,"&lt;&gt;""",H$6:H3785),"")</f>
        <v/>
      </c>
    </row>
    <row r="3786">
      <c r="I3786">
        <f>IFERROR(SUMIF(A$6:A3786,"&lt;&gt;""",G$6:G3786)-SUMIF(A$6:A3786,"&lt;&gt;""",H$6:H3786),"")</f>
        <v/>
      </c>
    </row>
    <row r="3787">
      <c r="I3787">
        <f>IFERROR(SUMIF(A$6:A3787,"&lt;&gt;""",G$6:G3787)-SUMIF(A$6:A3787,"&lt;&gt;""",H$6:H3787),"")</f>
        <v/>
      </c>
    </row>
    <row r="3788">
      <c r="I3788">
        <f>IFERROR(SUMIF(A$6:A3788,"&lt;&gt;""",G$6:G3788)-SUMIF(A$6:A3788,"&lt;&gt;""",H$6:H3788),"")</f>
        <v/>
      </c>
    </row>
    <row r="3789">
      <c r="I3789">
        <f>IFERROR(SUMIF(A$6:A3789,"&lt;&gt;""",G$6:G3789)-SUMIF(A$6:A3789,"&lt;&gt;""",H$6:H3789),"")</f>
        <v/>
      </c>
    </row>
    <row r="3790">
      <c r="I3790">
        <f>IFERROR(SUMIF(A$6:A3790,"&lt;&gt;""",G$6:G3790)-SUMIF(A$6:A3790,"&lt;&gt;""",H$6:H3790),"")</f>
        <v/>
      </c>
    </row>
    <row r="3791">
      <c r="I3791">
        <f>IFERROR(SUMIF(A$6:A3791,"&lt;&gt;""",G$6:G3791)-SUMIF(A$6:A3791,"&lt;&gt;""",H$6:H3791),"")</f>
        <v/>
      </c>
    </row>
    <row r="3792">
      <c r="I3792">
        <f>IFERROR(SUMIF(A$6:A3792,"&lt;&gt;""",G$6:G3792)-SUMIF(A$6:A3792,"&lt;&gt;""",H$6:H3792),"")</f>
        <v/>
      </c>
    </row>
    <row r="3793">
      <c r="I3793">
        <f>IFERROR(SUMIF(A$6:A3793,"&lt;&gt;""",G$6:G3793)-SUMIF(A$6:A3793,"&lt;&gt;""",H$6:H3793),"")</f>
        <v/>
      </c>
    </row>
    <row r="3794">
      <c r="I3794">
        <f>IFERROR(SUMIF(A$6:A3794,"&lt;&gt;""",G$6:G3794)-SUMIF(A$6:A3794,"&lt;&gt;""",H$6:H3794),"")</f>
        <v/>
      </c>
    </row>
    <row r="3795">
      <c r="I3795">
        <f>IFERROR(SUMIF(A$6:A3795,"&lt;&gt;""",G$6:G3795)-SUMIF(A$6:A3795,"&lt;&gt;""",H$6:H3795),"")</f>
        <v/>
      </c>
    </row>
    <row r="3796">
      <c r="I3796">
        <f>IFERROR(SUMIF(A$6:A3796,"&lt;&gt;""",G$6:G3796)-SUMIF(A$6:A3796,"&lt;&gt;""",H$6:H3796),"")</f>
        <v/>
      </c>
    </row>
    <row r="3797">
      <c r="I3797">
        <f>IFERROR(SUMIF(A$6:A3797,"&lt;&gt;""",G$6:G3797)-SUMIF(A$6:A3797,"&lt;&gt;""",H$6:H3797),"")</f>
        <v/>
      </c>
    </row>
    <row r="3798">
      <c r="I3798">
        <f>IFERROR(SUMIF(A$6:A3798,"&lt;&gt;""",G$6:G3798)-SUMIF(A$6:A3798,"&lt;&gt;""",H$6:H3798),"")</f>
        <v/>
      </c>
    </row>
    <row r="3799">
      <c r="I3799">
        <f>IFERROR(SUMIF(A$6:A3799,"&lt;&gt;""",G$6:G3799)-SUMIF(A$6:A3799,"&lt;&gt;""",H$6:H3799),"")</f>
        <v/>
      </c>
    </row>
    <row r="3800">
      <c r="I3800">
        <f>IFERROR(SUMIF(A$6:A3800,"&lt;&gt;""",G$6:G3800)-SUMIF(A$6:A3800,"&lt;&gt;""",H$6:H3800),"")</f>
        <v/>
      </c>
    </row>
    <row r="3801">
      <c r="I3801">
        <f>IFERROR(SUMIF(A$6:A3801,"&lt;&gt;""",G$6:G3801)-SUMIF(A$6:A3801,"&lt;&gt;""",H$6:H3801),"")</f>
        <v/>
      </c>
    </row>
    <row r="3802">
      <c r="I3802">
        <f>IFERROR(SUMIF(A$6:A3802,"&lt;&gt;""",G$6:G3802)-SUMIF(A$6:A3802,"&lt;&gt;""",H$6:H3802),"")</f>
        <v/>
      </c>
    </row>
    <row r="3803">
      <c r="I3803">
        <f>IFERROR(SUMIF(A$6:A3803,"&lt;&gt;""",G$6:G3803)-SUMIF(A$6:A3803,"&lt;&gt;""",H$6:H3803),"")</f>
        <v/>
      </c>
    </row>
    <row r="3804">
      <c r="I3804">
        <f>IFERROR(SUMIF(A$6:A3804,"&lt;&gt;""",G$6:G3804)-SUMIF(A$6:A3804,"&lt;&gt;""",H$6:H3804),"")</f>
        <v/>
      </c>
    </row>
    <row r="3805">
      <c r="I3805">
        <f>IFERROR(SUMIF(A$6:A3805,"&lt;&gt;""",G$6:G3805)-SUMIF(A$6:A3805,"&lt;&gt;""",H$6:H3805),"")</f>
        <v/>
      </c>
    </row>
    <row r="3806">
      <c r="I3806">
        <f>IFERROR(SUMIF(A$6:A3806,"&lt;&gt;""",G$6:G3806)-SUMIF(A$6:A3806,"&lt;&gt;""",H$6:H3806),"")</f>
        <v/>
      </c>
    </row>
    <row r="3807">
      <c r="I3807">
        <f>IFERROR(SUMIF(A$6:A3807,"&lt;&gt;""",G$6:G3807)-SUMIF(A$6:A3807,"&lt;&gt;""",H$6:H3807),"")</f>
        <v/>
      </c>
    </row>
    <row r="3808">
      <c r="I3808">
        <f>IFERROR(SUMIF(A$6:A3808,"&lt;&gt;""",G$6:G3808)-SUMIF(A$6:A3808,"&lt;&gt;""",H$6:H3808),"")</f>
        <v/>
      </c>
    </row>
    <row r="3809">
      <c r="I3809">
        <f>IFERROR(SUMIF(A$6:A3809,"&lt;&gt;""",G$6:G3809)-SUMIF(A$6:A3809,"&lt;&gt;""",H$6:H3809),"")</f>
        <v/>
      </c>
    </row>
    <row r="3810">
      <c r="I3810">
        <f>IFERROR(SUMIF(A$6:A3810,"&lt;&gt;""",G$6:G3810)-SUMIF(A$6:A3810,"&lt;&gt;""",H$6:H3810),"")</f>
        <v/>
      </c>
    </row>
    <row r="3811">
      <c r="I3811">
        <f>IFERROR(SUMIF(A$6:A3811,"&lt;&gt;""",G$6:G3811)-SUMIF(A$6:A3811,"&lt;&gt;""",H$6:H3811),"")</f>
        <v/>
      </c>
    </row>
    <row r="3812">
      <c r="I3812">
        <f>IFERROR(SUMIF(A$6:A3812,"&lt;&gt;""",G$6:G3812)-SUMIF(A$6:A3812,"&lt;&gt;""",H$6:H3812),"")</f>
        <v/>
      </c>
    </row>
    <row r="3813">
      <c r="I3813">
        <f>IFERROR(SUMIF(A$6:A3813,"&lt;&gt;""",G$6:G3813)-SUMIF(A$6:A3813,"&lt;&gt;""",H$6:H3813),"")</f>
        <v/>
      </c>
    </row>
    <row r="3814">
      <c r="I3814">
        <f>IFERROR(SUMIF(A$6:A3814,"&lt;&gt;""",G$6:G3814)-SUMIF(A$6:A3814,"&lt;&gt;""",H$6:H3814),"")</f>
        <v/>
      </c>
    </row>
    <row r="3815">
      <c r="I3815">
        <f>IFERROR(SUMIF(A$6:A3815,"&lt;&gt;""",G$6:G3815)-SUMIF(A$6:A3815,"&lt;&gt;""",H$6:H3815),"")</f>
        <v/>
      </c>
    </row>
    <row r="3816">
      <c r="I3816">
        <f>IFERROR(SUMIF(A$6:A3816,"&lt;&gt;""",G$6:G3816)-SUMIF(A$6:A3816,"&lt;&gt;""",H$6:H3816),"")</f>
        <v/>
      </c>
    </row>
    <row r="3817">
      <c r="I3817">
        <f>IFERROR(SUMIF(A$6:A3817,"&lt;&gt;""",G$6:G3817)-SUMIF(A$6:A3817,"&lt;&gt;""",H$6:H3817),"")</f>
        <v/>
      </c>
    </row>
    <row r="3818">
      <c r="I3818">
        <f>IFERROR(SUMIF(A$6:A3818,"&lt;&gt;""",G$6:G3818)-SUMIF(A$6:A3818,"&lt;&gt;""",H$6:H3818),"")</f>
        <v/>
      </c>
    </row>
    <row r="3819">
      <c r="I3819">
        <f>IFERROR(SUMIF(A$6:A3819,"&lt;&gt;""",G$6:G3819)-SUMIF(A$6:A3819,"&lt;&gt;""",H$6:H3819),"")</f>
        <v/>
      </c>
    </row>
    <row r="3820">
      <c r="I3820">
        <f>IFERROR(SUMIF(A$6:A3820,"&lt;&gt;""",G$6:G3820)-SUMIF(A$6:A3820,"&lt;&gt;""",H$6:H3820),"")</f>
        <v/>
      </c>
    </row>
    <row r="3821">
      <c r="I3821">
        <f>IFERROR(SUMIF(A$6:A3821,"&lt;&gt;""",G$6:G3821)-SUMIF(A$6:A3821,"&lt;&gt;""",H$6:H3821),"")</f>
        <v/>
      </c>
    </row>
    <row r="3822">
      <c r="I3822">
        <f>IFERROR(SUMIF(A$6:A3822,"&lt;&gt;""",G$6:G3822)-SUMIF(A$6:A3822,"&lt;&gt;""",H$6:H3822),"")</f>
        <v/>
      </c>
    </row>
    <row r="3823">
      <c r="I3823">
        <f>IFERROR(SUMIF(A$6:A3823,"&lt;&gt;""",G$6:G3823)-SUMIF(A$6:A3823,"&lt;&gt;""",H$6:H3823),"")</f>
        <v/>
      </c>
    </row>
    <row r="3824">
      <c r="I3824">
        <f>IFERROR(SUMIF(A$6:A3824,"&lt;&gt;""",G$6:G3824)-SUMIF(A$6:A3824,"&lt;&gt;""",H$6:H3824),"")</f>
        <v/>
      </c>
    </row>
    <row r="3825">
      <c r="I3825">
        <f>IFERROR(SUMIF(A$6:A3825,"&lt;&gt;""",G$6:G3825)-SUMIF(A$6:A3825,"&lt;&gt;""",H$6:H3825),"")</f>
        <v/>
      </c>
    </row>
    <row r="3826">
      <c r="I3826">
        <f>IFERROR(SUMIF(A$6:A3826,"&lt;&gt;""",G$6:G3826)-SUMIF(A$6:A3826,"&lt;&gt;""",H$6:H3826),"")</f>
        <v/>
      </c>
    </row>
    <row r="3827">
      <c r="I3827">
        <f>IFERROR(SUMIF(A$6:A3827,"&lt;&gt;""",G$6:G3827)-SUMIF(A$6:A3827,"&lt;&gt;""",H$6:H3827),"")</f>
        <v/>
      </c>
    </row>
    <row r="3828">
      <c r="I3828">
        <f>IFERROR(SUMIF(A$6:A3828,"&lt;&gt;""",G$6:G3828)-SUMIF(A$6:A3828,"&lt;&gt;""",H$6:H3828),"")</f>
        <v/>
      </c>
    </row>
    <row r="3829">
      <c r="I3829">
        <f>IFERROR(SUMIF(A$6:A3829,"&lt;&gt;""",G$6:G3829)-SUMIF(A$6:A3829,"&lt;&gt;""",H$6:H3829),"")</f>
        <v/>
      </c>
    </row>
    <row r="3830">
      <c r="I3830">
        <f>IFERROR(SUMIF(A$6:A3830,"&lt;&gt;""",G$6:G3830)-SUMIF(A$6:A3830,"&lt;&gt;""",H$6:H3830),"")</f>
        <v/>
      </c>
    </row>
    <row r="3831">
      <c r="I3831">
        <f>IFERROR(SUMIF(A$6:A3831,"&lt;&gt;""",G$6:G3831)-SUMIF(A$6:A3831,"&lt;&gt;""",H$6:H3831),"")</f>
        <v/>
      </c>
    </row>
    <row r="3832">
      <c r="I3832">
        <f>IFERROR(SUMIF(A$6:A3832,"&lt;&gt;""",G$6:G3832)-SUMIF(A$6:A3832,"&lt;&gt;""",H$6:H3832),"")</f>
        <v/>
      </c>
    </row>
    <row r="3833">
      <c r="I3833">
        <f>IFERROR(SUMIF(A$6:A3833,"&lt;&gt;""",G$6:G3833)-SUMIF(A$6:A3833,"&lt;&gt;""",H$6:H3833),"")</f>
        <v/>
      </c>
    </row>
    <row r="3834">
      <c r="I3834">
        <f>IFERROR(SUMIF(A$6:A3834,"&lt;&gt;""",G$6:G3834)-SUMIF(A$6:A3834,"&lt;&gt;""",H$6:H3834),"")</f>
        <v/>
      </c>
    </row>
    <row r="3835">
      <c r="I3835">
        <f>IFERROR(SUMIF(A$6:A3835,"&lt;&gt;""",G$6:G3835)-SUMIF(A$6:A3835,"&lt;&gt;""",H$6:H3835),"")</f>
        <v/>
      </c>
    </row>
    <row r="3836">
      <c r="I3836">
        <f>IFERROR(SUMIF(A$6:A3836,"&lt;&gt;""",G$6:G3836)-SUMIF(A$6:A3836,"&lt;&gt;""",H$6:H3836),"")</f>
        <v/>
      </c>
    </row>
    <row r="3837">
      <c r="I3837">
        <f>IFERROR(SUMIF(A$6:A3837,"&lt;&gt;""",G$6:G3837)-SUMIF(A$6:A3837,"&lt;&gt;""",H$6:H3837),"")</f>
        <v/>
      </c>
    </row>
    <row r="3838">
      <c r="I3838">
        <f>IFERROR(SUMIF(A$6:A3838,"&lt;&gt;""",G$6:G3838)-SUMIF(A$6:A3838,"&lt;&gt;""",H$6:H3838),"")</f>
        <v/>
      </c>
    </row>
    <row r="3839">
      <c r="I3839">
        <f>IFERROR(SUMIF(A$6:A3839,"&lt;&gt;""",G$6:G3839)-SUMIF(A$6:A3839,"&lt;&gt;""",H$6:H3839),"")</f>
        <v/>
      </c>
    </row>
    <row r="3840">
      <c r="I3840">
        <f>IFERROR(SUMIF(A$6:A3840,"&lt;&gt;""",G$6:G3840)-SUMIF(A$6:A3840,"&lt;&gt;""",H$6:H3840),"")</f>
        <v/>
      </c>
    </row>
    <row r="3841">
      <c r="I3841">
        <f>IFERROR(SUMIF(A$6:A3841,"&lt;&gt;""",G$6:G3841)-SUMIF(A$6:A3841,"&lt;&gt;""",H$6:H3841),"")</f>
        <v/>
      </c>
    </row>
    <row r="3842">
      <c r="I3842">
        <f>IFERROR(SUMIF(A$6:A3842,"&lt;&gt;""",G$6:G3842)-SUMIF(A$6:A3842,"&lt;&gt;""",H$6:H3842),"")</f>
        <v/>
      </c>
    </row>
    <row r="3843">
      <c r="I3843">
        <f>IFERROR(SUMIF(A$6:A3843,"&lt;&gt;""",G$6:G3843)-SUMIF(A$6:A3843,"&lt;&gt;""",H$6:H3843),"")</f>
        <v/>
      </c>
    </row>
    <row r="3844">
      <c r="I3844">
        <f>IFERROR(SUMIF(A$6:A3844,"&lt;&gt;""",G$6:G3844)-SUMIF(A$6:A3844,"&lt;&gt;""",H$6:H3844),"")</f>
        <v/>
      </c>
    </row>
    <row r="3845">
      <c r="I3845">
        <f>IFERROR(SUMIF(A$6:A3845,"&lt;&gt;""",G$6:G3845)-SUMIF(A$6:A3845,"&lt;&gt;""",H$6:H3845),"")</f>
        <v/>
      </c>
    </row>
    <row r="3846">
      <c r="I3846">
        <f>IFERROR(SUMIF(A$6:A3846,"&lt;&gt;""",G$6:G3846)-SUMIF(A$6:A3846,"&lt;&gt;""",H$6:H3846),"")</f>
        <v/>
      </c>
    </row>
    <row r="3847">
      <c r="I3847">
        <f>IFERROR(SUMIF(A$6:A3847,"&lt;&gt;""",G$6:G3847)-SUMIF(A$6:A3847,"&lt;&gt;""",H$6:H3847),"")</f>
        <v/>
      </c>
    </row>
    <row r="3848">
      <c r="I3848">
        <f>IFERROR(SUMIF(A$6:A3848,"&lt;&gt;""",G$6:G3848)-SUMIF(A$6:A3848,"&lt;&gt;""",H$6:H3848),"")</f>
        <v/>
      </c>
    </row>
    <row r="3849">
      <c r="I3849">
        <f>IFERROR(SUMIF(A$6:A3849,"&lt;&gt;""",G$6:G3849)-SUMIF(A$6:A3849,"&lt;&gt;""",H$6:H3849),"")</f>
        <v/>
      </c>
    </row>
    <row r="3850">
      <c r="I3850">
        <f>IFERROR(SUMIF(A$6:A3850,"&lt;&gt;""",G$6:G3850)-SUMIF(A$6:A3850,"&lt;&gt;""",H$6:H3850),"")</f>
        <v/>
      </c>
    </row>
    <row r="3851">
      <c r="I3851">
        <f>IFERROR(SUMIF(A$6:A3851,"&lt;&gt;""",G$6:G3851)-SUMIF(A$6:A3851,"&lt;&gt;""",H$6:H3851),"")</f>
        <v/>
      </c>
    </row>
    <row r="3852">
      <c r="I3852">
        <f>IFERROR(SUMIF(A$6:A3852,"&lt;&gt;""",G$6:G3852)-SUMIF(A$6:A3852,"&lt;&gt;""",H$6:H3852),"")</f>
        <v/>
      </c>
    </row>
    <row r="3853">
      <c r="I3853">
        <f>IFERROR(SUMIF(A$6:A3853,"&lt;&gt;""",G$6:G3853)-SUMIF(A$6:A3853,"&lt;&gt;""",H$6:H3853),"")</f>
        <v/>
      </c>
    </row>
    <row r="3854">
      <c r="I3854">
        <f>IFERROR(SUMIF(A$6:A3854,"&lt;&gt;""",G$6:G3854)-SUMIF(A$6:A3854,"&lt;&gt;""",H$6:H3854),"")</f>
        <v/>
      </c>
    </row>
    <row r="3855">
      <c r="I3855">
        <f>IFERROR(SUMIF(A$6:A3855,"&lt;&gt;""",G$6:G3855)-SUMIF(A$6:A3855,"&lt;&gt;""",H$6:H3855),"")</f>
        <v/>
      </c>
    </row>
    <row r="3856">
      <c r="I3856">
        <f>IFERROR(SUMIF(A$6:A3856,"&lt;&gt;""",G$6:G3856)-SUMIF(A$6:A3856,"&lt;&gt;""",H$6:H3856),"")</f>
        <v/>
      </c>
    </row>
    <row r="3857">
      <c r="I3857">
        <f>IFERROR(SUMIF(A$6:A3857,"&lt;&gt;""",G$6:G3857)-SUMIF(A$6:A3857,"&lt;&gt;""",H$6:H3857),"")</f>
        <v/>
      </c>
    </row>
    <row r="3858">
      <c r="I3858">
        <f>IFERROR(SUMIF(A$6:A3858,"&lt;&gt;""",G$6:G3858)-SUMIF(A$6:A3858,"&lt;&gt;""",H$6:H3858),"")</f>
        <v/>
      </c>
    </row>
    <row r="3859">
      <c r="I3859">
        <f>IFERROR(SUMIF(A$6:A3859,"&lt;&gt;""",G$6:G3859)-SUMIF(A$6:A3859,"&lt;&gt;""",H$6:H3859),"")</f>
        <v/>
      </c>
    </row>
    <row r="3860">
      <c r="I3860">
        <f>IFERROR(SUMIF(A$6:A3860,"&lt;&gt;""",G$6:G3860)-SUMIF(A$6:A3860,"&lt;&gt;""",H$6:H3860),"")</f>
        <v/>
      </c>
    </row>
    <row r="3861">
      <c r="I3861">
        <f>IFERROR(SUMIF(A$6:A3861,"&lt;&gt;""",G$6:G3861)-SUMIF(A$6:A3861,"&lt;&gt;""",H$6:H3861),"")</f>
        <v/>
      </c>
    </row>
    <row r="3862">
      <c r="I3862">
        <f>IFERROR(SUMIF(A$6:A3862,"&lt;&gt;""",G$6:G3862)-SUMIF(A$6:A3862,"&lt;&gt;""",H$6:H3862),"")</f>
        <v/>
      </c>
    </row>
    <row r="3863">
      <c r="I3863">
        <f>IFERROR(SUMIF(A$6:A3863,"&lt;&gt;""",G$6:G3863)-SUMIF(A$6:A3863,"&lt;&gt;""",H$6:H3863),"")</f>
        <v/>
      </c>
    </row>
    <row r="3864">
      <c r="I3864">
        <f>IFERROR(SUMIF(A$6:A3864,"&lt;&gt;""",G$6:G3864)-SUMIF(A$6:A3864,"&lt;&gt;""",H$6:H3864),"")</f>
        <v/>
      </c>
    </row>
    <row r="3865">
      <c r="I3865">
        <f>IFERROR(SUMIF(A$6:A3865,"&lt;&gt;""",G$6:G3865)-SUMIF(A$6:A3865,"&lt;&gt;""",H$6:H3865),"")</f>
        <v/>
      </c>
    </row>
    <row r="3866">
      <c r="I3866">
        <f>IFERROR(SUMIF(A$6:A3866,"&lt;&gt;""",G$6:G3866)-SUMIF(A$6:A3866,"&lt;&gt;""",H$6:H3866),"")</f>
        <v/>
      </c>
    </row>
    <row r="3867">
      <c r="I3867">
        <f>IFERROR(SUMIF(A$6:A3867,"&lt;&gt;""",G$6:G3867)-SUMIF(A$6:A3867,"&lt;&gt;""",H$6:H3867),"")</f>
        <v/>
      </c>
    </row>
    <row r="3868">
      <c r="I3868">
        <f>IFERROR(SUMIF(A$6:A3868,"&lt;&gt;""",G$6:G3868)-SUMIF(A$6:A3868,"&lt;&gt;""",H$6:H3868),"")</f>
        <v/>
      </c>
    </row>
    <row r="3869">
      <c r="I3869">
        <f>IFERROR(SUMIF(A$6:A3869,"&lt;&gt;""",G$6:G3869)-SUMIF(A$6:A3869,"&lt;&gt;""",H$6:H3869),"")</f>
        <v/>
      </c>
    </row>
    <row r="3870">
      <c r="I3870">
        <f>IFERROR(SUMIF(A$6:A3870,"&lt;&gt;""",G$6:G3870)-SUMIF(A$6:A3870,"&lt;&gt;""",H$6:H3870),"")</f>
        <v/>
      </c>
    </row>
    <row r="3871">
      <c r="I3871">
        <f>IFERROR(SUMIF(A$6:A3871,"&lt;&gt;""",G$6:G3871)-SUMIF(A$6:A3871,"&lt;&gt;""",H$6:H3871),"")</f>
        <v/>
      </c>
    </row>
    <row r="3872">
      <c r="I3872">
        <f>IFERROR(SUMIF(A$6:A3872,"&lt;&gt;""",G$6:G3872)-SUMIF(A$6:A3872,"&lt;&gt;""",H$6:H3872),"")</f>
        <v/>
      </c>
    </row>
    <row r="3873">
      <c r="I3873">
        <f>IFERROR(SUMIF(A$6:A3873,"&lt;&gt;""",G$6:G3873)-SUMIF(A$6:A3873,"&lt;&gt;""",H$6:H3873),"")</f>
        <v/>
      </c>
    </row>
    <row r="3874">
      <c r="I3874">
        <f>IFERROR(SUMIF(A$6:A3874,"&lt;&gt;""",G$6:G3874)-SUMIF(A$6:A3874,"&lt;&gt;""",H$6:H3874),"")</f>
        <v/>
      </c>
    </row>
    <row r="3875">
      <c r="I3875">
        <f>IFERROR(SUMIF(A$6:A3875,"&lt;&gt;""",G$6:G3875)-SUMIF(A$6:A3875,"&lt;&gt;""",H$6:H3875),"")</f>
        <v/>
      </c>
    </row>
    <row r="3876">
      <c r="I3876">
        <f>IFERROR(SUMIF(A$6:A3876,"&lt;&gt;""",G$6:G3876)-SUMIF(A$6:A3876,"&lt;&gt;""",H$6:H3876),"")</f>
        <v/>
      </c>
    </row>
    <row r="3877">
      <c r="I3877">
        <f>IFERROR(SUMIF(A$6:A3877,"&lt;&gt;""",G$6:G3877)-SUMIF(A$6:A3877,"&lt;&gt;""",H$6:H3877),"")</f>
        <v/>
      </c>
    </row>
    <row r="3878">
      <c r="I3878">
        <f>IFERROR(SUMIF(A$6:A3878,"&lt;&gt;""",G$6:G3878)-SUMIF(A$6:A3878,"&lt;&gt;""",H$6:H3878),"")</f>
        <v/>
      </c>
    </row>
    <row r="3879">
      <c r="I3879">
        <f>IFERROR(SUMIF(A$6:A3879,"&lt;&gt;""",G$6:G3879)-SUMIF(A$6:A3879,"&lt;&gt;""",H$6:H3879),"")</f>
        <v/>
      </c>
    </row>
    <row r="3880">
      <c r="I3880">
        <f>IFERROR(SUMIF(A$6:A3880,"&lt;&gt;""",G$6:G3880)-SUMIF(A$6:A3880,"&lt;&gt;""",H$6:H3880),"")</f>
        <v/>
      </c>
    </row>
    <row r="3881">
      <c r="I3881">
        <f>IFERROR(SUMIF(A$6:A3881,"&lt;&gt;""",G$6:G3881)-SUMIF(A$6:A3881,"&lt;&gt;""",H$6:H3881),"")</f>
        <v/>
      </c>
    </row>
    <row r="3882">
      <c r="I3882">
        <f>IFERROR(SUMIF(A$6:A3882,"&lt;&gt;""",G$6:G3882)-SUMIF(A$6:A3882,"&lt;&gt;""",H$6:H3882),"")</f>
        <v/>
      </c>
    </row>
    <row r="3883">
      <c r="I3883">
        <f>IFERROR(SUMIF(A$6:A3883,"&lt;&gt;""",G$6:G3883)-SUMIF(A$6:A3883,"&lt;&gt;""",H$6:H3883),"")</f>
        <v/>
      </c>
    </row>
    <row r="3884">
      <c r="I3884">
        <f>IFERROR(SUMIF(A$6:A3884,"&lt;&gt;""",G$6:G3884)-SUMIF(A$6:A3884,"&lt;&gt;""",H$6:H3884),"")</f>
        <v/>
      </c>
    </row>
    <row r="3885">
      <c r="I3885">
        <f>IFERROR(SUMIF(A$6:A3885,"&lt;&gt;""",G$6:G3885)-SUMIF(A$6:A3885,"&lt;&gt;""",H$6:H3885),"")</f>
        <v/>
      </c>
    </row>
    <row r="3886">
      <c r="I3886">
        <f>IFERROR(SUMIF(A$6:A3886,"&lt;&gt;""",G$6:G3886)-SUMIF(A$6:A3886,"&lt;&gt;""",H$6:H3886),"")</f>
        <v/>
      </c>
    </row>
    <row r="3887">
      <c r="I3887">
        <f>IFERROR(SUMIF(A$6:A3887,"&lt;&gt;""",G$6:G3887)-SUMIF(A$6:A3887,"&lt;&gt;""",H$6:H3887),"")</f>
        <v/>
      </c>
    </row>
    <row r="3888">
      <c r="I3888">
        <f>IFERROR(SUMIF(A$6:A3888,"&lt;&gt;""",G$6:G3888)-SUMIF(A$6:A3888,"&lt;&gt;""",H$6:H3888),"")</f>
        <v/>
      </c>
    </row>
    <row r="3889">
      <c r="I3889">
        <f>IFERROR(SUMIF(A$6:A3889,"&lt;&gt;""",G$6:G3889)-SUMIF(A$6:A3889,"&lt;&gt;""",H$6:H3889),"")</f>
        <v/>
      </c>
    </row>
    <row r="3890">
      <c r="I3890">
        <f>IFERROR(SUMIF(A$6:A3890,"&lt;&gt;""",G$6:G3890)-SUMIF(A$6:A3890,"&lt;&gt;""",H$6:H3890),"")</f>
        <v/>
      </c>
    </row>
    <row r="3891">
      <c r="I3891">
        <f>IFERROR(SUMIF(A$6:A3891,"&lt;&gt;""",G$6:G3891)-SUMIF(A$6:A3891,"&lt;&gt;""",H$6:H3891),"")</f>
        <v/>
      </c>
    </row>
    <row r="3892">
      <c r="I3892">
        <f>IFERROR(SUMIF(A$6:A3892,"&lt;&gt;""",G$6:G3892)-SUMIF(A$6:A3892,"&lt;&gt;""",H$6:H3892),"")</f>
        <v/>
      </c>
    </row>
    <row r="3893">
      <c r="I3893">
        <f>IFERROR(SUMIF(A$6:A3893,"&lt;&gt;""",G$6:G3893)-SUMIF(A$6:A3893,"&lt;&gt;""",H$6:H3893),"")</f>
        <v/>
      </c>
    </row>
    <row r="3894">
      <c r="I3894">
        <f>IFERROR(SUMIF(A$6:A3894,"&lt;&gt;""",G$6:G3894)-SUMIF(A$6:A3894,"&lt;&gt;""",H$6:H3894),"")</f>
        <v/>
      </c>
    </row>
    <row r="3895">
      <c r="I3895">
        <f>IFERROR(SUMIF(A$6:A3895,"&lt;&gt;""",G$6:G3895)-SUMIF(A$6:A3895,"&lt;&gt;""",H$6:H3895),"")</f>
        <v/>
      </c>
    </row>
    <row r="3896">
      <c r="I3896">
        <f>IFERROR(SUMIF(A$6:A3896,"&lt;&gt;""",G$6:G3896)-SUMIF(A$6:A3896,"&lt;&gt;""",H$6:H3896),"")</f>
        <v/>
      </c>
    </row>
    <row r="3897">
      <c r="I3897">
        <f>IFERROR(SUMIF(A$6:A3897,"&lt;&gt;""",G$6:G3897)-SUMIF(A$6:A3897,"&lt;&gt;""",H$6:H3897),"")</f>
        <v/>
      </c>
    </row>
    <row r="3898">
      <c r="I3898">
        <f>IFERROR(SUMIF(A$6:A3898,"&lt;&gt;""",G$6:G3898)-SUMIF(A$6:A3898,"&lt;&gt;""",H$6:H3898),"")</f>
        <v/>
      </c>
    </row>
    <row r="3899">
      <c r="I3899">
        <f>IFERROR(SUMIF(A$6:A3899,"&lt;&gt;""",G$6:G3899)-SUMIF(A$6:A3899,"&lt;&gt;""",H$6:H3899),"")</f>
        <v/>
      </c>
    </row>
    <row r="3900">
      <c r="I3900">
        <f>IFERROR(SUMIF(A$6:A3900,"&lt;&gt;""",G$6:G3900)-SUMIF(A$6:A3900,"&lt;&gt;""",H$6:H3900),"")</f>
        <v/>
      </c>
    </row>
    <row r="3901">
      <c r="I3901">
        <f>IFERROR(SUMIF(A$6:A3901,"&lt;&gt;""",G$6:G3901)-SUMIF(A$6:A3901,"&lt;&gt;""",H$6:H3901),"")</f>
        <v/>
      </c>
    </row>
    <row r="3902">
      <c r="I3902">
        <f>IFERROR(SUMIF(A$6:A3902,"&lt;&gt;""",G$6:G3902)-SUMIF(A$6:A3902,"&lt;&gt;""",H$6:H3902),"")</f>
        <v/>
      </c>
    </row>
    <row r="3903">
      <c r="I3903">
        <f>IFERROR(SUMIF(A$6:A3903,"&lt;&gt;""",G$6:G3903)-SUMIF(A$6:A3903,"&lt;&gt;""",H$6:H3903),"")</f>
        <v/>
      </c>
    </row>
    <row r="3904">
      <c r="I3904">
        <f>IFERROR(SUMIF(A$6:A3904,"&lt;&gt;""",G$6:G3904)-SUMIF(A$6:A3904,"&lt;&gt;""",H$6:H3904),"")</f>
        <v/>
      </c>
    </row>
    <row r="3905">
      <c r="I3905">
        <f>IFERROR(SUMIF(A$6:A3905,"&lt;&gt;""",G$6:G3905)-SUMIF(A$6:A3905,"&lt;&gt;""",H$6:H3905),"")</f>
        <v/>
      </c>
    </row>
    <row r="3906">
      <c r="I3906">
        <f>IFERROR(SUMIF(A$6:A3906,"&lt;&gt;""",G$6:G3906)-SUMIF(A$6:A3906,"&lt;&gt;""",H$6:H3906),"")</f>
        <v/>
      </c>
    </row>
    <row r="3907">
      <c r="I3907">
        <f>IFERROR(SUMIF(A$6:A3907,"&lt;&gt;""",G$6:G3907)-SUMIF(A$6:A3907,"&lt;&gt;""",H$6:H3907),"")</f>
        <v/>
      </c>
    </row>
    <row r="3908">
      <c r="I3908">
        <f>IFERROR(SUMIF(A$6:A3908,"&lt;&gt;""",G$6:G3908)-SUMIF(A$6:A3908,"&lt;&gt;""",H$6:H3908),"")</f>
        <v/>
      </c>
    </row>
    <row r="3909">
      <c r="I3909">
        <f>IFERROR(SUMIF(A$6:A3909,"&lt;&gt;""",G$6:G3909)-SUMIF(A$6:A3909,"&lt;&gt;""",H$6:H3909),"")</f>
        <v/>
      </c>
    </row>
    <row r="3910">
      <c r="I3910">
        <f>IFERROR(SUMIF(A$6:A3910,"&lt;&gt;""",G$6:G3910)-SUMIF(A$6:A3910,"&lt;&gt;""",H$6:H3910),"")</f>
        <v/>
      </c>
    </row>
    <row r="3911">
      <c r="I3911">
        <f>IFERROR(SUMIF(A$6:A3911,"&lt;&gt;""",G$6:G3911)-SUMIF(A$6:A3911,"&lt;&gt;""",H$6:H3911),"")</f>
        <v/>
      </c>
    </row>
    <row r="3912">
      <c r="I3912">
        <f>IFERROR(SUMIF(A$6:A3912,"&lt;&gt;""",G$6:G3912)-SUMIF(A$6:A3912,"&lt;&gt;""",H$6:H3912),"")</f>
        <v/>
      </c>
    </row>
    <row r="3913">
      <c r="I3913">
        <f>IFERROR(SUMIF(A$6:A3913,"&lt;&gt;""",G$6:G3913)-SUMIF(A$6:A3913,"&lt;&gt;""",H$6:H3913),"")</f>
        <v/>
      </c>
    </row>
    <row r="3914">
      <c r="I3914">
        <f>IFERROR(SUMIF(A$6:A3914,"&lt;&gt;""",G$6:G3914)-SUMIF(A$6:A3914,"&lt;&gt;""",H$6:H3914),"")</f>
        <v/>
      </c>
    </row>
    <row r="3915">
      <c r="I3915">
        <f>IFERROR(SUMIF(A$6:A3915,"&lt;&gt;""",G$6:G3915)-SUMIF(A$6:A3915,"&lt;&gt;""",H$6:H3915),"")</f>
        <v/>
      </c>
    </row>
    <row r="3916">
      <c r="I3916">
        <f>IFERROR(SUMIF(A$6:A3916,"&lt;&gt;""",G$6:G3916)-SUMIF(A$6:A3916,"&lt;&gt;""",H$6:H3916),"")</f>
        <v/>
      </c>
    </row>
    <row r="3917">
      <c r="I3917">
        <f>IFERROR(SUMIF(A$6:A3917,"&lt;&gt;""",G$6:G3917)-SUMIF(A$6:A3917,"&lt;&gt;""",H$6:H3917),"")</f>
        <v/>
      </c>
    </row>
    <row r="3918">
      <c r="I3918">
        <f>IFERROR(SUMIF(A$6:A3918,"&lt;&gt;""",G$6:G3918)-SUMIF(A$6:A3918,"&lt;&gt;""",H$6:H3918),"")</f>
        <v/>
      </c>
    </row>
    <row r="3919">
      <c r="I3919">
        <f>IFERROR(SUMIF(A$6:A3919,"&lt;&gt;""",G$6:G3919)-SUMIF(A$6:A3919,"&lt;&gt;""",H$6:H3919),"")</f>
        <v/>
      </c>
    </row>
    <row r="3920">
      <c r="I3920">
        <f>IFERROR(SUMIF(A$6:A3920,"&lt;&gt;""",G$6:G3920)-SUMIF(A$6:A3920,"&lt;&gt;""",H$6:H3920),"")</f>
        <v/>
      </c>
    </row>
    <row r="3921">
      <c r="I3921">
        <f>IFERROR(SUMIF(A$6:A3921,"&lt;&gt;""",G$6:G3921)-SUMIF(A$6:A3921,"&lt;&gt;""",H$6:H3921),"")</f>
        <v/>
      </c>
    </row>
    <row r="3922">
      <c r="I3922">
        <f>IFERROR(SUMIF(A$6:A3922,"&lt;&gt;""",G$6:G3922)-SUMIF(A$6:A3922,"&lt;&gt;""",H$6:H3922),"")</f>
        <v/>
      </c>
    </row>
    <row r="3923">
      <c r="I3923">
        <f>IFERROR(SUMIF(A$6:A3923,"&lt;&gt;""",G$6:G3923)-SUMIF(A$6:A3923,"&lt;&gt;""",H$6:H3923),"")</f>
        <v/>
      </c>
    </row>
    <row r="3924">
      <c r="I3924">
        <f>IFERROR(SUMIF(A$6:A3924,"&lt;&gt;""",G$6:G3924)-SUMIF(A$6:A3924,"&lt;&gt;""",H$6:H3924),"")</f>
        <v/>
      </c>
    </row>
    <row r="3925">
      <c r="I3925">
        <f>IFERROR(SUMIF(A$6:A3925,"&lt;&gt;""",G$6:G3925)-SUMIF(A$6:A3925,"&lt;&gt;""",H$6:H3925),"")</f>
        <v/>
      </c>
    </row>
    <row r="3926">
      <c r="I3926">
        <f>IFERROR(SUMIF(A$6:A3926,"&lt;&gt;""",G$6:G3926)-SUMIF(A$6:A3926,"&lt;&gt;""",H$6:H3926),"")</f>
        <v/>
      </c>
    </row>
    <row r="3927">
      <c r="I3927">
        <f>IFERROR(SUMIF(A$6:A3927,"&lt;&gt;""",G$6:G3927)-SUMIF(A$6:A3927,"&lt;&gt;""",H$6:H3927),"")</f>
        <v/>
      </c>
    </row>
    <row r="3928">
      <c r="I3928">
        <f>IFERROR(SUMIF(A$6:A3928,"&lt;&gt;""",G$6:G3928)-SUMIF(A$6:A3928,"&lt;&gt;""",H$6:H3928),"")</f>
        <v/>
      </c>
    </row>
    <row r="3929">
      <c r="I3929">
        <f>IFERROR(SUMIF(A$6:A3929,"&lt;&gt;""",G$6:G3929)-SUMIF(A$6:A3929,"&lt;&gt;""",H$6:H3929),"")</f>
        <v/>
      </c>
    </row>
    <row r="3930">
      <c r="I3930">
        <f>IFERROR(SUMIF(A$6:A3930,"&lt;&gt;""",G$6:G3930)-SUMIF(A$6:A3930,"&lt;&gt;""",H$6:H3930),"")</f>
        <v/>
      </c>
    </row>
    <row r="3931">
      <c r="I3931">
        <f>IFERROR(SUMIF(A$6:A3931,"&lt;&gt;""",G$6:G3931)-SUMIF(A$6:A3931,"&lt;&gt;""",H$6:H3931),"")</f>
        <v/>
      </c>
    </row>
    <row r="3932">
      <c r="I3932">
        <f>IFERROR(SUMIF(A$6:A3932,"&lt;&gt;""",G$6:G3932)-SUMIF(A$6:A3932,"&lt;&gt;""",H$6:H3932),"")</f>
        <v/>
      </c>
    </row>
    <row r="3933">
      <c r="I3933">
        <f>IFERROR(SUMIF(A$6:A3933,"&lt;&gt;""",G$6:G3933)-SUMIF(A$6:A3933,"&lt;&gt;""",H$6:H3933),"")</f>
        <v/>
      </c>
    </row>
    <row r="3934">
      <c r="I3934">
        <f>IFERROR(SUMIF(A$6:A3934,"&lt;&gt;""",G$6:G3934)-SUMIF(A$6:A3934,"&lt;&gt;""",H$6:H3934),"")</f>
        <v/>
      </c>
    </row>
    <row r="3935">
      <c r="I3935">
        <f>IFERROR(SUMIF(A$6:A3935,"&lt;&gt;""",G$6:G3935)-SUMIF(A$6:A3935,"&lt;&gt;""",H$6:H3935),"")</f>
        <v/>
      </c>
    </row>
    <row r="3936">
      <c r="I3936">
        <f>IFERROR(SUMIF(A$6:A3936,"&lt;&gt;""",G$6:G3936)-SUMIF(A$6:A3936,"&lt;&gt;""",H$6:H3936),"")</f>
        <v/>
      </c>
    </row>
    <row r="3937">
      <c r="I3937">
        <f>IFERROR(SUMIF(A$6:A3937,"&lt;&gt;""",G$6:G3937)-SUMIF(A$6:A3937,"&lt;&gt;""",H$6:H3937),"")</f>
        <v/>
      </c>
    </row>
    <row r="3938">
      <c r="I3938">
        <f>IFERROR(SUMIF(A$6:A3938,"&lt;&gt;""",G$6:G3938)-SUMIF(A$6:A3938,"&lt;&gt;""",H$6:H3938),"")</f>
        <v/>
      </c>
    </row>
    <row r="3939">
      <c r="I3939">
        <f>IFERROR(SUMIF(A$6:A3939,"&lt;&gt;""",G$6:G3939)-SUMIF(A$6:A3939,"&lt;&gt;""",H$6:H3939),"")</f>
        <v/>
      </c>
    </row>
    <row r="3940">
      <c r="I3940">
        <f>IFERROR(SUMIF(A$6:A3940,"&lt;&gt;""",G$6:G3940)-SUMIF(A$6:A3940,"&lt;&gt;""",H$6:H3940),"")</f>
        <v/>
      </c>
    </row>
    <row r="3941">
      <c r="I3941">
        <f>IFERROR(SUMIF(A$6:A3941,"&lt;&gt;""",G$6:G3941)-SUMIF(A$6:A3941,"&lt;&gt;""",H$6:H3941),"")</f>
        <v/>
      </c>
    </row>
    <row r="3942">
      <c r="I3942">
        <f>IFERROR(SUMIF(A$6:A3942,"&lt;&gt;""",G$6:G3942)-SUMIF(A$6:A3942,"&lt;&gt;""",H$6:H3942),"")</f>
        <v/>
      </c>
    </row>
    <row r="3943">
      <c r="I3943">
        <f>IFERROR(SUMIF(A$6:A3943,"&lt;&gt;""",G$6:G3943)-SUMIF(A$6:A3943,"&lt;&gt;""",H$6:H3943),"")</f>
        <v/>
      </c>
    </row>
    <row r="3944">
      <c r="I3944">
        <f>IFERROR(SUMIF(A$6:A3944,"&lt;&gt;""",G$6:G3944)-SUMIF(A$6:A3944,"&lt;&gt;""",H$6:H3944),"")</f>
        <v/>
      </c>
    </row>
    <row r="3945">
      <c r="I3945">
        <f>IFERROR(SUMIF(A$6:A3945,"&lt;&gt;""",G$6:G3945)-SUMIF(A$6:A3945,"&lt;&gt;""",H$6:H3945),"")</f>
        <v/>
      </c>
    </row>
    <row r="3946">
      <c r="I3946">
        <f>IFERROR(SUMIF(A$6:A3946,"&lt;&gt;""",G$6:G3946)-SUMIF(A$6:A3946,"&lt;&gt;""",H$6:H3946),"")</f>
        <v/>
      </c>
    </row>
    <row r="3947">
      <c r="I3947">
        <f>IFERROR(SUMIF(A$6:A3947,"&lt;&gt;""",G$6:G3947)-SUMIF(A$6:A3947,"&lt;&gt;""",H$6:H3947),"")</f>
        <v/>
      </c>
    </row>
    <row r="3948">
      <c r="I3948">
        <f>IFERROR(SUMIF(A$6:A3948,"&lt;&gt;""",G$6:G3948)-SUMIF(A$6:A3948,"&lt;&gt;""",H$6:H3948),"")</f>
        <v/>
      </c>
    </row>
    <row r="3949">
      <c r="I3949">
        <f>IFERROR(SUMIF(A$6:A3949,"&lt;&gt;""",G$6:G3949)-SUMIF(A$6:A3949,"&lt;&gt;""",H$6:H3949),"")</f>
        <v/>
      </c>
    </row>
    <row r="3950">
      <c r="I3950">
        <f>IFERROR(SUMIF(A$6:A3950,"&lt;&gt;""",G$6:G3950)-SUMIF(A$6:A3950,"&lt;&gt;""",H$6:H3950),"")</f>
        <v/>
      </c>
    </row>
    <row r="3951">
      <c r="I3951">
        <f>IFERROR(SUMIF(A$6:A3951,"&lt;&gt;""",G$6:G3951)-SUMIF(A$6:A3951,"&lt;&gt;""",H$6:H3951),"")</f>
        <v/>
      </c>
    </row>
    <row r="3952">
      <c r="I3952">
        <f>IFERROR(SUMIF(A$6:A3952,"&lt;&gt;""",G$6:G3952)-SUMIF(A$6:A3952,"&lt;&gt;""",H$6:H3952),"")</f>
        <v/>
      </c>
    </row>
    <row r="3953">
      <c r="I3953">
        <f>IFERROR(SUMIF(A$6:A3953,"&lt;&gt;""",G$6:G3953)-SUMIF(A$6:A3953,"&lt;&gt;""",H$6:H3953),"")</f>
        <v/>
      </c>
    </row>
    <row r="3954">
      <c r="I3954">
        <f>IFERROR(SUMIF(A$6:A3954,"&lt;&gt;""",G$6:G3954)-SUMIF(A$6:A3954,"&lt;&gt;""",H$6:H3954),"")</f>
        <v/>
      </c>
    </row>
    <row r="3955">
      <c r="I3955">
        <f>IFERROR(SUMIF(A$6:A3955,"&lt;&gt;""",G$6:G3955)-SUMIF(A$6:A3955,"&lt;&gt;""",H$6:H3955),"")</f>
        <v/>
      </c>
    </row>
    <row r="3956">
      <c r="I3956">
        <f>IFERROR(SUMIF(A$6:A3956,"&lt;&gt;""",G$6:G3956)-SUMIF(A$6:A3956,"&lt;&gt;""",H$6:H3956),"")</f>
        <v/>
      </c>
    </row>
    <row r="3957">
      <c r="I3957">
        <f>IFERROR(SUMIF(A$6:A3957,"&lt;&gt;""",G$6:G3957)-SUMIF(A$6:A3957,"&lt;&gt;""",H$6:H3957),"")</f>
        <v/>
      </c>
    </row>
    <row r="3958">
      <c r="I3958">
        <f>IFERROR(SUMIF(A$6:A3958,"&lt;&gt;""",G$6:G3958)-SUMIF(A$6:A3958,"&lt;&gt;""",H$6:H3958),"")</f>
        <v/>
      </c>
    </row>
    <row r="3959">
      <c r="I3959">
        <f>IFERROR(SUMIF(A$6:A3959,"&lt;&gt;""",G$6:G3959)-SUMIF(A$6:A3959,"&lt;&gt;""",H$6:H3959),"")</f>
        <v/>
      </c>
    </row>
    <row r="3960">
      <c r="I3960">
        <f>IFERROR(SUMIF(A$6:A3960,"&lt;&gt;""",G$6:G3960)-SUMIF(A$6:A3960,"&lt;&gt;""",H$6:H3960),"")</f>
        <v/>
      </c>
    </row>
    <row r="3961">
      <c r="I3961">
        <f>IFERROR(SUMIF(A$6:A3961,"&lt;&gt;""",G$6:G3961)-SUMIF(A$6:A3961,"&lt;&gt;""",H$6:H3961),"")</f>
        <v/>
      </c>
    </row>
    <row r="3962">
      <c r="I3962">
        <f>IFERROR(SUMIF(A$6:A3962,"&lt;&gt;""",G$6:G3962)-SUMIF(A$6:A3962,"&lt;&gt;""",H$6:H3962),"")</f>
        <v/>
      </c>
    </row>
    <row r="3963">
      <c r="I3963">
        <f>IFERROR(SUMIF(A$6:A3963,"&lt;&gt;""",G$6:G3963)-SUMIF(A$6:A3963,"&lt;&gt;""",H$6:H3963),"")</f>
        <v/>
      </c>
    </row>
    <row r="3964">
      <c r="I3964">
        <f>IFERROR(SUMIF(A$6:A3964,"&lt;&gt;""",G$6:G3964)-SUMIF(A$6:A3964,"&lt;&gt;""",H$6:H3964),"")</f>
        <v/>
      </c>
    </row>
    <row r="3965">
      <c r="I3965">
        <f>IFERROR(SUMIF(A$6:A3965,"&lt;&gt;""",G$6:G3965)-SUMIF(A$6:A3965,"&lt;&gt;""",H$6:H3965),"")</f>
        <v/>
      </c>
    </row>
    <row r="3966">
      <c r="I3966">
        <f>IFERROR(SUMIF(A$6:A3966,"&lt;&gt;""",G$6:G3966)-SUMIF(A$6:A3966,"&lt;&gt;""",H$6:H3966),"")</f>
        <v/>
      </c>
    </row>
    <row r="3967">
      <c r="I3967">
        <f>IFERROR(SUMIF(A$6:A3967,"&lt;&gt;""",G$6:G3967)-SUMIF(A$6:A3967,"&lt;&gt;""",H$6:H3967),"")</f>
        <v/>
      </c>
    </row>
    <row r="3968">
      <c r="I3968">
        <f>IFERROR(SUMIF(A$6:A3968,"&lt;&gt;""",G$6:G3968)-SUMIF(A$6:A3968,"&lt;&gt;""",H$6:H3968),"")</f>
        <v/>
      </c>
    </row>
    <row r="3969">
      <c r="I3969">
        <f>IFERROR(SUMIF(A$6:A3969,"&lt;&gt;""",G$6:G3969)-SUMIF(A$6:A3969,"&lt;&gt;""",H$6:H3969),"")</f>
        <v/>
      </c>
    </row>
    <row r="3970">
      <c r="I3970">
        <f>IFERROR(SUMIF(A$6:A3970,"&lt;&gt;""",G$6:G3970)-SUMIF(A$6:A3970,"&lt;&gt;""",H$6:H3970),"")</f>
        <v/>
      </c>
    </row>
    <row r="3971">
      <c r="I3971">
        <f>IFERROR(SUMIF(A$6:A3971,"&lt;&gt;""",G$6:G3971)-SUMIF(A$6:A3971,"&lt;&gt;""",H$6:H3971),"")</f>
        <v/>
      </c>
    </row>
    <row r="3972">
      <c r="I3972">
        <f>IFERROR(SUMIF(A$6:A3972,"&lt;&gt;""",G$6:G3972)-SUMIF(A$6:A3972,"&lt;&gt;""",H$6:H3972),"")</f>
        <v/>
      </c>
    </row>
    <row r="3973">
      <c r="I3973">
        <f>IFERROR(SUMIF(A$6:A3973,"&lt;&gt;""",G$6:G3973)-SUMIF(A$6:A3973,"&lt;&gt;""",H$6:H3973),"")</f>
        <v/>
      </c>
    </row>
    <row r="3974">
      <c r="I3974">
        <f>IFERROR(SUMIF(A$6:A3974,"&lt;&gt;""",G$6:G3974)-SUMIF(A$6:A3974,"&lt;&gt;""",H$6:H3974),"")</f>
        <v/>
      </c>
    </row>
    <row r="3975">
      <c r="I3975">
        <f>IFERROR(SUMIF(A$6:A3975,"&lt;&gt;""",G$6:G3975)-SUMIF(A$6:A3975,"&lt;&gt;""",H$6:H3975),"")</f>
        <v/>
      </c>
    </row>
    <row r="3976">
      <c r="I3976">
        <f>IFERROR(SUMIF(A$6:A3976,"&lt;&gt;""",G$6:G3976)-SUMIF(A$6:A3976,"&lt;&gt;""",H$6:H3976),"")</f>
        <v/>
      </c>
    </row>
    <row r="3977">
      <c r="I3977">
        <f>IFERROR(SUMIF(A$6:A3977,"&lt;&gt;""",G$6:G3977)-SUMIF(A$6:A3977,"&lt;&gt;""",H$6:H3977),"")</f>
        <v/>
      </c>
    </row>
    <row r="3978">
      <c r="I3978">
        <f>IFERROR(SUMIF(A$6:A3978,"&lt;&gt;""",G$6:G3978)-SUMIF(A$6:A3978,"&lt;&gt;""",H$6:H3978),"")</f>
        <v/>
      </c>
    </row>
    <row r="3979">
      <c r="I3979">
        <f>IFERROR(SUMIF(A$6:A3979,"&lt;&gt;""",G$6:G3979)-SUMIF(A$6:A3979,"&lt;&gt;""",H$6:H3979),"")</f>
        <v/>
      </c>
    </row>
    <row r="3980">
      <c r="I3980">
        <f>IFERROR(SUMIF(A$6:A3980,"&lt;&gt;""",G$6:G3980)-SUMIF(A$6:A3980,"&lt;&gt;""",H$6:H3980),"")</f>
        <v/>
      </c>
    </row>
    <row r="3981">
      <c r="I3981">
        <f>IFERROR(SUMIF(A$6:A3981,"&lt;&gt;""",G$6:G3981)-SUMIF(A$6:A3981,"&lt;&gt;""",H$6:H3981),"")</f>
        <v/>
      </c>
    </row>
    <row r="3982">
      <c r="I3982">
        <f>IFERROR(SUMIF(A$6:A3982,"&lt;&gt;""",G$6:G3982)-SUMIF(A$6:A3982,"&lt;&gt;""",H$6:H3982),"")</f>
        <v/>
      </c>
    </row>
    <row r="3983">
      <c r="I3983">
        <f>IFERROR(SUMIF(A$6:A3983,"&lt;&gt;""",G$6:G3983)-SUMIF(A$6:A3983,"&lt;&gt;""",H$6:H3983),"")</f>
        <v/>
      </c>
    </row>
    <row r="3984">
      <c r="I3984">
        <f>IFERROR(SUMIF(A$6:A3984,"&lt;&gt;""",G$6:G3984)-SUMIF(A$6:A3984,"&lt;&gt;""",H$6:H3984),"")</f>
        <v/>
      </c>
    </row>
    <row r="3985">
      <c r="I3985">
        <f>IFERROR(SUMIF(A$6:A3985,"&lt;&gt;""",G$6:G3985)-SUMIF(A$6:A3985,"&lt;&gt;""",H$6:H3985),"")</f>
        <v/>
      </c>
    </row>
    <row r="3986">
      <c r="I3986">
        <f>IFERROR(SUMIF(A$6:A3986,"&lt;&gt;""",G$6:G3986)-SUMIF(A$6:A3986,"&lt;&gt;""",H$6:H3986),"")</f>
        <v/>
      </c>
    </row>
    <row r="3987">
      <c r="I3987">
        <f>IFERROR(SUMIF(A$6:A3987,"&lt;&gt;""",G$6:G3987)-SUMIF(A$6:A3987,"&lt;&gt;""",H$6:H3987),"")</f>
        <v/>
      </c>
    </row>
    <row r="3988">
      <c r="I3988">
        <f>IFERROR(SUMIF(A$6:A3988,"&lt;&gt;""",G$6:G3988)-SUMIF(A$6:A3988,"&lt;&gt;""",H$6:H3988),"")</f>
        <v/>
      </c>
    </row>
    <row r="3989">
      <c r="I3989">
        <f>IFERROR(SUMIF(A$6:A3989,"&lt;&gt;""",G$6:G3989)-SUMIF(A$6:A3989,"&lt;&gt;""",H$6:H3989),"")</f>
        <v/>
      </c>
    </row>
    <row r="3990">
      <c r="I3990">
        <f>IFERROR(SUMIF(A$6:A3990,"&lt;&gt;""",G$6:G3990)-SUMIF(A$6:A3990,"&lt;&gt;""",H$6:H3990),"")</f>
        <v/>
      </c>
    </row>
    <row r="3991">
      <c r="I3991">
        <f>IFERROR(SUMIF(A$6:A3991,"&lt;&gt;""",G$6:G3991)-SUMIF(A$6:A3991,"&lt;&gt;""",H$6:H3991),"")</f>
        <v/>
      </c>
    </row>
    <row r="3992">
      <c r="I3992">
        <f>IFERROR(SUMIF(A$6:A3992,"&lt;&gt;""",G$6:G3992)-SUMIF(A$6:A3992,"&lt;&gt;""",H$6:H3992),"")</f>
        <v/>
      </c>
    </row>
    <row r="3993">
      <c r="I3993">
        <f>IFERROR(SUMIF(A$6:A3993,"&lt;&gt;""",G$6:G3993)-SUMIF(A$6:A3993,"&lt;&gt;""",H$6:H3993),"")</f>
        <v/>
      </c>
    </row>
    <row r="3994">
      <c r="I3994">
        <f>IFERROR(SUMIF(A$6:A3994,"&lt;&gt;""",G$6:G3994)-SUMIF(A$6:A3994,"&lt;&gt;""",H$6:H3994),"")</f>
        <v/>
      </c>
    </row>
    <row r="3995">
      <c r="I3995">
        <f>IFERROR(SUMIF(A$6:A3995,"&lt;&gt;""",G$6:G3995)-SUMIF(A$6:A3995,"&lt;&gt;""",H$6:H3995),"")</f>
        <v/>
      </c>
    </row>
    <row r="3996">
      <c r="I3996">
        <f>IFERROR(SUMIF(A$6:A3996,"&lt;&gt;""",G$6:G3996)-SUMIF(A$6:A3996,"&lt;&gt;""",H$6:H3996),"")</f>
        <v/>
      </c>
    </row>
    <row r="3997">
      <c r="I3997">
        <f>IFERROR(SUMIF(A$6:A3997,"&lt;&gt;""",G$6:G3997)-SUMIF(A$6:A3997,"&lt;&gt;""",H$6:H3997),"")</f>
        <v/>
      </c>
    </row>
    <row r="3998">
      <c r="I3998">
        <f>IFERROR(SUMIF(A$6:A3998,"&lt;&gt;""",G$6:G3998)-SUMIF(A$6:A3998,"&lt;&gt;""",H$6:H3998),"")</f>
        <v/>
      </c>
    </row>
    <row r="3999">
      <c r="I3999">
        <f>IFERROR(SUMIF(A$6:A3999,"&lt;&gt;""",G$6:G3999)-SUMIF(A$6:A3999,"&lt;&gt;""",H$6:H3999),"")</f>
        <v/>
      </c>
    </row>
    <row r="4000">
      <c r="I4000">
        <f>IFERROR(SUMIF(A$6:A4000,"&lt;&gt;""",G$6:G4000)-SUMIF(A$6:A4000,"&lt;&gt;""",H$6:H4000),"")</f>
        <v/>
      </c>
    </row>
    <row r="4001">
      <c r="I4001">
        <f>IFERROR(SUMIF(A$6:A4001,"&lt;&gt;""",G$6:G4001)-SUMIF(A$6:A4001,"&lt;&gt;""",H$6:H4001),"")</f>
        <v/>
      </c>
    </row>
    <row r="4002">
      <c r="I4002">
        <f>IFERROR(SUMIF(A$6:A4002,"&lt;&gt;""",G$6:G4002)-SUMIF(A$6:A4002,"&lt;&gt;""",H$6:H4002),"")</f>
        <v/>
      </c>
    </row>
    <row r="4003">
      <c r="I4003">
        <f>IFERROR(SUMIF(A$6:A4003,"&lt;&gt;""",G$6:G4003)-SUMIF(A$6:A4003,"&lt;&gt;""",H$6:H4003),"")</f>
        <v/>
      </c>
    </row>
    <row r="4004">
      <c r="I4004">
        <f>IFERROR(SUMIF(A$6:A4004,"&lt;&gt;""",G$6:G4004)-SUMIF(A$6:A4004,"&lt;&gt;""",H$6:H4004),"")</f>
        <v/>
      </c>
    </row>
    <row r="4005">
      <c r="I4005">
        <f>IFERROR(SUMIF(A$6:A4005,"&lt;&gt;""",G$6:G4005)-SUMIF(A$6:A4005,"&lt;&gt;""",H$6:H4005),"")</f>
        <v/>
      </c>
    </row>
    <row r="4006">
      <c r="I4006">
        <f>IFERROR(SUMIF(A$6:A4006,"&lt;&gt;""",G$6:G4006)-SUMIF(A$6:A4006,"&lt;&gt;""",H$6:H4006),"")</f>
        <v/>
      </c>
    </row>
    <row r="4007">
      <c r="I4007">
        <f>IFERROR(SUMIF(A$6:A4007,"&lt;&gt;""",G$6:G4007)-SUMIF(A$6:A4007,"&lt;&gt;""",H$6:H4007),"")</f>
        <v/>
      </c>
    </row>
    <row r="4008">
      <c r="I4008">
        <f>IFERROR(SUMIF(A$6:A4008,"&lt;&gt;""",G$6:G4008)-SUMIF(A$6:A4008,"&lt;&gt;""",H$6:H4008),"")</f>
        <v/>
      </c>
    </row>
    <row r="4009">
      <c r="I4009">
        <f>IFERROR(SUMIF(A$6:A4009,"&lt;&gt;""",G$6:G4009)-SUMIF(A$6:A4009,"&lt;&gt;""",H$6:H4009),"")</f>
        <v/>
      </c>
    </row>
    <row r="4010">
      <c r="I4010">
        <f>IFERROR(SUMIF(A$6:A4010,"&lt;&gt;""",G$6:G4010)-SUMIF(A$6:A4010,"&lt;&gt;""",H$6:H4010),"")</f>
        <v/>
      </c>
    </row>
    <row r="4011">
      <c r="I4011">
        <f>IFERROR(SUMIF(A$6:A4011,"&lt;&gt;""",G$6:G4011)-SUMIF(A$6:A4011,"&lt;&gt;""",H$6:H4011),"")</f>
        <v/>
      </c>
    </row>
    <row r="4012">
      <c r="I4012">
        <f>IFERROR(SUMIF(A$6:A4012,"&lt;&gt;""",G$6:G4012)-SUMIF(A$6:A4012,"&lt;&gt;""",H$6:H4012),"")</f>
        <v/>
      </c>
    </row>
    <row r="4013">
      <c r="I4013">
        <f>IFERROR(SUMIF(A$6:A4013,"&lt;&gt;""",G$6:G4013)-SUMIF(A$6:A4013,"&lt;&gt;""",H$6:H4013),"")</f>
        <v/>
      </c>
    </row>
    <row r="4014">
      <c r="I4014">
        <f>IFERROR(SUMIF(A$6:A4014,"&lt;&gt;""",G$6:G4014)-SUMIF(A$6:A4014,"&lt;&gt;""",H$6:H4014),"")</f>
        <v/>
      </c>
    </row>
    <row r="4015">
      <c r="I4015">
        <f>IFERROR(SUMIF(A$6:A4015,"&lt;&gt;""",G$6:G4015)-SUMIF(A$6:A4015,"&lt;&gt;""",H$6:H4015),"")</f>
        <v/>
      </c>
    </row>
    <row r="4016">
      <c r="I4016">
        <f>IFERROR(SUMIF(A$6:A4016,"&lt;&gt;""",G$6:G4016)-SUMIF(A$6:A4016,"&lt;&gt;""",H$6:H4016),"")</f>
        <v/>
      </c>
    </row>
    <row r="4017">
      <c r="I4017">
        <f>IFERROR(SUMIF(A$6:A4017,"&lt;&gt;""",G$6:G4017)-SUMIF(A$6:A4017,"&lt;&gt;""",H$6:H4017),"")</f>
        <v/>
      </c>
    </row>
    <row r="4018">
      <c r="I4018">
        <f>IFERROR(SUMIF(A$6:A4018,"&lt;&gt;""",G$6:G4018)-SUMIF(A$6:A4018,"&lt;&gt;""",H$6:H4018),"")</f>
        <v/>
      </c>
    </row>
    <row r="4019">
      <c r="I4019">
        <f>IFERROR(SUMIF(A$6:A4019,"&lt;&gt;""",G$6:G4019)-SUMIF(A$6:A4019,"&lt;&gt;""",H$6:H4019),"")</f>
        <v/>
      </c>
    </row>
    <row r="4020">
      <c r="I4020">
        <f>IFERROR(SUMIF(A$6:A4020,"&lt;&gt;""",G$6:G4020)-SUMIF(A$6:A4020,"&lt;&gt;""",H$6:H4020),"")</f>
        <v/>
      </c>
    </row>
    <row r="4021">
      <c r="I4021">
        <f>IFERROR(SUMIF(A$6:A4021,"&lt;&gt;""",G$6:G4021)-SUMIF(A$6:A4021,"&lt;&gt;""",H$6:H4021),"")</f>
        <v/>
      </c>
    </row>
    <row r="4022">
      <c r="I4022">
        <f>IFERROR(SUMIF(A$6:A4022,"&lt;&gt;""",G$6:G4022)-SUMIF(A$6:A4022,"&lt;&gt;""",H$6:H4022),"")</f>
        <v/>
      </c>
    </row>
    <row r="4023">
      <c r="I4023">
        <f>IFERROR(SUMIF(A$6:A4023,"&lt;&gt;""",G$6:G4023)-SUMIF(A$6:A4023,"&lt;&gt;""",H$6:H4023),"")</f>
        <v/>
      </c>
    </row>
    <row r="4024">
      <c r="I4024">
        <f>IFERROR(SUMIF(A$6:A4024,"&lt;&gt;""",G$6:G4024)-SUMIF(A$6:A4024,"&lt;&gt;""",H$6:H4024),"")</f>
        <v/>
      </c>
    </row>
    <row r="4025">
      <c r="I4025">
        <f>IFERROR(SUMIF(A$6:A4025,"&lt;&gt;""",G$6:G4025)-SUMIF(A$6:A4025,"&lt;&gt;""",H$6:H4025),"")</f>
        <v/>
      </c>
    </row>
    <row r="4026">
      <c r="I4026">
        <f>IFERROR(SUMIF(A$6:A4026,"&lt;&gt;""",G$6:G4026)-SUMIF(A$6:A4026,"&lt;&gt;""",H$6:H4026),"")</f>
        <v/>
      </c>
    </row>
    <row r="4027">
      <c r="I4027">
        <f>IFERROR(SUMIF(A$6:A4027,"&lt;&gt;""",G$6:G4027)-SUMIF(A$6:A4027,"&lt;&gt;""",H$6:H4027),"")</f>
        <v/>
      </c>
    </row>
    <row r="4028">
      <c r="I4028">
        <f>IFERROR(SUMIF(A$6:A4028,"&lt;&gt;""",G$6:G4028)-SUMIF(A$6:A4028,"&lt;&gt;""",H$6:H4028),"")</f>
        <v/>
      </c>
    </row>
    <row r="4029">
      <c r="I4029">
        <f>IFERROR(SUMIF(A$6:A4029,"&lt;&gt;""",G$6:G4029)-SUMIF(A$6:A4029,"&lt;&gt;""",H$6:H4029),"")</f>
        <v/>
      </c>
    </row>
    <row r="4030">
      <c r="I4030">
        <f>IFERROR(SUMIF(A$6:A4030,"&lt;&gt;""",G$6:G4030)-SUMIF(A$6:A4030,"&lt;&gt;""",H$6:H4030),"")</f>
        <v/>
      </c>
    </row>
    <row r="4031">
      <c r="I4031">
        <f>IFERROR(SUMIF(A$6:A4031,"&lt;&gt;""",G$6:G4031)-SUMIF(A$6:A4031,"&lt;&gt;""",H$6:H4031),"")</f>
        <v/>
      </c>
    </row>
    <row r="4032">
      <c r="I4032">
        <f>IFERROR(SUMIF(A$6:A4032,"&lt;&gt;""",G$6:G4032)-SUMIF(A$6:A4032,"&lt;&gt;""",H$6:H4032),"")</f>
        <v/>
      </c>
    </row>
    <row r="4033">
      <c r="I4033">
        <f>IFERROR(SUMIF(A$6:A4033,"&lt;&gt;""",G$6:G4033)-SUMIF(A$6:A4033,"&lt;&gt;""",H$6:H4033),"")</f>
        <v/>
      </c>
    </row>
    <row r="4034">
      <c r="I4034">
        <f>IFERROR(SUMIF(A$6:A4034,"&lt;&gt;""",G$6:G4034)-SUMIF(A$6:A4034,"&lt;&gt;""",H$6:H4034),"")</f>
        <v/>
      </c>
    </row>
    <row r="4035">
      <c r="I4035">
        <f>IFERROR(SUMIF(A$6:A4035,"&lt;&gt;""",G$6:G4035)-SUMIF(A$6:A4035,"&lt;&gt;""",H$6:H4035),"")</f>
        <v/>
      </c>
    </row>
    <row r="4036">
      <c r="I4036">
        <f>IFERROR(SUMIF(A$6:A4036,"&lt;&gt;""",G$6:G4036)-SUMIF(A$6:A4036,"&lt;&gt;""",H$6:H4036),"")</f>
        <v/>
      </c>
    </row>
    <row r="4037">
      <c r="I4037">
        <f>IFERROR(SUMIF(A$6:A4037,"&lt;&gt;""",G$6:G4037)-SUMIF(A$6:A4037,"&lt;&gt;""",H$6:H4037),"")</f>
        <v/>
      </c>
    </row>
    <row r="4038">
      <c r="I4038">
        <f>IFERROR(SUMIF(A$6:A4038,"&lt;&gt;""",G$6:G4038)-SUMIF(A$6:A4038,"&lt;&gt;""",H$6:H4038),"")</f>
        <v/>
      </c>
    </row>
    <row r="4039">
      <c r="I4039">
        <f>IFERROR(SUMIF(A$6:A4039,"&lt;&gt;""",G$6:G4039)-SUMIF(A$6:A4039,"&lt;&gt;""",H$6:H4039),"")</f>
        <v/>
      </c>
    </row>
    <row r="4040">
      <c r="I4040">
        <f>IFERROR(SUMIF(A$6:A4040,"&lt;&gt;""",G$6:G4040)-SUMIF(A$6:A4040,"&lt;&gt;""",H$6:H4040),"")</f>
        <v/>
      </c>
    </row>
    <row r="4041">
      <c r="I4041">
        <f>IFERROR(SUMIF(A$6:A4041,"&lt;&gt;""",G$6:G4041)-SUMIF(A$6:A4041,"&lt;&gt;""",H$6:H4041),"")</f>
        <v/>
      </c>
    </row>
    <row r="4042">
      <c r="I4042">
        <f>IFERROR(SUMIF(A$6:A4042,"&lt;&gt;""",G$6:G4042)-SUMIF(A$6:A4042,"&lt;&gt;""",H$6:H4042),"")</f>
        <v/>
      </c>
    </row>
    <row r="4043">
      <c r="I4043">
        <f>IFERROR(SUMIF(A$6:A4043,"&lt;&gt;""",G$6:G4043)-SUMIF(A$6:A4043,"&lt;&gt;""",H$6:H4043),"")</f>
        <v/>
      </c>
    </row>
    <row r="4044">
      <c r="I4044">
        <f>IFERROR(SUMIF(A$6:A4044,"&lt;&gt;""",G$6:G4044)-SUMIF(A$6:A4044,"&lt;&gt;""",H$6:H4044),"")</f>
        <v/>
      </c>
    </row>
    <row r="4045">
      <c r="I4045">
        <f>IFERROR(SUMIF(A$6:A4045,"&lt;&gt;""",G$6:G4045)-SUMIF(A$6:A4045,"&lt;&gt;""",H$6:H4045),"")</f>
        <v/>
      </c>
    </row>
    <row r="4046">
      <c r="I4046">
        <f>IFERROR(SUMIF(A$6:A4046,"&lt;&gt;""",G$6:G4046)-SUMIF(A$6:A4046,"&lt;&gt;""",H$6:H4046),"")</f>
        <v/>
      </c>
    </row>
    <row r="4047">
      <c r="I4047">
        <f>IFERROR(SUMIF(A$6:A4047,"&lt;&gt;""",G$6:G4047)-SUMIF(A$6:A4047,"&lt;&gt;""",H$6:H4047),"")</f>
        <v/>
      </c>
    </row>
    <row r="4048">
      <c r="I4048">
        <f>IFERROR(SUMIF(A$6:A4048,"&lt;&gt;""",G$6:G4048)-SUMIF(A$6:A4048,"&lt;&gt;""",H$6:H4048),"")</f>
        <v/>
      </c>
    </row>
    <row r="4049">
      <c r="I4049">
        <f>IFERROR(SUMIF(A$6:A4049,"&lt;&gt;""",G$6:G4049)-SUMIF(A$6:A4049,"&lt;&gt;""",H$6:H4049),"")</f>
        <v/>
      </c>
    </row>
    <row r="4050">
      <c r="I4050">
        <f>IFERROR(SUMIF(A$6:A4050,"&lt;&gt;""",G$6:G4050)-SUMIF(A$6:A4050,"&lt;&gt;""",H$6:H4050),"")</f>
        <v/>
      </c>
    </row>
    <row r="4051">
      <c r="I4051">
        <f>IFERROR(SUMIF(A$6:A4051,"&lt;&gt;""",G$6:G4051)-SUMIF(A$6:A4051,"&lt;&gt;""",H$6:H4051),"")</f>
        <v/>
      </c>
    </row>
    <row r="4052">
      <c r="I4052">
        <f>IFERROR(SUMIF(A$6:A4052,"&lt;&gt;""",G$6:G4052)-SUMIF(A$6:A4052,"&lt;&gt;""",H$6:H4052),"")</f>
        <v/>
      </c>
    </row>
    <row r="4053">
      <c r="I4053">
        <f>IFERROR(SUMIF(A$6:A4053,"&lt;&gt;""",G$6:G4053)-SUMIF(A$6:A4053,"&lt;&gt;""",H$6:H4053),"")</f>
        <v/>
      </c>
    </row>
    <row r="4054">
      <c r="I4054">
        <f>IFERROR(SUMIF(A$6:A4054,"&lt;&gt;""",G$6:G4054)-SUMIF(A$6:A4054,"&lt;&gt;""",H$6:H4054),"")</f>
        <v/>
      </c>
    </row>
    <row r="4055">
      <c r="I4055">
        <f>IFERROR(SUMIF(A$6:A4055,"&lt;&gt;""",G$6:G4055)-SUMIF(A$6:A4055,"&lt;&gt;""",H$6:H4055),"")</f>
        <v/>
      </c>
    </row>
    <row r="4056">
      <c r="I4056">
        <f>IFERROR(SUMIF(A$6:A4056,"&lt;&gt;""",G$6:G4056)-SUMIF(A$6:A4056,"&lt;&gt;""",H$6:H4056),"")</f>
        <v/>
      </c>
    </row>
    <row r="4057">
      <c r="I4057">
        <f>IFERROR(SUMIF(A$6:A4057,"&lt;&gt;""",G$6:G4057)-SUMIF(A$6:A4057,"&lt;&gt;""",H$6:H4057),"")</f>
        <v/>
      </c>
    </row>
    <row r="4058">
      <c r="I4058">
        <f>IFERROR(SUMIF(A$6:A4058,"&lt;&gt;""",G$6:G4058)-SUMIF(A$6:A4058,"&lt;&gt;""",H$6:H4058),"")</f>
        <v/>
      </c>
    </row>
    <row r="4059">
      <c r="I4059">
        <f>IFERROR(SUMIF(A$6:A4059,"&lt;&gt;""",G$6:G4059)-SUMIF(A$6:A4059,"&lt;&gt;""",H$6:H4059),"")</f>
        <v/>
      </c>
    </row>
    <row r="4060">
      <c r="I4060">
        <f>IFERROR(SUMIF(A$6:A4060,"&lt;&gt;""",G$6:G4060)-SUMIF(A$6:A4060,"&lt;&gt;""",H$6:H4060),"")</f>
        <v/>
      </c>
    </row>
    <row r="4061">
      <c r="I4061">
        <f>IFERROR(SUMIF(A$6:A4061,"&lt;&gt;""",G$6:G4061)-SUMIF(A$6:A4061,"&lt;&gt;""",H$6:H4061),"")</f>
        <v/>
      </c>
    </row>
    <row r="4062">
      <c r="I4062">
        <f>IFERROR(SUMIF(A$6:A4062,"&lt;&gt;""",G$6:G4062)-SUMIF(A$6:A4062,"&lt;&gt;""",H$6:H4062),"")</f>
        <v/>
      </c>
    </row>
    <row r="4063">
      <c r="I4063">
        <f>IFERROR(SUMIF(A$6:A4063,"&lt;&gt;""",G$6:G4063)-SUMIF(A$6:A4063,"&lt;&gt;""",H$6:H4063),"")</f>
        <v/>
      </c>
    </row>
    <row r="4064">
      <c r="I4064">
        <f>IFERROR(SUMIF(A$6:A4064,"&lt;&gt;""",G$6:G4064)-SUMIF(A$6:A4064,"&lt;&gt;""",H$6:H4064),"")</f>
        <v/>
      </c>
    </row>
    <row r="4065">
      <c r="I4065">
        <f>IFERROR(SUMIF(A$6:A4065,"&lt;&gt;""",G$6:G4065)-SUMIF(A$6:A4065,"&lt;&gt;""",H$6:H4065),"")</f>
        <v/>
      </c>
    </row>
    <row r="4066">
      <c r="I4066">
        <f>IFERROR(SUMIF(A$6:A4066,"&lt;&gt;""",G$6:G4066)-SUMIF(A$6:A4066,"&lt;&gt;""",H$6:H4066),"")</f>
        <v/>
      </c>
    </row>
    <row r="4067">
      <c r="I4067">
        <f>IFERROR(SUMIF(A$6:A4067,"&lt;&gt;""",G$6:G4067)-SUMIF(A$6:A4067,"&lt;&gt;""",H$6:H4067),"")</f>
        <v/>
      </c>
    </row>
    <row r="4068">
      <c r="I4068">
        <f>IFERROR(SUMIF(A$6:A4068,"&lt;&gt;""",G$6:G4068)-SUMIF(A$6:A4068,"&lt;&gt;""",H$6:H4068),"")</f>
        <v/>
      </c>
    </row>
    <row r="4069">
      <c r="I4069">
        <f>IFERROR(SUMIF(A$6:A4069,"&lt;&gt;""",G$6:G4069)-SUMIF(A$6:A4069,"&lt;&gt;""",H$6:H4069),"")</f>
        <v/>
      </c>
    </row>
    <row r="4070">
      <c r="I4070">
        <f>IFERROR(SUMIF(A$6:A4070,"&lt;&gt;""",G$6:G4070)-SUMIF(A$6:A4070,"&lt;&gt;""",H$6:H4070),"")</f>
        <v/>
      </c>
    </row>
    <row r="4071">
      <c r="I4071">
        <f>IFERROR(SUMIF(A$6:A4071,"&lt;&gt;""",G$6:G4071)-SUMIF(A$6:A4071,"&lt;&gt;""",H$6:H4071),"")</f>
        <v/>
      </c>
    </row>
    <row r="4072">
      <c r="I4072">
        <f>IFERROR(SUMIF(A$6:A4072,"&lt;&gt;""",G$6:G4072)-SUMIF(A$6:A4072,"&lt;&gt;""",H$6:H4072),"")</f>
        <v/>
      </c>
    </row>
    <row r="4073">
      <c r="I4073">
        <f>IFERROR(SUMIF(A$6:A4073,"&lt;&gt;""",G$6:G4073)-SUMIF(A$6:A4073,"&lt;&gt;""",H$6:H4073),"")</f>
        <v/>
      </c>
    </row>
    <row r="4074">
      <c r="I4074">
        <f>IFERROR(SUMIF(A$6:A4074,"&lt;&gt;""",G$6:G4074)-SUMIF(A$6:A4074,"&lt;&gt;""",H$6:H4074),"")</f>
        <v/>
      </c>
    </row>
    <row r="4075">
      <c r="I4075">
        <f>IFERROR(SUMIF(A$6:A4075,"&lt;&gt;""",G$6:G4075)-SUMIF(A$6:A4075,"&lt;&gt;""",H$6:H4075),"")</f>
        <v/>
      </c>
    </row>
    <row r="4076">
      <c r="I4076">
        <f>IFERROR(SUMIF(A$6:A4076,"&lt;&gt;""",G$6:G4076)-SUMIF(A$6:A4076,"&lt;&gt;""",H$6:H4076),"")</f>
        <v/>
      </c>
    </row>
    <row r="4077">
      <c r="I4077">
        <f>IFERROR(SUMIF(A$6:A4077,"&lt;&gt;""",G$6:G4077)-SUMIF(A$6:A4077,"&lt;&gt;""",H$6:H4077),"")</f>
        <v/>
      </c>
    </row>
    <row r="4078">
      <c r="I4078">
        <f>IFERROR(SUMIF(A$6:A4078,"&lt;&gt;""",G$6:G4078)-SUMIF(A$6:A4078,"&lt;&gt;""",H$6:H4078),"")</f>
        <v/>
      </c>
    </row>
    <row r="4079">
      <c r="I4079">
        <f>IFERROR(SUMIF(A$6:A4079,"&lt;&gt;""",G$6:G4079)-SUMIF(A$6:A4079,"&lt;&gt;""",H$6:H4079),"")</f>
        <v/>
      </c>
    </row>
    <row r="4080">
      <c r="I4080">
        <f>IFERROR(SUMIF(A$6:A4080,"&lt;&gt;""",G$6:G4080)-SUMIF(A$6:A4080,"&lt;&gt;""",H$6:H4080),"")</f>
        <v/>
      </c>
    </row>
    <row r="4081">
      <c r="I4081">
        <f>IFERROR(SUMIF(A$6:A4081,"&lt;&gt;""",G$6:G4081)-SUMIF(A$6:A4081,"&lt;&gt;""",H$6:H4081),"")</f>
        <v/>
      </c>
    </row>
    <row r="4082">
      <c r="I4082">
        <f>IFERROR(SUMIF(A$6:A4082,"&lt;&gt;""",G$6:G4082)-SUMIF(A$6:A4082,"&lt;&gt;""",H$6:H4082),"")</f>
        <v/>
      </c>
    </row>
    <row r="4083">
      <c r="I4083">
        <f>IFERROR(SUMIF(A$6:A4083,"&lt;&gt;""",G$6:G4083)-SUMIF(A$6:A4083,"&lt;&gt;""",H$6:H4083),"")</f>
        <v/>
      </c>
    </row>
    <row r="4084">
      <c r="I4084">
        <f>IFERROR(SUMIF(A$6:A4084,"&lt;&gt;""",G$6:G4084)-SUMIF(A$6:A4084,"&lt;&gt;""",H$6:H4084),"")</f>
        <v/>
      </c>
    </row>
    <row r="4085">
      <c r="I4085">
        <f>IFERROR(SUMIF(A$6:A4085,"&lt;&gt;""",G$6:G4085)-SUMIF(A$6:A4085,"&lt;&gt;""",H$6:H4085),"")</f>
        <v/>
      </c>
    </row>
    <row r="4086">
      <c r="I4086">
        <f>IFERROR(SUMIF(A$6:A4086,"&lt;&gt;""",G$6:G4086)-SUMIF(A$6:A4086,"&lt;&gt;""",H$6:H4086),"")</f>
        <v/>
      </c>
    </row>
    <row r="4087">
      <c r="I4087">
        <f>IFERROR(SUMIF(A$6:A4087,"&lt;&gt;""",G$6:G4087)-SUMIF(A$6:A4087,"&lt;&gt;""",H$6:H4087),"")</f>
        <v/>
      </c>
    </row>
    <row r="4088">
      <c r="I4088">
        <f>IFERROR(SUMIF(A$6:A4088,"&lt;&gt;""",G$6:G4088)-SUMIF(A$6:A4088,"&lt;&gt;""",H$6:H4088),"")</f>
        <v/>
      </c>
    </row>
    <row r="4089">
      <c r="I4089">
        <f>IFERROR(SUMIF(A$6:A4089,"&lt;&gt;""",G$6:G4089)-SUMIF(A$6:A4089,"&lt;&gt;""",H$6:H4089),"")</f>
        <v/>
      </c>
    </row>
    <row r="4090">
      <c r="I4090">
        <f>IFERROR(SUMIF(A$6:A4090,"&lt;&gt;""",G$6:G4090)-SUMIF(A$6:A4090,"&lt;&gt;""",H$6:H4090),"")</f>
        <v/>
      </c>
    </row>
    <row r="4091">
      <c r="I4091">
        <f>IFERROR(SUMIF(A$6:A4091,"&lt;&gt;""",G$6:G4091)-SUMIF(A$6:A4091,"&lt;&gt;""",H$6:H4091),"")</f>
        <v/>
      </c>
    </row>
    <row r="4092">
      <c r="I4092">
        <f>IFERROR(SUMIF(A$6:A4092,"&lt;&gt;""",G$6:G4092)-SUMIF(A$6:A4092,"&lt;&gt;""",H$6:H4092),"")</f>
        <v/>
      </c>
    </row>
    <row r="4093">
      <c r="I4093">
        <f>IFERROR(SUMIF(A$6:A4093,"&lt;&gt;""",G$6:G4093)-SUMIF(A$6:A4093,"&lt;&gt;""",H$6:H4093),"")</f>
        <v/>
      </c>
    </row>
    <row r="4094">
      <c r="I4094">
        <f>IFERROR(SUMIF(A$6:A4094,"&lt;&gt;""",G$6:G4094)-SUMIF(A$6:A4094,"&lt;&gt;""",H$6:H4094),"")</f>
        <v/>
      </c>
    </row>
    <row r="4095">
      <c r="I4095">
        <f>IFERROR(SUMIF(A$6:A4095,"&lt;&gt;""",G$6:G4095)-SUMIF(A$6:A4095,"&lt;&gt;""",H$6:H4095),"")</f>
        <v/>
      </c>
    </row>
    <row r="4096">
      <c r="I4096">
        <f>IFERROR(SUMIF(A$6:A4096,"&lt;&gt;""",G$6:G4096)-SUMIF(A$6:A4096,"&lt;&gt;""",H$6:H4096),"")</f>
        <v/>
      </c>
    </row>
    <row r="4097">
      <c r="I4097">
        <f>IFERROR(SUMIF(A$6:A4097,"&lt;&gt;""",G$6:G4097)-SUMIF(A$6:A4097,"&lt;&gt;""",H$6:H4097),"")</f>
        <v/>
      </c>
    </row>
    <row r="4098">
      <c r="I4098">
        <f>IFERROR(SUMIF(A$6:A4098,"&lt;&gt;""",G$6:G4098)-SUMIF(A$6:A4098,"&lt;&gt;""",H$6:H4098),"")</f>
        <v/>
      </c>
    </row>
    <row r="4099">
      <c r="I4099">
        <f>IFERROR(SUMIF(A$6:A4099,"&lt;&gt;""",G$6:G4099)-SUMIF(A$6:A4099,"&lt;&gt;""",H$6:H4099),"")</f>
        <v/>
      </c>
    </row>
    <row r="4100">
      <c r="I4100">
        <f>IFERROR(SUMIF(A$6:A4100,"&lt;&gt;""",G$6:G4100)-SUMIF(A$6:A4100,"&lt;&gt;""",H$6:H4100),"")</f>
        <v/>
      </c>
    </row>
    <row r="4101">
      <c r="I4101">
        <f>IFERROR(SUMIF(A$6:A4101,"&lt;&gt;""",G$6:G4101)-SUMIF(A$6:A4101,"&lt;&gt;""",H$6:H4101),"")</f>
        <v/>
      </c>
    </row>
    <row r="4102">
      <c r="I4102">
        <f>IFERROR(SUMIF(A$6:A4102,"&lt;&gt;""",G$6:G4102)-SUMIF(A$6:A4102,"&lt;&gt;""",H$6:H4102),"")</f>
        <v/>
      </c>
    </row>
    <row r="4103">
      <c r="I4103">
        <f>IFERROR(SUMIF(A$6:A4103,"&lt;&gt;""",G$6:G4103)-SUMIF(A$6:A4103,"&lt;&gt;""",H$6:H4103),"")</f>
        <v/>
      </c>
    </row>
    <row r="4104">
      <c r="I4104">
        <f>IFERROR(SUMIF(A$6:A4104,"&lt;&gt;""",G$6:G4104)-SUMIF(A$6:A4104,"&lt;&gt;""",H$6:H4104),"")</f>
        <v/>
      </c>
    </row>
    <row r="4105">
      <c r="I4105">
        <f>IFERROR(SUMIF(A$6:A4105,"&lt;&gt;""",G$6:G4105)-SUMIF(A$6:A4105,"&lt;&gt;""",H$6:H4105),"")</f>
        <v/>
      </c>
    </row>
    <row r="4106">
      <c r="I4106">
        <f>IFERROR(SUMIF(A$6:A4106,"&lt;&gt;""",G$6:G4106)-SUMIF(A$6:A4106,"&lt;&gt;""",H$6:H4106),"")</f>
        <v/>
      </c>
    </row>
    <row r="4107">
      <c r="I4107">
        <f>IFERROR(SUMIF(A$6:A4107,"&lt;&gt;""",G$6:G4107)-SUMIF(A$6:A4107,"&lt;&gt;""",H$6:H4107),"")</f>
        <v/>
      </c>
    </row>
    <row r="4108">
      <c r="I4108">
        <f>IFERROR(SUMIF(A$6:A4108,"&lt;&gt;""",G$6:G4108)-SUMIF(A$6:A4108,"&lt;&gt;""",H$6:H4108),"")</f>
        <v/>
      </c>
    </row>
    <row r="4109">
      <c r="I4109">
        <f>IFERROR(SUMIF(A$6:A4109,"&lt;&gt;""",G$6:G4109)-SUMIF(A$6:A4109,"&lt;&gt;""",H$6:H4109),"")</f>
        <v/>
      </c>
    </row>
    <row r="4110">
      <c r="I4110">
        <f>IFERROR(SUMIF(A$6:A4110,"&lt;&gt;""",G$6:G4110)-SUMIF(A$6:A4110,"&lt;&gt;""",H$6:H4110),"")</f>
        <v/>
      </c>
    </row>
    <row r="4111">
      <c r="I4111">
        <f>IFERROR(SUMIF(A$6:A4111,"&lt;&gt;""",G$6:G4111)-SUMIF(A$6:A4111,"&lt;&gt;""",H$6:H4111),"")</f>
        <v/>
      </c>
    </row>
    <row r="4112">
      <c r="I4112">
        <f>IFERROR(SUMIF(A$6:A4112,"&lt;&gt;""",G$6:G4112)-SUMIF(A$6:A4112,"&lt;&gt;""",H$6:H4112),"")</f>
        <v/>
      </c>
    </row>
    <row r="4113">
      <c r="I4113">
        <f>IFERROR(SUMIF(A$6:A4113,"&lt;&gt;""",G$6:G4113)-SUMIF(A$6:A4113,"&lt;&gt;""",H$6:H4113),"")</f>
        <v/>
      </c>
    </row>
    <row r="4114">
      <c r="I4114">
        <f>IFERROR(SUMIF(A$6:A4114,"&lt;&gt;""",G$6:G4114)-SUMIF(A$6:A4114,"&lt;&gt;""",H$6:H4114),"")</f>
        <v/>
      </c>
    </row>
    <row r="4115">
      <c r="I4115">
        <f>IFERROR(SUMIF(A$6:A4115,"&lt;&gt;""",G$6:G4115)-SUMIF(A$6:A4115,"&lt;&gt;""",H$6:H4115),"")</f>
        <v/>
      </c>
    </row>
    <row r="4116">
      <c r="I4116">
        <f>IFERROR(SUMIF(A$6:A4116,"&lt;&gt;""",G$6:G4116)-SUMIF(A$6:A4116,"&lt;&gt;""",H$6:H4116),"")</f>
        <v/>
      </c>
    </row>
    <row r="4117">
      <c r="I4117">
        <f>IFERROR(SUMIF(A$6:A4117,"&lt;&gt;""",G$6:G4117)-SUMIF(A$6:A4117,"&lt;&gt;""",H$6:H4117),"")</f>
        <v/>
      </c>
    </row>
    <row r="4118">
      <c r="I4118">
        <f>IFERROR(SUMIF(A$6:A4118,"&lt;&gt;""",G$6:G4118)-SUMIF(A$6:A4118,"&lt;&gt;""",H$6:H4118),"")</f>
        <v/>
      </c>
    </row>
    <row r="4119">
      <c r="I4119">
        <f>IFERROR(SUMIF(A$6:A4119,"&lt;&gt;""",G$6:G4119)-SUMIF(A$6:A4119,"&lt;&gt;""",H$6:H4119),"")</f>
        <v/>
      </c>
    </row>
    <row r="4120">
      <c r="I4120">
        <f>IFERROR(SUMIF(A$6:A4120,"&lt;&gt;""",G$6:G4120)-SUMIF(A$6:A4120,"&lt;&gt;""",H$6:H4120),"")</f>
        <v/>
      </c>
    </row>
    <row r="4121">
      <c r="I4121">
        <f>IFERROR(SUMIF(A$6:A4121,"&lt;&gt;""",G$6:G4121)-SUMIF(A$6:A4121,"&lt;&gt;""",H$6:H4121),"")</f>
        <v/>
      </c>
    </row>
    <row r="4122">
      <c r="I4122">
        <f>IFERROR(SUMIF(A$6:A4122,"&lt;&gt;""",G$6:G4122)-SUMIF(A$6:A4122,"&lt;&gt;""",H$6:H4122),"")</f>
        <v/>
      </c>
    </row>
    <row r="4123">
      <c r="I4123">
        <f>IFERROR(SUMIF(A$6:A4123,"&lt;&gt;""",G$6:G4123)-SUMIF(A$6:A4123,"&lt;&gt;""",H$6:H4123),"")</f>
        <v/>
      </c>
    </row>
    <row r="4124">
      <c r="I4124">
        <f>IFERROR(SUMIF(A$6:A4124,"&lt;&gt;""",G$6:G4124)-SUMIF(A$6:A4124,"&lt;&gt;""",H$6:H4124),"")</f>
        <v/>
      </c>
    </row>
    <row r="4125">
      <c r="I4125">
        <f>IFERROR(SUMIF(A$6:A4125,"&lt;&gt;""",G$6:G4125)-SUMIF(A$6:A4125,"&lt;&gt;""",H$6:H4125),"")</f>
        <v/>
      </c>
    </row>
    <row r="4126">
      <c r="I4126">
        <f>IFERROR(SUMIF(A$6:A4126,"&lt;&gt;""",G$6:G4126)-SUMIF(A$6:A4126,"&lt;&gt;""",H$6:H4126),"")</f>
        <v/>
      </c>
    </row>
    <row r="4127">
      <c r="I4127">
        <f>IFERROR(SUMIF(A$6:A4127,"&lt;&gt;""",G$6:G4127)-SUMIF(A$6:A4127,"&lt;&gt;""",H$6:H4127),"")</f>
        <v/>
      </c>
    </row>
    <row r="4128">
      <c r="I4128">
        <f>IFERROR(SUMIF(A$6:A4128,"&lt;&gt;""",G$6:G4128)-SUMIF(A$6:A4128,"&lt;&gt;""",H$6:H4128),"")</f>
        <v/>
      </c>
    </row>
    <row r="4129">
      <c r="I4129">
        <f>IFERROR(SUMIF(A$6:A4129,"&lt;&gt;""",G$6:G4129)-SUMIF(A$6:A4129,"&lt;&gt;""",H$6:H4129),"")</f>
        <v/>
      </c>
    </row>
    <row r="4130">
      <c r="I4130">
        <f>IFERROR(SUMIF(A$6:A4130,"&lt;&gt;""",G$6:G4130)-SUMIF(A$6:A4130,"&lt;&gt;""",H$6:H4130),"")</f>
        <v/>
      </c>
    </row>
    <row r="4131">
      <c r="I4131">
        <f>IFERROR(SUMIF(A$6:A4131,"&lt;&gt;""",G$6:G4131)-SUMIF(A$6:A4131,"&lt;&gt;""",H$6:H4131),"")</f>
        <v/>
      </c>
    </row>
    <row r="4132">
      <c r="I4132">
        <f>IFERROR(SUMIF(A$6:A4132,"&lt;&gt;""",G$6:G4132)-SUMIF(A$6:A4132,"&lt;&gt;""",H$6:H4132),"")</f>
        <v/>
      </c>
    </row>
    <row r="4133">
      <c r="I4133">
        <f>IFERROR(SUMIF(A$6:A4133,"&lt;&gt;""",G$6:G4133)-SUMIF(A$6:A4133,"&lt;&gt;""",H$6:H4133),"")</f>
        <v/>
      </c>
    </row>
    <row r="4134">
      <c r="I4134">
        <f>IFERROR(SUMIF(A$6:A4134,"&lt;&gt;""",G$6:G4134)-SUMIF(A$6:A4134,"&lt;&gt;""",H$6:H4134),"")</f>
        <v/>
      </c>
    </row>
    <row r="4135">
      <c r="I4135">
        <f>IFERROR(SUMIF(A$6:A4135,"&lt;&gt;""",G$6:G4135)-SUMIF(A$6:A4135,"&lt;&gt;""",H$6:H4135),"")</f>
        <v/>
      </c>
    </row>
    <row r="4136">
      <c r="I4136">
        <f>IFERROR(SUMIF(A$6:A4136,"&lt;&gt;""",G$6:G4136)-SUMIF(A$6:A4136,"&lt;&gt;""",H$6:H4136),"")</f>
        <v/>
      </c>
    </row>
    <row r="4137">
      <c r="I4137">
        <f>IFERROR(SUMIF(A$6:A4137,"&lt;&gt;""",G$6:G4137)-SUMIF(A$6:A4137,"&lt;&gt;""",H$6:H4137),"")</f>
        <v/>
      </c>
    </row>
    <row r="4138">
      <c r="I4138">
        <f>IFERROR(SUMIF(A$6:A4138,"&lt;&gt;""",G$6:G4138)-SUMIF(A$6:A4138,"&lt;&gt;""",H$6:H4138),"")</f>
        <v/>
      </c>
    </row>
    <row r="4139">
      <c r="I4139">
        <f>IFERROR(SUMIF(A$6:A4139,"&lt;&gt;""",G$6:G4139)-SUMIF(A$6:A4139,"&lt;&gt;""",H$6:H4139),"")</f>
        <v/>
      </c>
    </row>
    <row r="4140">
      <c r="I4140">
        <f>IFERROR(SUMIF(A$6:A4140,"&lt;&gt;""",G$6:G4140)-SUMIF(A$6:A4140,"&lt;&gt;""",H$6:H4140),"")</f>
        <v/>
      </c>
    </row>
    <row r="4141">
      <c r="I4141">
        <f>IFERROR(SUMIF(A$6:A4141,"&lt;&gt;""",G$6:G4141)-SUMIF(A$6:A4141,"&lt;&gt;""",H$6:H4141),"")</f>
        <v/>
      </c>
    </row>
    <row r="4142">
      <c r="I4142">
        <f>IFERROR(SUMIF(A$6:A4142,"&lt;&gt;""",G$6:G4142)-SUMIF(A$6:A4142,"&lt;&gt;""",H$6:H4142),"")</f>
        <v/>
      </c>
    </row>
    <row r="4143">
      <c r="I4143">
        <f>IFERROR(SUMIF(A$6:A4143,"&lt;&gt;""",G$6:G4143)-SUMIF(A$6:A4143,"&lt;&gt;""",H$6:H4143),"")</f>
        <v/>
      </c>
    </row>
    <row r="4144">
      <c r="I4144">
        <f>IFERROR(SUMIF(A$6:A4144,"&lt;&gt;""",G$6:G4144)-SUMIF(A$6:A4144,"&lt;&gt;""",H$6:H4144),"")</f>
        <v/>
      </c>
    </row>
    <row r="4145">
      <c r="I4145">
        <f>IFERROR(SUMIF(A$6:A4145,"&lt;&gt;""",G$6:G4145)-SUMIF(A$6:A4145,"&lt;&gt;""",H$6:H4145),"")</f>
        <v/>
      </c>
    </row>
    <row r="4146">
      <c r="I4146">
        <f>IFERROR(SUMIF(A$6:A4146,"&lt;&gt;""",G$6:G4146)-SUMIF(A$6:A4146,"&lt;&gt;""",H$6:H4146),"")</f>
        <v/>
      </c>
    </row>
    <row r="4147">
      <c r="I4147">
        <f>IFERROR(SUMIF(A$6:A4147,"&lt;&gt;""",G$6:G4147)-SUMIF(A$6:A4147,"&lt;&gt;""",H$6:H4147),"")</f>
        <v/>
      </c>
    </row>
    <row r="4148">
      <c r="I4148">
        <f>IFERROR(SUMIF(A$6:A4148,"&lt;&gt;""",G$6:G4148)-SUMIF(A$6:A4148,"&lt;&gt;""",H$6:H4148),"")</f>
        <v/>
      </c>
    </row>
    <row r="4149">
      <c r="I4149">
        <f>IFERROR(SUMIF(A$6:A4149,"&lt;&gt;""",G$6:G4149)-SUMIF(A$6:A4149,"&lt;&gt;""",H$6:H4149),"")</f>
        <v/>
      </c>
    </row>
    <row r="4150">
      <c r="I4150">
        <f>IFERROR(SUMIF(A$6:A4150,"&lt;&gt;""",G$6:G4150)-SUMIF(A$6:A4150,"&lt;&gt;""",H$6:H4150),"")</f>
        <v/>
      </c>
    </row>
    <row r="4151">
      <c r="I4151">
        <f>IFERROR(SUMIF(A$6:A4151,"&lt;&gt;""",G$6:G4151)-SUMIF(A$6:A4151,"&lt;&gt;""",H$6:H4151),"")</f>
        <v/>
      </c>
    </row>
    <row r="4152">
      <c r="I4152">
        <f>IFERROR(SUMIF(A$6:A4152,"&lt;&gt;""",G$6:G4152)-SUMIF(A$6:A4152,"&lt;&gt;""",H$6:H4152),"")</f>
        <v/>
      </c>
    </row>
    <row r="4153">
      <c r="I4153">
        <f>IFERROR(SUMIF(A$6:A4153,"&lt;&gt;""",G$6:G4153)-SUMIF(A$6:A4153,"&lt;&gt;""",H$6:H4153),"")</f>
        <v/>
      </c>
    </row>
    <row r="4154">
      <c r="I4154">
        <f>IFERROR(SUMIF(A$6:A4154,"&lt;&gt;""",G$6:G4154)-SUMIF(A$6:A4154,"&lt;&gt;""",H$6:H4154),"")</f>
        <v/>
      </c>
    </row>
    <row r="4155">
      <c r="I4155">
        <f>IFERROR(SUMIF(A$6:A4155,"&lt;&gt;""",G$6:G4155)-SUMIF(A$6:A4155,"&lt;&gt;""",H$6:H4155),"")</f>
        <v/>
      </c>
    </row>
    <row r="4156">
      <c r="I4156">
        <f>IFERROR(SUMIF(A$6:A4156,"&lt;&gt;""",G$6:G4156)-SUMIF(A$6:A4156,"&lt;&gt;""",H$6:H4156),"")</f>
        <v/>
      </c>
    </row>
    <row r="4157">
      <c r="I4157">
        <f>IFERROR(SUMIF(A$6:A4157,"&lt;&gt;""",G$6:G4157)-SUMIF(A$6:A4157,"&lt;&gt;""",H$6:H4157),"")</f>
        <v/>
      </c>
    </row>
    <row r="4158">
      <c r="I4158">
        <f>IFERROR(SUMIF(A$6:A4158,"&lt;&gt;""",G$6:G4158)-SUMIF(A$6:A4158,"&lt;&gt;""",H$6:H4158),"")</f>
        <v/>
      </c>
    </row>
    <row r="4159">
      <c r="I4159">
        <f>IFERROR(SUMIF(A$6:A4159,"&lt;&gt;""",G$6:G4159)-SUMIF(A$6:A4159,"&lt;&gt;""",H$6:H4159),"")</f>
        <v/>
      </c>
    </row>
    <row r="4160">
      <c r="I4160">
        <f>IFERROR(SUMIF(A$6:A4160,"&lt;&gt;""",G$6:G4160)-SUMIF(A$6:A4160,"&lt;&gt;""",H$6:H4160),"")</f>
        <v/>
      </c>
    </row>
    <row r="4161">
      <c r="I4161">
        <f>IFERROR(SUMIF(A$6:A4161,"&lt;&gt;""",G$6:G4161)-SUMIF(A$6:A4161,"&lt;&gt;""",H$6:H4161),"")</f>
        <v/>
      </c>
    </row>
    <row r="4162">
      <c r="I4162">
        <f>IFERROR(SUMIF(A$6:A4162,"&lt;&gt;""",G$6:G4162)-SUMIF(A$6:A4162,"&lt;&gt;""",H$6:H4162),"")</f>
        <v/>
      </c>
    </row>
    <row r="4163">
      <c r="I4163">
        <f>IFERROR(SUMIF(A$6:A4163,"&lt;&gt;""",G$6:G4163)-SUMIF(A$6:A4163,"&lt;&gt;""",H$6:H4163),"")</f>
        <v/>
      </c>
    </row>
    <row r="4164">
      <c r="I4164">
        <f>IFERROR(SUMIF(A$6:A4164,"&lt;&gt;""",G$6:G4164)-SUMIF(A$6:A4164,"&lt;&gt;""",H$6:H4164),"")</f>
        <v/>
      </c>
    </row>
    <row r="4165">
      <c r="I4165">
        <f>IFERROR(SUMIF(A$6:A4165,"&lt;&gt;""",G$6:G4165)-SUMIF(A$6:A4165,"&lt;&gt;""",H$6:H4165),"")</f>
        <v/>
      </c>
    </row>
    <row r="4166">
      <c r="I4166">
        <f>IFERROR(SUMIF(A$6:A4166,"&lt;&gt;""",G$6:G4166)-SUMIF(A$6:A4166,"&lt;&gt;""",H$6:H4166),"")</f>
        <v/>
      </c>
    </row>
    <row r="4167">
      <c r="I4167">
        <f>IFERROR(SUMIF(A$6:A4167,"&lt;&gt;""",G$6:G4167)-SUMIF(A$6:A4167,"&lt;&gt;""",H$6:H4167),"")</f>
        <v/>
      </c>
    </row>
    <row r="4168">
      <c r="I4168">
        <f>IFERROR(SUMIF(A$6:A4168,"&lt;&gt;""",G$6:G4168)-SUMIF(A$6:A4168,"&lt;&gt;""",H$6:H4168),"")</f>
        <v/>
      </c>
    </row>
    <row r="4169">
      <c r="I4169">
        <f>IFERROR(SUMIF(A$6:A4169,"&lt;&gt;""",G$6:G4169)-SUMIF(A$6:A4169,"&lt;&gt;""",H$6:H4169),"")</f>
        <v/>
      </c>
    </row>
    <row r="4170">
      <c r="I4170">
        <f>IFERROR(SUMIF(A$6:A4170,"&lt;&gt;""",G$6:G4170)-SUMIF(A$6:A4170,"&lt;&gt;""",H$6:H4170),"")</f>
        <v/>
      </c>
    </row>
    <row r="4171">
      <c r="I4171">
        <f>IFERROR(SUMIF(A$6:A4171,"&lt;&gt;""",G$6:G4171)-SUMIF(A$6:A4171,"&lt;&gt;""",H$6:H4171),"")</f>
        <v/>
      </c>
    </row>
    <row r="4172">
      <c r="I4172">
        <f>IFERROR(SUMIF(A$6:A4172,"&lt;&gt;""",G$6:G4172)-SUMIF(A$6:A4172,"&lt;&gt;""",H$6:H4172),"")</f>
        <v/>
      </c>
    </row>
    <row r="4173">
      <c r="I4173">
        <f>IFERROR(SUMIF(A$6:A4173,"&lt;&gt;""",G$6:G4173)-SUMIF(A$6:A4173,"&lt;&gt;""",H$6:H4173),"")</f>
        <v/>
      </c>
    </row>
    <row r="4174">
      <c r="I4174">
        <f>IFERROR(SUMIF(A$6:A4174,"&lt;&gt;""",G$6:G4174)-SUMIF(A$6:A4174,"&lt;&gt;""",H$6:H4174),"")</f>
        <v/>
      </c>
    </row>
    <row r="4175">
      <c r="I4175">
        <f>IFERROR(SUMIF(A$6:A4175,"&lt;&gt;""",G$6:G4175)-SUMIF(A$6:A4175,"&lt;&gt;""",H$6:H4175),"")</f>
        <v/>
      </c>
    </row>
    <row r="4176">
      <c r="I4176">
        <f>IFERROR(SUMIF(A$6:A4176,"&lt;&gt;""",G$6:G4176)-SUMIF(A$6:A4176,"&lt;&gt;""",H$6:H4176),"")</f>
        <v/>
      </c>
    </row>
    <row r="4177">
      <c r="I4177">
        <f>IFERROR(SUMIF(A$6:A4177,"&lt;&gt;""",G$6:G4177)-SUMIF(A$6:A4177,"&lt;&gt;""",H$6:H4177),"")</f>
        <v/>
      </c>
    </row>
    <row r="4178">
      <c r="I4178">
        <f>IFERROR(SUMIF(A$6:A4178,"&lt;&gt;""",G$6:G4178)-SUMIF(A$6:A4178,"&lt;&gt;""",H$6:H4178),"")</f>
        <v/>
      </c>
    </row>
    <row r="4179">
      <c r="I4179">
        <f>IFERROR(SUMIF(A$6:A4179,"&lt;&gt;""",G$6:G4179)-SUMIF(A$6:A4179,"&lt;&gt;""",H$6:H4179),"")</f>
        <v/>
      </c>
    </row>
    <row r="4180">
      <c r="I4180">
        <f>IFERROR(SUMIF(A$6:A4180,"&lt;&gt;""",G$6:G4180)-SUMIF(A$6:A4180,"&lt;&gt;""",H$6:H4180),"")</f>
        <v/>
      </c>
    </row>
    <row r="4181">
      <c r="I4181">
        <f>IFERROR(SUMIF(A$6:A4181,"&lt;&gt;""",G$6:G4181)-SUMIF(A$6:A4181,"&lt;&gt;""",H$6:H4181),"")</f>
        <v/>
      </c>
    </row>
    <row r="4182">
      <c r="I4182">
        <f>IFERROR(SUMIF(A$6:A4182,"&lt;&gt;""",G$6:G4182)-SUMIF(A$6:A4182,"&lt;&gt;""",H$6:H4182),"")</f>
        <v/>
      </c>
    </row>
    <row r="4183">
      <c r="I4183">
        <f>IFERROR(SUMIF(A$6:A4183,"&lt;&gt;""",G$6:G4183)-SUMIF(A$6:A4183,"&lt;&gt;""",H$6:H4183),"")</f>
        <v/>
      </c>
    </row>
    <row r="4184">
      <c r="I4184">
        <f>IFERROR(SUMIF(A$6:A4184,"&lt;&gt;""",G$6:G4184)-SUMIF(A$6:A4184,"&lt;&gt;""",H$6:H4184),"")</f>
        <v/>
      </c>
    </row>
    <row r="4185">
      <c r="I4185">
        <f>IFERROR(SUMIF(A$6:A4185,"&lt;&gt;""",G$6:G4185)-SUMIF(A$6:A4185,"&lt;&gt;""",H$6:H4185),"")</f>
        <v/>
      </c>
    </row>
    <row r="4186">
      <c r="I4186">
        <f>IFERROR(SUMIF(A$6:A4186,"&lt;&gt;""",G$6:G4186)-SUMIF(A$6:A4186,"&lt;&gt;""",H$6:H4186),"")</f>
        <v/>
      </c>
    </row>
    <row r="4187">
      <c r="I4187">
        <f>IFERROR(SUMIF(A$6:A4187,"&lt;&gt;""",G$6:G4187)-SUMIF(A$6:A4187,"&lt;&gt;""",H$6:H4187),"")</f>
        <v/>
      </c>
    </row>
    <row r="4188">
      <c r="I4188">
        <f>IFERROR(SUMIF(A$6:A4188,"&lt;&gt;""",G$6:G4188)-SUMIF(A$6:A4188,"&lt;&gt;""",H$6:H4188),"")</f>
        <v/>
      </c>
    </row>
    <row r="4189">
      <c r="I4189">
        <f>IFERROR(SUMIF(A$6:A4189,"&lt;&gt;""",G$6:G4189)-SUMIF(A$6:A4189,"&lt;&gt;""",H$6:H4189),"")</f>
        <v/>
      </c>
    </row>
    <row r="4190">
      <c r="I4190">
        <f>IFERROR(SUMIF(A$6:A4190,"&lt;&gt;""",G$6:G4190)-SUMIF(A$6:A4190,"&lt;&gt;""",H$6:H4190),"")</f>
        <v/>
      </c>
    </row>
    <row r="4191">
      <c r="I4191">
        <f>IFERROR(SUMIF(A$6:A4191,"&lt;&gt;""",G$6:G4191)-SUMIF(A$6:A4191,"&lt;&gt;""",H$6:H4191),"")</f>
        <v/>
      </c>
    </row>
    <row r="4192">
      <c r="I4192">
        <f>IFERROR(SUMIF(A$6:A4192,"&lt;&gt;""",G$6:G4192)-SUMIF(A$6:A4192,"&lt;&gt;""",H$6:H4192),"")</f>
        <v/>
      </c>
    </row>
    <row r="4193">
      <c r="I4193">
        <f>IFERROR(SUMIF(A$6:A4193,"&lt;&gt;""",G$6:G4193)-SUMIF(A$6:A4193,"&lt;&gt;""",H$6:H4193),"")</f>
        <v/>
      </c>
    </row>
    <row r="4194">
      <c r="I4194">
        <f>IFERROR(SUMIF(A$6:A4194,"&lt;&gt;""",G$6:G4194)-SUMIF(A$6:A4194,"&lt;&gt;""",H$6:H4194),"")</f>
        <v/>
      </c>
    </row>
    <row r="4195">
      <c r="I4195">
        <f>IFERROR(SUMIF(A$6:A4195,"&lt;&gt;""",G$6:G4195)-SUMIF(A$6:A4195,"&lt;&gt;""",H$6:H4195),"")</f>
        <v/>
      </c>
    </row>
    <row r="4196">
      <c r="I4196">
        <f>IFERROR(SUMIF(A$6:A4196,"&lt;&gt;""",G$6:G4196)-SUMIF(A$6:A4196,"&lt;&gt;""",H$6:H4196),"")</f>
        <v/>
      </c>
    </row>
    <row r="4197">
      <c r="I4197">
        <f>IFERROR(SUMIF(A$6:A4197,"&lt;&gt;""",G$6:G4197)-SUMIF(A$6:A4197,"&lt;&gt;""",H$6:H4197),"")</f>
        <v/>
      </c>
    </row>
    <row r="4198">
      <c r="I4198">
        <f>IFERROR(SUMIF(A$6:A4198,"&lt;&gt;""",G$6:G4198)-SUMIF(A$6:A4198,"&lt;&gt;""",H$6:H4198),"")</f>
        <v/>
      </c>
    </row>
    <row r="4199">
      <c r="I4199">
        <f>IFERROR(SUMIF(A$6:A4199,"&lt;&gt;""",G$6:G4199)-SUMIF(A$6:A4199,"&lt;&gt;""",H$6:H4199),"")</f>
        <v/>
      </c>
    </row>
    <row r="4200">
      <c r="I4200">
        <f>IFERROR(SUMIF(A$6:A4200,"&lt;&gt;""",G$6:G4200)-SUMIF(A$6:A4200,"&lt;&gt;""",H$6:H4200),"")</f>
        <v/>
      </c>
    </row>
    <row r="4201">
      <c r="I4201">
        <f>IFERROR(SUMIF(A$6:A4201,"&lt;&gt;""",G$6:G4201)-SUMIF(A$6:A4201,"&lt;&gt;""",H$6:H4201),"")</f>
        <v/>
      </c>
    </row>
    <row r="4202">
      <c r="I4202">
        <f>IFERROR(SUMIF(A$6:A4202,"&lt;&gt;""",G$6:G4202)-SUMIF(A$6:A4202,"&lt;&gt;""",H$6:H4202),"")</f>
        <v/>
      </c>
    </row>
    <row r="4203">
      <c r="I4203">
        <f>IFERROR(SUMIF(A$6:A4203,"&lt;&gt;""",G$6:G4203)-SUMIF(A$6:A4203,"&lt;&gt;""",H$6:H4203),"")</f>
        <v/>
      </c>
    </row>
    <row r="4204">
      <c r="I4204">
        <f>IFERROR(SUMIF(A$6:A4204,"&lt;&gt;""",G$6:G4204)-SUMIF(A$6:A4204,"&lt;&gt;""",H$6:H4204),"")</f>
        <v/>
      </c>
    </row>
    <row r="4205">
      <c r="I4205">
        <f>IFERROR(SUMIF(A$6:A4205,"&lt;&gt;""",G$6:G4205)-SUMIF(A$6:A4205,"&lt;&gt;""",H$6:H4205),"")</f>
        <v/>
      </c>
    </row>
    <row r="4206">
      <c r="I4206">
        <f>IFERROR(SUMIF(A$6:A4206,"&lt;&gt;""",G$6:G4206)-SUMIF(A$6:A4206,"&lt;&gt;""",H$6:H4206),"")</f>
        <v/>
      </c>
    </row>
    <row r="4207">
      <c r="I4207">
        <f>IFERROR(SUMIF(A$6:A4207,"&lt;&gt;""",G$6:G4207)-SUMIF(A$6:A4207,"&lt;&gt;""",H$6:H4207),"")</f>
        <v/>
      </c>
    </row>
    <row r="4208">
      <c r="I4208">
        <f>IFERROR(SUMIF(A$6:A4208,"&lt;&gt;""",G$6:G4208)-SUMIF(A$6:A4208,"&lt;&gt;""",H$6:H4208),"")</f>
        <v/>
      </c>
    </row>
    <row r="4209">
      <c r="I4209">
        <f>IFERROR(SUMIF(A$6:A4209,"&lt;&gt;""",G$6:G4209)-SUMIF(A$6:A4209,"&lt;&gt;""",H$6:H4209),"")</f>
        <v/>
      </c>
    </row>
    <row r="4210">
      <c r="I4210">
        <f>IFERROR(SUMIF(A$6:A4210,"&lt;&gt;""",G$6:G4210)-SUMIF(A$6:A4210,"&lt;&gt;""",H$6:H4210),"")</f>
        <v/>
      </c>
    </row>
    <row r="4211">
      <c r="I4211">
        <f>IFERROR(SUMIF(A$6:A4211,"&lt;&gt;""",G$6:G4211)-SUMIF(A$6:A4211,"&lt;&gt;""",H$6:H4211),"")</f>
        <v/>
      </c>
    </row>
    <row r="4212">
      <c r="I4212">
        <f>IFERROR(SUMIF(A$6:A4212,"&lt;&gt;""",G$6:G4212)-SUMIF(A$6:A4212,"&lt;&gt;""",H$6:H4212),"")</f>
        <v/>
      </c>
    </row>
    <row r="4213">
      <c r="I4213">
        <f>IFERROR(SUMIF(A$6:A4213,"&lt;&gt;""",G$6:G4213)-SUMIF(A$6:A4213,"&lt;&gt;""",H$6:H4213),"")</f>
        <v/>
      </c>
    </row>
    <row r="4214">
      <c r="I4214">
        <f>IFERROR(SUMIF(A$6:A4214,"&lt;&gt;""",G$6:G4214)-SUMIF(A$6:A4214,"&lt;&gt;""",H$6:H4214),"")</f>
        <v/>
      </c>
    </row>
    <row r="4215">
      <c r="I4215">
        <f>IFERROR(SUMIF(A$6:A4215,"&lt;&gt;""",G$6:G4215)-SUMIF(A$6:A4215,"&lt;&gt;""",H$6:H4215),"")</f>
        <v/>
      </c>
    </row>
    <row r="4216">
      <c r="I4216">
        <f>IFERROR(SUMIF(A$6:A4216,"&lt;&gt;""",G$6:G4216)-SUMIF(A$6:A4216,"&lt;&gt;""",H$6:H4216),"")</f>
        <v/>
      </c>
    </row>
    <row r="4217">
      <c r="I4217">
        <f>IFERROR(SUMIF(A$6:A4217,"&lt;&gt;""",G$6:G4217)-SUMIF(A$6:A4217,"&lt;&gt;""",H$6:H4217),"")</f>
        <v/>
      </c>
    </row>
    <row r="4218">
      <c r="I4218">
        <f>IFERROR(SUMIF(A$6:A4218,"&lt;&gt;""",G$6:G4218)-SUMIF(A$6:A4218,"&lt;&gt;""",H$6:H4218),"")</f>
        <v/>
      </c>
    </row>
    <row r="4219">
      <c r="I4219">
        <f>IFERROR(SUMIF(A$6:A4219,"&lt;&gt;""",G$6:G4219)-SUMIF(A$6:A4219,"&lt;&gt;""",H$6:H4219),"")</f>
        <v/>
      </c>
    </row>
    <row r="4220">
      <c r="I4220">
        <f>IFERROR(SUMIF(A$6:A4220,"&lt;&gt;""",G$6:G4220)-SUMIF(A$6:A4220,"&lt;&gt;""",H$6:H4220),"")</f>
        <v/>
      </c>
    </row>
    <row r="4221">
      <c r="I4221">
        <f>IFERROR(SUMIF(A$6:A4221,"&lt;&gt;""",G$6:G4221)-SUMIF(A$6:A4221,"&lt;&gt;""",H$6:H4221),"")</f>
        <v/>
      </c>
    </row>
    <row r="4222">
      <c r="I4222">
        <f>IFERROR(SUMIF(A$6:A4222,"&lt;&gt;""",G$6:G4222)-SUMIF(A$6:A4222,"&lt;&gt;""",H$6:H4222),"")</f>
        <v/>
      </c>
    </row>
    <row r="4223">
      <c r="I4223">
        <f>IFERROR(SUMIF(A$6:A4223,"&lt;&gt;""",G$6:G4223)-SUMIF(A$6:A4223,"&lt;&gt;""",H$6:H4223),"")</f>
        <v/>
      </c>
    </row>
    <row r="4224">
      <c r="I4224">
        <f>IFERROR(SUMIF(A$6:A4224,"&lt;&gt;""",G$6:G4224)-SUMIF(A$6:A4224,"&lt;&gt;""",H$6:H4224),"")</f>
        <v/>
      </c>
    </row>
    <row r="4225">
      <c r="I4225">
        <f>IFERROR(SUMIF(A$6:A4225,"&lt;&gt;""",G$6:G4225)-SUMIF(A$6:A4225,"&lt;&gt;""",H$6:H4225),"")</f>
        <v/>
      </c>
    </row>
    <row r="4226">
      <c r="I4226">
        <f>IFERROR(SUMIF(A$6:A4226,"&lt;&gt;""",G$6:G4226)-SUMIF(A$6:A4226,"&lt;&gt;""",H$6:H4226),"")</f>
        <v/>
      </c>
    </row>
    <row r="4227">
      <c r="I4227">
        <f>IFERROR(SUMIF(A$6:A4227,"&lt;&gt;""",G$6:G4227)-SUMIF(A$6:A4227,"&lt;&gt;""",H$6:H4227),"")</f>
        <v/>
      </c>
    </row>
    <row r="4228">
      <c r="I4228">
        <f>IFERROR(SUMIF(A$6:A4228,"&lt;&gt;""",G$6:G4228)-SUMIF(A$6:A4228,"&lt;&gt;""",H$6:H4228),"")</f>
        <v/>
      </c>
    </row>
    <row r="4229">
      <c r="I4229">
        <f>IFERROR(SUMIF(A$6:A4229,"&lt;&gt;""",G$6:G4229)-SUMIF(A$6:A4229,"&lt;&gt;""",H$6:H4229),"")</f>
        <v/>
      </c>
    </row>
    <row r="4230">
      <c r="I4230">
        <f>IFERROR(SUMIF(A$6:A4230,"&lt;&gt;""",G$6:G4230)-SUMIF(A$6:A4230,"&lt;&gt;""",H$6:H4230),"")</f>
        <v/>
      </c>
    </row>
    <row r="4231">
      <c r="I4231">
        <f>IFERROR(SUMIF(A$6:A4231,"&lt;&gt;""",G$6:G4231)-SUMIF(A$6:A4231,"&lt;&gt;""",H$6:H4231),"")</f>
        <v/>
      </c>
    </row>
    <row r="4232">
      <c r="I4232">
        <f>IFERROR(SUMIF(A$6:A4232,"&lt;&gt;""",G$6:G4232)-SUMIF(A$6:A4232,"&lt;&gt;""",H$6:H4232),"")</f>
        <v/>
      </c>
    </row>
    <row r="4233">
      <c r="I4233">
        <f>IFERROR(SUMIF(A$6:A4233,"&lt;&gt;""",G$6:G4233)-SUMIF(A$6:A4233,"&lt;&gt;""",H$6:H4233),"")</f>
        <v/>
      </c>
    </row>
    <row r="4234">
      <c r="I4234">
        <f>IFERROR(SUMIF(A$6:A4234,"&lt;&gt;""",G$6:G4234)-SUMIF(A$6:A4234,"&lt;&gt;""",H$6:H4234),"")</f>
        <v/>
      </c>
    </row>
    <row r="4235">
      <c r="I4235">
        <f>IFERROR(SUMIF(A$6:A4235,"&lt;&gt;""",G$6:G4235)-SUMIF(A$6:A4235,"&lt;&gt;""",H$6:H4235),"")</f>
        <v/>
      </c>
    </row>
    <row r="4236">
      <c r="I4236">
        <f>IFERROR(SUMIF(A$6:A4236,"&lt;&gt;""",G$6:G4236)-SUMIF(A$6:A4236,"&lt;&gt;""",H$6:H4236),"")</f>
        <v/>
      </c>
    </row>
    <row r="4237">
      <c r="I4237">
        <f>IFERROR(SUMIF(A$6:A4237,"&lt;&gt;""",G$6:G4237)-SUMIF(A$6:A4237,"&lt;&gt;""",H$6:H4237),"")</f>
        <v/>
      </c>
    </row>
    <row r="4238">
      <c r="I4238">
        <f>IFERROR(SUMIF(A$6:A4238,"&lt;&gt;""",G$6:G4238)-SUMIF(A$6:A4238,"&lt;&gt;""",H$6:H4238),"")</f>
        <v/>
      </c>
    </row>
    <row r="4239">
      <c r="I4239">
        <f>IFERROR(SUMIF(A$6:A4239,"&lt;&gt;""",G$6:G4239)-SUMIF(A$6:A4239,"&lt;&gt;""",H$6:H4239),"")</f>
        <v/>
      </c>
    </row>
    <row r="4240">
      <c r="I4240">
        <f>IFERROR(SUMIF(A$6:A4240,"&lt;&gt;""",G$6:G4240)-SUMIF(A$6:A4240,"&lt;&gt;""",H$6:H4240),"")</f>
        <v/>
      </c>
    </row>
    <row r="4241">
      <c r="I4241">
        <f>IFERROR(SUMIF(A$6:A4241,"&lt;&gt;""",G$6:G4241)-SUMIF(A$6:A4241,"&lt;&gt;""",H$6:H4241),"")</f>
        <v/>
      </c>
    </row>
    <row r="4242">
      <c r="I4242">
        <f>IFERROR(SUMIF(A$6:A4242,"&lt;&gt;""",G$6:G4242)-SUMIF(A$6:A4242,"&lt;&gt;""",H$6:H4242),"")</f>
        <v/>
      </c>
    </row>
    <row r="4243">
      <c r="I4243">
        <f>IFERROR(SUMIF(A$6:A4243,"&lt;&gt;""",G$6:G4243)-SUMIF(A$6:A4243,"&lt;&gt;""",H$6:H4243),"")</f>
        <v/>
      </c>
    </row>
    <row r="4244">
      <c r="I4244">
        <f>IFERROR(SUMIF(A$6:A4244,"&lt;&gt;""",G$6:G4244)-SUMIF(A$6:A4244,"&lt;&gt;""",H$6:H4244),"")</f>
        <v/>
      </c>
    </row>
    <row r="4245">
      <c r="I4245">
        <f>IFERROR(SUMIF(A$6:A4245,"&lt;&gt;""",G$6:G4245)-SUMIF(A$6:A4245,"&lt;&gt;""",H$6:H4245),"")</f>
        <v/>
      </c>
    </row>
    <row r="4246">
      <c r="I4246">
        <f>IFERROR(SUMIF(A$6:A4246,"&lt;&gt;""",G$6:G4246)-SUMIF(A$6:A4246,"&lt;&gt;""",H$6:H4246),"")</f>
        <v/>
      </c>
    </row>
    <row r="4247">
      <c r="I4247">
        <f>IFERROR(SUMIF(A$6:A4247,"&lt;&gt;""",G$6:G4247)-SUMIF(A$6:A4247,"&lt;&gt;""",H$6:H4247),"")</f>
        <v/>
      </c>
    </row>
    <row r="4248">
      <c r="I4248">
        <f>IFERROR(SUMIF(A$6:A4248,"&lt;&gt;""",G$6:G4248)-SUMIF(A$6:A4248,"&lt;&gt;""",H$6:H4248),"")</f>
        <v/>
      </c>
    </row>
    <row r="4249">
      <c r="I4249">
        <f>IFERROR(SUMIF(A$6:A4249,"&lt;&gt;""",G$6:G4249)-SUMIF(A$6:A4249,"&lt;&gt;""",H$6:H4249),"")</f>
        <v/>
      </c>
    </row>
    <row r="4250">
      <c r="I4250">
        <f>IFERROR(SUMIF(A$6:A4250,"&lt;&gt;""",G$6:G4250)-SUMIF(A$6:A4250,"&lt;&gt;""",H$6:H4250),"")</f>
        <v/>
      </c>
    </row>
    <row r="4251">
      <c r="I4251">
        <f>IFERROR(SUMIF(A$6:A4251,"&lt;&gt;""",G$6:G4251)-SUMIF(A$6:A4251,"&lt;&gt;""",H$6:H4251),"")</f>
        <v/>
      </c>
    </row>
    <row r="4252">
      <c r="I4252">
        <f>IFERROR(SUMIF(A$6:A4252,"&lt;&gt;""",G$6:G4252)-SUMIF(A$6:A4252,"&lt;&gt;""",H$6:H4252),"")</f>
        <v/>
      </c>
    </row>
    <row r="4253">
      <c r="I4253">
        <f>IFERROR(SUMIF(A$6:A4253,"&lt;&gt;""",G$6:G4253)-SUMIF(A$6:A4253,"&lt;&gt;""",H$6:H4253),"")</f>
        <v/>
      </c>
    </row>
    <row r="4254">
      <c r="I4254">
        <f>IFERROR(SUMIF(A$6:A4254,"&lt;&gt;""",G$6:G4254)-SUMIF(A$6:A4254,"&lt;&gt;""",H$6:H4254),"")</f>
        <v/>
      </c>
    </row>
    <row r="4255">
      <c r="I4255">
        <f>IFERROR(SUMIF(A$6:A4255,"&lt;&gt;""",G$6:G4255)-SUMIF(A$6:A4255,"&lt;&gt;""",H$6:H4255),"")</f>
        <v/>
      </c>
    </row>
    <row r="4256">
      <c r="I4256">
        <f>IFERROR(SUMIF(A$6:A4256,"&lt;&gt;""",G$6:G4256)-SUMIF(A$6:A4256,"&lt;&gt;""",H$6:H4256),"")</f>
        <v/>
      </c>
    </row>
    <row r="4257">
      <c r="I4257">
        <f>IFERROR(SUMIF(A$6:A4257,"&lt;&gt;""",G$6:G4257)-SUMIF(A$6:A4257,"&lt;&gt;""",H$6:H4257),"")</f>
        <v/>
      </c>
    </row>
    <row r="4258">
      <c r="I4258">
        <f>IFERROR(SUMIF(A$6:A4258,"&lt;&gt;""",G$6:G4258)-SUMIF(A$6:A4258,"&lt;&gt;""",H$6:H4258),"")</f>
        <v/>
      </c>
    </row>
    <row r="4259">
      <c r="I4259">
        <f>IFERROR(SUMIF(A$6:A4259,"&lt;&gt;""",G$6:G4259)-SUMIF(A$6:A4259,"&lt;&gt;""",H$6:H4259),"")</f>
        <v/>
      </c>
    </row>
    <row r="4260">
      <c r="I4260">
        <f>IFERROR(SUMIF(A$6:A4260,"&lt;&gt;""",G$6:G4260)-SUMIF(A$6:A4260,"&lt;&gt;""",H$6:H4260),"")</f>
        <v/>
      </c>
    </row>
    <row r="4261">
      <c r="I4261">
        <f>IFERROR(SUMIF(A$6:A4261,"&lt;&gt;""",G$6:G4261)-SUMIF(A$6:A4261,"&lt;&gt;""",H$6:H4261),"")</f>
        <v/>
      </c>
    </row>
    <row r="4262">
      <c r="I4262">
        <f>IFERROR(SUMIF(A$6:A4262,"&lt;&gt;""",G$6:G4262)-SUMIF(A$6:A4262,"&lt;&gt;""",H$6:H4262),"")</f>
        <v/>
      </c>
    </row>
    <row r="4263">
      <c r="I4263">
        <f>IFERROR(SUMIF(A$6:A4263,"&lt;&gt;""",G$6:G4263)-SUMIF(A$6:A4263,"&lt;&gt;""",H$6:H4263),"")</f>
        <v/>
      </c>
    </row>
    <row r="4264">
      <c r="I4264">
        <f>IFERROR(SUMIF(A$6:A4264,"&lt;&gt;""",G$6:G4264)-SUMIF(A$6:A4264,"&lt;&gt;""",H$6:H4264),"")</f>
        <v/>
      </c>
    </row>
    <row r="4265">
      <c r="I4265">
        <f>IFERROR(SUMIF(A$6:A4265,"&lt;&gt;""",G$6:G4265)-SUMIF(A$6:A4265,"&lt;&gt;""",H$6:H4265),"")</f>
        <v/>
      </c>
    </row>
    <row r="4266">
      <c r="I4266">
        <f>IFERROR(SUMIF(A$6:A4266,"&lt;&gt;""",G$6:G4266)-SUMIF(A$6:A4266,"&lt;&gt;""",H$6:H4266),"")</f>
        <v/>
      </c>
    </row>
    <row r="4267">
      <c r="I4267">
        <f>IFERROR(SUMIF(A$6:A4267,"&lt;&gt;""",G$6:G4267)-SUMIF(A$6:A4267,"&lt;&gt;""",H$6:H4267),"")</f>
        <v/>
      </c>
    </row>
    <row r="4268">
      <c r="I4268">
        <f>IFERROR(SUMIF(A$6:A4268,"&lt;&gt;""",G$6:G4268)-SUMIF(A$6:A4268,"&lt;&gt;""",H$6:H4268),"")</f>
        <v/>
      </c>
    </row>
    <row r="4269">
      <c r="I4269">
        <f>IFERROR(SUMIF(A$6:A4269,"&lt;&gt;""",G$6:G4269)-SUMIF(A$6:A4269,"&lt;&gt;""",H$6:H4269),"")</f>
        <v/>
      </c>
    </row>
    <row r="4270">
      <c r="I4270">
        <f>IFERROR(SUMIF(A$6:A4270,"&lt;&gt;""",G$6:G4270)-SUMIF(A$6:A4270,"&lt;&gt;""",H$6:H4270),"")</f>
        <v/>
      </c>
    </row>
    <row r="4271">
      <c r="I4271">
        <f>IFERROR(SUMIF(A$6:A4271,"&lt;&gt;""",G$6:G4271)-SUMIF(A$6:A4271,"&lt;&gt;""",H$6:H4271),"")</f>
        <v/>
      </c>
    </row>
    <row r="4272">
      <c r="I4272">
        <f>IFERROR(SUMIF(A$6:A4272,"&lt;&gt;""",G$6:G4272)-SUMIF(A$6:A4272,"&lt;&gt;""",H$6:H4272),"")</f>
        <v/>
      </c>
    </row>
    <row r="4273">
      <c r="I4273">
        <f>IFERROR(SUMIF(A$6:A4273,"&lt;&gt;""",G$6:G4273)-SUMIF(A$6:A4273,"&lt;&gt;""",H$6:H4273),"")</f>
        <v/>
      </c>
    </row>
    <row r="4274">
      <c r="I4274">
        <f>IFERROR(SUMIF(A$6:A4274,"&lt;&gt;""",G$6:G4274)-SUMIF(A$6:A4274,"&lt;&gt;""",H$6:H4274),"")</f>
        <v/>
      </c>
    </row>
    <row r="4275">
      <c r="I4275">
        <f>IFERROR(SUMIF(A$6:A4275,"&lt;&gt;""",G$6:G4275)-SUMIF(A$6:A4275,"&lt;&gt;""",H$6:H4275),"")</f>
        <v/>
      </c>
    </row>
    <row r="4276">
      <c r="I4276">
        <f>IFERROR(SUMIF(A$6:A4276,"&lt;&gt;""",G$6:G4276)-SUMIF(A$6:A4276,"&lt;&gt;""",H$6:H4276),"")</f>
        <v/>
      </c>
    </row>
    <row r="4277">
      <c r="I4277">
        <f>IFERROR(SUMIF(A$6:A4277,"&lt;&gt;""",G$6:G4277)-SUMIF(A$6:A4277,"&lt;&gt;""",H$6:H4277),"")</f>
        <v/>
      </c>
    </row>
    <row r="4278">
      <c r="I4278">
        <f>IFERROR(SUMIF(A$6:A4278,"&lt;&gt;""",G$6:G4278)-SUMIF(A$6:A4278,"&lt;&gt;""",H$6:H4278),"")</f>
        <v/>
      </c>
    </row>
    <row r="4279">
      <c r="I4279">
        <f>IFERROR(SUMIF(A$6:A4279,"&lt;&gt;""",G$6:G4279)-SUMIF(A$6:A4279,"&lt;&gt;""",H$6:H4279),"")</f>
        <v/>
      </c>
    </row>
    <row r="4280">
      <c r="I4280">
        <f>IFERROR(SUMIF(A$6:A4280,"&lt;&gt;""",G$6:G4280)-SUMIF(A$6:A4280,"&lt;&gt;""",H$6:H4280),"")</f>
        <v/>
      </c>
    </row>
    <row r="4281">
      <c r="I4281">
        <f>IFERROR(SUMIF(A$6:A4281,"&lt;&gt;""",G$6:G4281)-SUMIF(A$6:A4281,"&lt;&gt;""",H$6:H4281),"")</f>
        <v/>
      </c>
    </row>
    <row r="4282">
      <c r="I4282">
        <f>IFERROR(SUMIF(A$6:A4282,"&lt;&gt;""",G$6:G4282)-SUMIF(A$6:A4282,"&lt;&gt;""",H$6:H4282),"")</f>
        <v/>
      </c>
    </row>
    <row r="4283">
      <c r="I4283">
        <f>IFERROR(SUMIF(A$6:A4283,"&lt;&gt;""",G$6:G4283)-SUMIF(A$6:A4283,"&lt;&gt;""",H$6:H4283),"")</f>
        <v/>
      </c>
    </row>
    <row r="4284">
      <c r="I4284">
        <f>IFERROR(SUMIF(A$6:A4284,"&lt;&gt;""",G$6:G4284)-SUMIF(A$6:A4284,"&lt;&gt;""",H$6:H4284),"")</f>
        <v/>
      </c>
    </row>
    <row r="4285">
      <c r="I4285">
        <f>IFERROR(SUMIF(A$6:A4285,"&lt;&gt;""",G$6:G4285)-SUMIF(A$6:A4285,"&lt;&gt;""",H$6:H4285),"")</f>
        <v/>
      </c>
    </row>
    <row r="4286">
      <c r="I4286">
        <f>IFERROR(SUMIF(A$6:A4286,"&lt;&gt;""",G$6:G4286)-SUMIF(A$6:A4286,"&lt;&gt;""",H$6:H4286),"")</f>
        <v/>
      </c>
    </row>
    <row r="4287">
      <c r="I4287">
        <f>IFERROR(SUMIF(A$6:A4287,"&lt;&gt;""",G$6:G4287)-SUMIF(A$6:A4287,"&lt;&gt;""",H$6:H4287),"")</f>
        <v/>
      </c>
    </row>
    <row r="4288">
      <c r="I4288">
        <f>IFERROR(SUMIF(A$6:A4288,"&lt;&gt;""",G$6:G4288)-SUMIF(A$6:A4288,"&lt;&gt;""",H$6:H4288),"")</f>
        <v/>
      </c>
    </row>
    <row r="4289">
      <c r="I4289">
        <f>IFERROR(SUMIF(A$6:A4289,"&lt;&gt;""",G$6:G4289)-SUMIF(A$6:A4289,"&lt;&gt;""",H$6:H4289),"")</f>
        <v/>
      </c>
    </row>
    <row r="4290">
      <c r="I4290">
        <f>IFERROR(SUMIF(A$6:A4290,"&lt;&gt;""",G$6:G4290)-SUMIF(A$6:A4290,"&lt;&gt;""",H$6:H4290),"")</f>
        <v/>
      </c>
    </row>
    <row r="4291">
      <c r="I4291">
        <f>IFERROR(SUMIF(A$6:A4291,"&lt;&gt;""",G$6:G4291)-SUMIF(A$6:A4291,"&lt;&gt;""",H$6:H4291),"")</f>
        <v/>
      </c>
    </row>
    <row r="4292">
      <c r="I4292">
        <f>IFERROR(SUMIF(A$6:A4292,"&lt;&gt;""",G$6:G4292)-SUMIF(A$6:A4292,"&lt;&gt;""",H$6:H4292),"")</f>
        <v/>
      </c>
    </row>
    <row r="4293">
      <c r="I4293">
        <f>IFERROR(SUMIF(A$6:A4293,"&lt;&gt;""",G$6:G4293)-SUMIF(A$6:A4293,"&lt;&gt;""",H$6:H4293),"")</f>
        <v/>
      </c>
    </row>
    <row r="4294">
      <c r="I4294">
        <f>IFERROR(SUMIF(A$6:A4294,"&lt;&gt;""",G$6:G4294)-SUMIF(A$6:A4294,"&lt;&gt;""",H$6:H4294),"")</f>
        <v/>
      </c>
    </row>
    <row r="4295">
      <c r="I4295">
        <f>IFERROR(SUMIF(A$6:A4295,"&lt;&gt;""",G$6:G4295)-SUMIF(A$6:A4295,"&lt;&gt;""",H$6:H4295),"")</f>
        <v/>
      </c>
    </row>
    <row r="4296">
      <c r="I4296">
        <f>IFERROR(SUMIF(A$6:A4296,"&lt;&gt;""",G$6:G4296)-SUMIF(A$6:A4296,"&lt;&gt;""",H$6:H4296),"")</f>
        <v/>
      </c>
    </row>
    <row r="4297">
      <c r="I4297">
        <f>IFERROR(SUMIF(A$6:A4297,"&lt;&gt;""",G$6:G4297)-SUMIF(A$6:A4297,"&lt;&gt;""",H$6:H4297),"")</f>
        <v/>
      </c>
    </row>
    <row r="4298">
      <c r="I4298">
        <f>IFERROR(SUMIF(A$6:A4298,"&lt;&gt;""",G$6:G4298)-SUMIF(A$6:A4298,"&lt;&gt;""",H$6:H4298),"")</f>
        <v/>
      </c>
    </row>
    <row r="4299">
      <c r="I4299">
        <f>IFERROR(SUMIF(A$6:A4299,"&lt;&gt;""",G$6:G4299)-SUMIF(A$6:A4299,"&lt;&gt;""",H$6:H4299),"")</f>
        <v/>
      </c>
    </row>
    <row r="4300">
      <c r="I4300">
        <f>IFERROR(SUMIF(A$6:A4300,"&lt;&gt;""",G$6:G4300)-SUMIF(A$6:A4300,"&lt;&gt;""",H$6:H4300),"")</f>
        <v/>
      </c>
    </row>
    <row r="4301">
      <c r="I4301">
        <f>IFERROR(SUMIF(A$6:A4301,"&lt;&gt;""",G$6:G4301)-SUMIF(A$6:A4301,"&lt;&gt;""",H$6:H4301),"")</f>
        <v/>
      </c>
    </row>
    <row r="4302">
      <c r="I4302">
        <f>IFERROR(SUMIF(A$6:A4302,"&lt;&gt;""",G$6:G4302)-SUMIF(A$6:A4302,"&lt;&gt;""",H$6:H4302),"")</f>
        <v/>
      </c>
    </row>
    <row r="4303">
      <c r="I4303">
        <f>IFERROR(SUMIF(A$6:A4303,"&lt;&gt;""",G$6:G4303)-SUMIF(A$6:A4303,"&lt;&gt;""",H$6:H4303),"")</f>
        <v/>
      </c>
    </row>
    <row r="4304">
      <c r="I4304">
        <f>IFERROR(SUMIF(A$6:A4304,"&lt;&gt;""",G$6:G4304)-SUMIF(A$6:A4304,"&lt;&gt;""",H$6:H4304),"")</f>
        <v/>
      </c>
    </row>
    <row r="4305">
      <c r="I4305">
        <f>IFERROR(SUMIF(A$6:A4305,"&lt;&gt;""",G$6:G4305)-SUMIF(A$6:A4305,"&lt;&gt;""",H$6:H4305),"")</f>
        <v/>
      </c>
    </row>
    <row r="4306">
      <c r="I4306">
        <f>IFERROR(SUMIF(A$6:A4306,"&lt;&gt;""",G$6:G4306)-SUMIF(A$6:A4306,"&lt;&gt;""",H$6:H4306),"")</f>
        <v/>
      </c>
    </row>
    <row r="4307">
      <c r="I4307">
        <f>IFERROR(SUMIF(A$6:A4307,"&lt;&gt;""",G$6:G4307)-SUMIF(A$6:A4307,"&lt;&gt;""",H$6:H4307),"")</f>
        <v/>
      </c>
    </row>
    <row r="4308">
      <c r="I4308">
        <f>IFERROR(SUMIF(A$6:A4308,"&lt;&gt;""",G$6:G4308)-SUMIF(A$6:A4308,"&lt;&gt;""",H$6:H4308),"")</f>
        <v/>
      </c>
    </row>
    <row r="4309">
      <c r="I4309">
        <f>IFERROR(SUMIF(A$6:A4309,"&lt;&gt;""",G$6:G4309)-SUMIF(A$6:A4309,"&lt;&gt;""",H$6:H4309),"")</f>
        <v/>
      </c>
    </row>
    <row r="4310">
      <c r="I4310">
        <f>IFERROR(SUMIF(A$6:A4310,"&lt;&gt;""",G$6:G4310)-SUMIF(A$6:A4310,"&lt;&gt;""",H$6:H4310),"")</f>
        <v/>
      </c>
    </row>
    <row r="4311">
      <c r="I4311">
        <f>IFERROR(SUMIF(A$6:A4311,"&lt;&gt;""",G$6:G4311)-SUMIF(A$6:A4311,"&lt;&gt;""",H$6:H4311),"")</f>
        <v/>
      </c>
    </row>
    <row r="4312">
      <c r="I4312">
        <f>IFERROR(SUMIF(A$6:A4312,"&lt;&gt;""",G$6:G4312)-SUMIF(A$6:A4312,"&lt;&gt;""",H$6:H4312),"")</f>
        <v/>
      </c>
    </row>
    <row r="4313">
      <c r="I4313">
        <f>IFERROR(SUMIF(A$6:A4313,"&lt;&gt;""",G$6:G4313)-SUMIF(A$6:A4313,"&lt;&gt;""",H$6:H4313),"")</f>
        <v/>
      </c>
    </row>
    <row r="4314">
      <c r="I4314">
        <f>IFERROR(SUMIF(A$6:A4314,"&lt;&gt;""",G$6:G4314)-SUMIF(A$6:A4314,"&lt;&gt;""",H$6:H4314),"")</f>
        <v/>
      </c>
    </row>
    <row r="4315">
      <c r="I4315">
        <f>IFERROR(SUMIF(A$6:A4315,"&lt;&gt;""",G$6:G4315)-SUMIF(A$6:A4315,"&lt;&gt;""",H$6:H4315),"")</f>
        <v/>
      </c>
    </row>
    <row r="4316">
      <c r="I4316">
        <f>IFERROR(SUMIF(A$6:A4316,"&lt;&gt;""",G$6:G4316)-SUMIF(A$6:A4316,"&lt;&gt;""",H$6:H4316),"")</f>
        <v/>
      </c>
    </row>
    <row r="4317">
      <c r="I4317">
        <f>IFERROR(SUMIF(A$6:A4317,"&lt;&gt;""",G$6:G4317)-SUMIF(A$6:A4317,"&lt;&gt;""",H$6:H4317),"")</f>
        <v/>
      </c>
    </row>
    <row r="4318">
      <c r="I4318">
        <f>IFERROR(SUMIF(A$6:A4318,"&lt;&gt;""",G$6:G4318)-SUMIF(A$6:A4318,"&lt;&gt;""",H$6:H4318),"")</f>
        <v/>
      </c>
    </row>
    <row r="4319">
      <c r="I4319">
        <f>IFERROR(SUMIF(A$6:A4319,"&lt;&gt;""",G$6:G4319)-SUMIF(A$6:A4319,"&lt;&gt;""",H$6:H4319),"")</f>
        <v/>
      </c>
    </row>
    <row r="4320">
      <c r="I4320">
        <f>IFERROR(SUMIF(A$6:A4320,"&lt;&gt;""",G$6:G4320)-SUMIF(A$6:A4320,"&lt;&gt;""",H$6:H4320),"")</f>
        <v/>
      </c>
    </row>
    <row r="4321">
      <c r="I4321">
        <f>IFERROR(SUMIF(A$6:A4321,"&lt;&gt;""",G$6:G4321)-SUMIF(A$6:A4321,"&lt;&gt;""",H$6:H4321),"")</f>
        <v/>
      </c>
    </row>
    <row r="4322">
      <c r="I4322">
        <f>IFERROR(SUMIF(A$6:A4322,"&lt;&gt;""",G$6:G4322)-SUMIF(A$6:A4322,"&lt;&gt;""",H$6:H4322),"")</f>
        <v/>
      </c>
    </row>
    <row r="4323">
      <c r="I4323">
        <f>IFERROR(SUMIF(A$6:A4323,"&lt;&gt;""",G$6:G4323)-SUMIF(A$6:A4323,"&lt;&gt;""",H$6:H4323),"")</f>
        <v/>
      </c>
    </row>
    <row r="4324">
      <c r="I4324">
        <f>IFERROR(SUMIF(A$6:A4324,"&lt;&gt;""",G$6:G4324)-SUMIF(A$6:A4324,"&lt;&gt;""",H$6:H4324),"")</f>
        <v/>
      </c>
    </row>
    <row r="4325">
      <c r="I4325">
        <f>IFERROR(SUMIF(A$6:A4325,"&lt;&gt;""",G$6:G4325)-SUMIF(A$6:A4325,"&lt;&gt;""",H$6:H4325),"")</f>
        <v/>
      </c>
    </row>
    <row r="4326">
      <c r="I4326">
        <f>IFERROR(SUMIF(A$6:A4326,"&lt;&gt;""",G$6:G4326)-SUMIF(A$6:A4326,"&lt;&gt;""",H$6:H4326),"")</f>
        <v/>
      </c>
    </row>
    <row r="4327">
      <c r="I4327">
        <f>IFERROR(SUMIF(A$6:A4327,"&lt;&gt;""",G$6:G4327)-SUMIF(A$6:A4327,"&lt;&gt;""",H$6:H4327),"")</f>
        <v/>
      </c>
    </row>
    <row r="4328">
      <c r="I4328">
        <f>IFERROR(SUMIF(A$6:A4328,"&lt;&gt;""",G$6:G4328)-SUMIF(A$6:A4328,"&lt;&gt;""",H$6:H4328),"")</f>
        <v/>
      </c>
    </row>
    <row r="4329">
      <c r="I4329">
        <f>IFERROR(SUMIF(A$6:A4329,"&lt;&gt;""",G$6:G4329)-SUMIF(A$6:A4329,"&lt;&gt;""",H$6:H4329),"")</f>
        <v/>
      </c>
    </row>
    <row r="4330">
      <c r="I4330">
        <f>IFERROR(SUMIF(A$6:A4330,"&lt;&gt;""",G$6:G4330)-SUMIF(A$6:A4330,"&lt;&gt;""",H$6:H4330),"")</f>
        <v/>
      </c>
    </row>
    <row r="4331">
      <c r="I4331">
        <f>IFERROR(SUMIF(A$6:A4331,"&lt;&gt;""",G$6:G4331)-SUMIF(A$6:A4331,"&lt;&gt;""",H$6:H4331),"")</f>
        <v/>
      </c>
    </row>
    <row r="4332">
      <c r="I4332">
        <f>IFERROR(SUMIF(A$6:A4332,"&lt;&gt;""",G$6:G4332)-SUMIF(A$6:A4332,"&lt;&gt;""",H$6:H4332),"")</f>
        <v/>
      </c>
    </row>
    <row r="4333">
      <c r="I4333">
        <f>IFERROR(SUMIF(A$6:A4333,"&lt;&gt;""",G$6:G4333)-SUMIF(A$6:A4333,"&lt;&gt;""",H$6:H4333),"")</f>
        <v/>
      </c>
    </row>
    <row r="4334">
      <c r="I4334">
        <f>IFERROR(SUMIF(A$6:A4334,"&lt;&gt;""",G$6:G4334)-SUMIF(A$6:A4334,"&lt;&gt;""",H$6:H4334),"")</f>
        <v/>
      </c>
    </row>
    <row r="4335">
      <c r="I4335">
        <f>IFERROR(SUMIF(A$6:A4335,"&lt;&gt;""",G$6:G4335)-SUMIF(A$6:A4335,"&lt;&gt;""",H$6:H4335),"")</f>
        <v/>
      </c>
    </row>
    <row r="4336">
      <c r="I4336">
        <f>IFERROR(SUMIF(A$6:A4336,"&lt;&gt;""",G$6:G4336)-SUMIF(A$6:A4336,"&lt;&gt;""",H$6:H4336),"")</f>
        <v/>
      </c>
    </row>
    <row r="4337">
      <c r="I4337">
        <f>IFERROR(SUMIF(A$6:A4337,"&lt;&gt;""",G$6:G4337)-SUMIF(A$6:A4337,"&lt;&gt;""",H$6:H4337),"")</f>
        <v/>
      </c>
    </row>
    <row r="4338">
      <c r="I4338">
        <f>IFERROR(SUMIF(A$6:A4338,"&lt;&gt;""",G$6:G4338)-SUMIF(A$6:A4338,"&lt;&gt;""",H$6:H4338),"")</f>
        <v/>
      </c>
    </row>
    <row r="4339">
      <c r="I4339">
        <f>IFERROR(SUMIF(A$6:A4339,"&lt;&gt;""",G$6:G4339)-SUMIF(A$6:A4339,"&lt;&gt;""",H$6:H4339),"")</f>
        <v/>
      </c>
    </row>
    <row r="4340">
      <c r="I4340">
        <f>IFERROR(SUMIF(A$6:A4340,"&lt;&gt;""",G$6:G4340)-SUMIF(A$6:A4340,"&lt;&gt;""",H$6:H4340),"")</f>
        <v/>
      </c>
    </row>
    <row r="4341">
      <c r="I4341">
        <f>IFERROR(SUMIF(A$6:A4341,"&lt;&gt;""",G$6:G4341)-SUMIF(A$6:A4341,"&lt;&gt;""",H$6:H4341),"")</f>
        <v/>
      </c>
    </row>
    <row r="4342">
      <c r="I4342">
        <f>IFERROR(SUMIF(A$6:A4342,"&lt;&gt;""",G$6:G4342)-SUMIF(A$6:A4342,"&lt;&gt;""",H$6:H4342),"")</f>
        <v/>
      </c>
    </row>
    <row r="4343">
      <c r="I4343">
        <f>IFERROR(SUMIF(A$6:A4343,"&lt;&gt;""",G$6:G4343)-SUMIF(A$6:A4343,"&lt;&gt;""",H$6:H4343),"")</f>
        <v/>
      </c>
    </row>
    <row r="4344">
      <c r="I4344">
        <f>IFERROR(SUMIF(A$6:A4344,"&lt;&gt;""",G$6:G4344)-SUMIF(A$6:A4344,"&lt;&gt;""",H$6:H4344),"")</f>
        <v/>
      </c>
    </row>
    <row r="4345">
      <c r="I4345">
        <f>IFERROR(SUMIF(A$6:A4345,"&lt;&gt;""",G$6:G4345)-SUMIF(A$6:A4345,"&lt;&gt;""",H$6:H4345),"")</f>
        <v/>
      </c>
    </row>
    <row r="4346">
      <c r="I4346">
        <f>IFERROR(SUMIF(A$6:A4346,"&lt;&gt;""",G$6:G4346)-SUMIF(A$6:A4346,"&lt;&gt;""",H$6:H4346),"")</f>
        <v/>
      </c>
    </row>
    <row r="4347">
      <c r="I4347">
        <f>IFERROR(SUMIF(A$6:A4347,"&lt;&gt;""",G$6:G4347)-SUMIF(A$6:A4347,"&lt;&gt;""",H$6:H4347),"")</f>
        <v/>
      </c>
    </row>
    <row r="4348">
      <c r="I4348">
        <f>IFERROR(SUMIF(A$6:A4348,"&lt;&gt;""",G$6:G4348)-SUMIF(A$6:A4348,"&lt;&gt;""",H$6:H4348),"")</f>
        <v/>
      </c>
    </row>
    <row r="4349">
      <c r="I4349">
        <f>IFERROR(SUMIF(A$6:A4349,"&lt;&gt;""",G$6:G4349)-SUMIF(A$6:A4349,"&lt;&gt;""",H$6:H4349),"")</f>
        <v/>
      </c>
    </row>
    <row r="4350">
      <c r="I4350">
        <f>IFERROR(SUMIF(A$6:A4350,"&lt;&gt;""",G$6:G4350)-SUMIF(A$6:A4350,"&lt;&gt;""",H$6:H4350),"")</f>
        <v/>
      </c>
    </row>
    <row r="4351">
      <c r="I4351">
        <f>IFERROR(SUMIF(A$6:A4351,"&lt;&gt;""",G$6:G4351)-SUMIF(A$6:A4351,"&lt;&gt;""",H$6:H4351),"")</f>
        <v/>
      </c>
    </row>
    <row r="4352">
      <c r="I4352">
        <f>IFERROR(SUMIF(A$6:A4352,"&lt;&gt;""",G$6:G4352)-SUMIF(A$6:A4352,"&lt;&gt;""",H$6:H4352),"")</f>
        <v/>
      </c>
    </row>
    <row r="4353">
      <c r="I4353">
        <f>IFERROR(SUMIF(A$6:A4353,"&lt;&gt;""",G$6:G4353)-SUMIF(A$6:A4353,"&lt;&gt;""",H$6:H4353),"")</f>
        <v/>
      </c>
    </row>
    <row r="4354">
      <c r="I4354">
        <f>IFERROR(SUMIF(A$6:A4354,"&lt;&gt;""",G$6:G4354)-SUMIF(A$6:A4354,"&lt;&gt;""",H$6:H4354),"")</f>
        <v/>
      </c>
    </row>
    <row r="4355">
      <c r="I4355">
        <f>IFERROR(SUMIF(A$6:A4355,"&lt;&gt;""",G$6:G4355)-SUMIF(A$6:A4355,"&lt;&gt;""",H$6:H4355),"")</f>
        <v/>
      </c>
    </row>
    <row r="4356">
      <c r="I4356">
        <f>IFERROR(SUMIF(A$6:A4356,"&lt;&gt;""",G$6:G4356)-SUMIF(A$6:A4356,"&lt;&gt;""",H$6:H4356),"")</f>
        <v/>
      </c>
    </row>
    <row r="4357">
      <c r="I4357">
        <f>IFERROR(SUMIF(A$6:A4357,"&lt;&gt;""",G$6:G4357)-SUMIF(A$6:A4357,"&lt;&gt;""",H$6:H4357),"")</f>
        <v/>
      </c>
    </row>
    <row r="4358">
      <c r="I4358">
        <f>IFERROR(SUMIF(A$6:A4358,"&lt;&gt;""",G$6:G4358)-SUMIF(A$6:A4358,"&lt;&gt;""",H$6:H4358),"")</f>
        <v/>
      </c>
    </row>
    <row r="4359">
      <c r="I4359">
        <f>IFERROR(SUMIF(A$6:A4359,"&lt;&gt;""",G$6:G4359)-SUMIF(A$6:A4359,"&lt;&gt;""",H$6:H4359),"")</f>
        <v/>
      </c>
    </row>
    <row r="4360">
      <c r="I4360">
        <f>IFERROR(SUMIF(A$6:A4360,"&lt;&gt;""",G$6:G4360)-SUMIF(A$6:A4360,"&lt;&gt;""",H$6:H4360),"")</f>
        <v/>
      </c>
    </row>
    <row r="4361">
      <c r="I4361">
        <f>IFERROR(SUMIF(A$6:A4361,"&lt;&gt;""",G$6:G4361)-SUMIF(A$6:A4361,"&lt;&gt;""",H$6:H4361),"")</f>
        <v/>
      </c>
    </row>
    <row r="4362">
      <c r="I4362">
        <f>IFERROR(SUMIF(A$6:A4362,"&lt;&gt;""",G$6:G4362)-SUMIF(A$6:A4362,"&lt;&gt;""",H$6:H4362),"")</f>
        <v/>
      </c>
    </row>
    <row r="4363">
      <c r="I4363">
        <f>IFERROR(SUMIF(A$6:A4363,"&lt;&gt;""",G$6:G4363)-SUMIF(A$6:A4363,"&lt;&gt;""",H$6:H4363),"")</f>
        <v/>
      </c>
    </row>
    <row r="4364">
      <c r="I4364">
        <f>IFERROR(SUMIF(A$6:A4364,"&lt;&gt;""",G$6:G4364)-SUMIF(A$6:A4364,"&lt;&gt;""",H$6:H4364),"")</f>
        <v/>
      </c>
    </row>
    <row r="4365">
      <c r="I4365">
        <f>IFERROR(SUMIF(A$6:A4365,"&lt;&gt;""",G$6:G4365)-SUMIF(A$6:A4365,"&lt;&gt;""",H$6:H4365),"")</f>
        <v/>
      </c>
    </row>
    <row r="4366">
      <c r="I4366">
        <f>IFERROR(SUMIF(A$6:A4366,"&lt;&gt;""",G$6:G4366)-SUMIF(A$6:A4366,"&lt;&gt;""",H$6:H4366),"")</f>
        <v/>
      </c>
    </row>
    <row r="4367">
      <c r="I4367">
        <f>IFERROR(SUMIF(A$6:A4367,"&lt;&gt;""",G$6:G4367)-SUMIF(A$6:A4367,"&lt;&gt;""",H$6:H4367),"")</f>
        <v/>
      </c>
    </row>
    <row r="4368">
      <c r="I4368">
        <f>IFERROR(SUMIF(A$6:A4368,"&lt;&gt;""",G$6:G4368)-SUMIF(A$6:A4368,"&lt;&gt;""",H$6:H4368),"")</f>
        <v/>
      </c>
    </row>
    <row r="4369">
      <c r="I4369">
        <f>IFERROR(SUMIF(A$6:A4369,"&lt;&gt;""",G$6:G4369)-SUMIF(A$6:A4369,"&lt;&gt;""",H$6:H4369),"")</f>
        <v/>
      </c>
    </row>
    <row r="4370">
      <c r="I4370">
        <f>IFERROR(SUMIF(A$6:A4370,"&lt;&gt;""",G$6:G4370)-SUMIF(A$6:A4370,"&lt;&gt;""",H$6:H4370),"")</f>
        <v/>
      </c>
    </row>
    <row r="4371">
      <c r="I4371">
        <f>IFERROR(SUMIF(A$6:A4371,"&lt;&gt;""",G$6:G4371)-SUMIF(A$6:A4371,"&lt;&gt;""",H$6:H4371),"")</f>
        <v/>
      </c>
    </row>
    <row r="4372">
      <c r="I4372">
        <f>IFERROR(SUMIF(A$6:A4372,"&lt;&gt;""",G$6:G4372)-SUMIF(A$6:A4372,"&lt;&gt;""",H$6:H4372),"")</f>
        <v/>
      </c>
    </row>
    <row r="4373">
      <c r="I4373">
        <f>IFERROR(SUMIF(A$6:A4373,"&lt;&gt;""",G$6:G4373)-SUMIF(A$6:A4373,"&lt;&gt;""",H$6:H4373),"")</f>
        <v/>
      </c>
    </row>
    <row r="4374">
      <c r="I4374">
        <f>IFERROR(SUMIF(A$6:A4374,"&lt;&gt;""",G$6:G4374)-SUMIF(A$6:A4374,"&lt;&gt;""",H$6:H4374),"")</f>
        <v/>
      </c>
    </row>
    <row r="4375">
      <c r="I4375">
        <f>IFERROR(SUMIF(A$6:A4375,"&lt;&gt;""",G$6:G4375)-SUMIF(A$6:A4375,"&lt;&gt;""",H$6:H4375),"")</f>
        <v/>
      </c>
    </row>
    <row r="4376">
      <c r="I4376">
        <f>IFERROR(SUMIF(A$6:A4376,"&lt;&gt;""",G$6:G4376)-SUMIF(A$6:A4376,"&lt;&gt;""",H$6:H4376),"")</f>
        <v/>
      </c>
    </row>
    <row r="4377">
      <c r="I4377">
        <f>IFERROR(SUMIF(A$6:A4377,"&lt;&gt;""",G$6:G4377)-SUMIF(A$6:A4377,"&lt;&gt;""",H$6:H4377),"")</f>
        <v/>
      </c>
    </row>
    <row r="4378">
      <c r="I4378">
        <f>IFERROR(SUMIF(A$6:A4378,"&lt;&gt;""",G$6:G4378)-SUMIF(A$6:A4378,"&lt;&gt;""",H$6:H4378),"")</f>
        <v/>
      </c>
    </row>
    <row r="4379">
      <c r="I4379">
        <f>IFERROR(SUMIF(A$6:A4379,"&lt;&gt;""",G$6:G4379)-SUMIF(A$6:A4379,"&lt;&gt;""",H$6:H4379),"")</f>
        <v/>
      </c>
    </row>
    <row r="4380">
      <c r="I4380">
        <f>IFERROR(SUMIF(A$6:A4380,"&lt;&gt;""",G$6:G4380)-SUMIF(A$6:A4380,"&lt;&gt;""",H$6:H4380),"")</f>
        <v/>
      </c>
    </row>
    <row r="4381">
      <c r="I4381">
        <f>IFERROR(SUMIF(A$6:A4381,"&lt;&gt;""",G$6:G4381)-SUMIF(A$6:A4381,"&lt;&gt;""",H$6:H4381),"")</f>
        <v/>
      </c>
    </row>
    <row r="4382">
      <c r="I4382">
        <f>IFERROR(SUMIF(A$6:A4382,"&lt;&gt;""",G$6:G4382)-SUMIF(A$6:A4382,"&lt;&gt;""",H$6:H4382),"")</f>
        <v/>
      </c>
    </row>
    <row r="4383">
      <c r="I4383">
        <f>IFERROR(SUMIF(A$6:A4383,"&lt;&gt;""",G$6:G4383)-SUMIF(A$6:A4383,"&lt;&gt;""",H$6:H4383),"")</f>
        <v/>
      </c>
    </row>
    <row r="4384">
      <c r="I4384">
        <f>IFERROR(SUMIF(A$6:A4384,"&lt;&gt;""",G$6:G4384)-SUMIF(A$6:A4384,"&lt;&gt;""",H$6:H4384),"")</f>
        <v/>
      </c>
    </row>
    <row r="4385">
      <c r="I4385">
        <f>IFERROR(SUMIF(A$6:A4385,"&lt;&gt;""",G$6:G4385)-SUMIF(A$6:A4385,"&lt;&gt;""",H$6:H4385),"")</f>
        <v/>
      </c>
    </row>
    <row r="4386">
      <c r="I4386">
        <f>IFERROR(SUMIF(A$6:A4386,"&lt;&gt;""",G$6:G4386)-SUMIF(A$6:A4386,"&lt;&gt;""",H$6:H4386),"")</f>
        <v/>
      </c>
    </row>
    <row r="4387">
      <c r="I4387">
        <f>IFERROR(SUMIF(A$6:A4387,"&lt;&gt;""",G$6:G4387)-SUMIF(A$6:A4387,"&lt;&gt;""",H$6:H4387),"")</f>
        <v/>
      </c>
    </row>
    <row r="4388">
      <c r="I4388">
        <f>IFERROR(SUMIF(A$6:A4388,"&lt;&gt;""",G$6:G4388)-SUMIF(A$6:A4388,"&lt;&gt;""",H$6:H4388),"")</f>
        <v/>
      </c>
    </row>
    <row r="4389">
      <c r="I4389">
        <f>IFERROR(SUMIF(A$6:A4389,"&lt;&gt;""",G$6:G4389)-SUMIF(A$6:A4389,"&lt;&gt;""",H$6:H4389),"")</f>
        <v/>
      </c>
    </row>
    <row r="4390">
      <c r="I4390">
        <f>IFERROR(SUMIF(A$6:A4390,"&lt;&gt;""",G$6:G4390)-SUMIF(A$6:A4390,"&lt;&gt;""",H$6:H4390),"")</f>
        <v/>
      </c>
    </row>
    <row r="4391">
      <c r="I4391">
        <f>IFERROR(SUMIF(A$6:A4391,"&lt;&gt;""",G$6:G4391)-SUMIF(A$6:A4391,"&lt;&gt;""",H$6:H4391),"")</f>
        <v/>
      </c>
    </row>
    <row r="4392">
      <c r="I4392">
        <f>IFERROR(SUMIF(A$6:A4392,"&lt;&gt;""",G$6:G4392)-SUMIF(A$6:A4392,"&lt;&gt;""",H$6:H4392),"")</f>
        <v/>
      </c>
    </row>
    <row r="4393">
      <c r="I4393">
        <f>IFERROR(SUMIF(A$6:A4393,"&lt;&gt;""",G$6:G4393)-SUMIF(A$6:A4393,"&lt;&gt;""",H$6:H4393),"")</f>
        <v/>
      </c>
    </row>
    <row r="4394">
      <c r="I4394">
        <f>IFERROR(SUMIF(A$6:A4394,"&lt;&gt;""",G$6:G4394)-SUMIF(A$6:A4394,"&lt;&gt;""",H$6:H4394),"")</f>
        <v/>
      </c>
    </row>
    <row r="4395">
      <c r="I4395">
        <f>IFERROR(SUMIF(A$6:A4395,"&lt;&gt;""",G$6:G4395)-SUMIF(A$6:A4395,"&lt;&gt;""",H$6:H4395),"")</f>
        <v/>
      </c>
    </row>
    <row r="4396">
      <c r="I4396">
        <f>IFERROR(SUMIF(A$6:A4396,"&lt;&gt;""",G$6:G4396)-SUMIF(A$6:A4396,"&lt;&gt;""",H$6:H4396),"")</f>
        <v/>
      </c>
    </row>
    <row r="4397">
      <c r="I4397">
        <f>IFERROR(SUMIF(A$6:A4397,"&lt;&gt;""",G$6:G4397)-SUMIF(A$6:A4397,"&lt;&gt;""",H$6:H4397),"")</f>
        <v/>
      </c>
    </row>
    <row r="4398">
      <c r="I4398">
        <f>IFERROR(SUMIF(A$6:A4398,"&lt;&gt;""",G$6:G4398)-SUMIF(A$6:A4398,"&lt;&gt;""",H$6:H4398),"")</f>
        <v/>
      </c>
    </row>
    <row r="4399">
      <c r="I4399">
        <f>IFERROR(SUMIF(A$6:A4399,"&lt;&gt;""",G$6:G4399)-SUMIF(A$6:A4399,"&lt;&gt;""",H$6:H4399),"")</f>
        <v/>
      </c>
    </row>
    <row r="4400">
      <c r="I4400">
        <f>IFERROR(SUMIF(A$6:A4400,"&lt;&gt;""",G$6:G4400)-SUMIF(A$6:A4400,"&lt;&gt;""",H$6:H4400),"")</f>
        <v/>
      </c>
    </row>
    <row r="4401">
      <c r="I4401">
        <f>IFERROR(SUMIF(A$6:A4401,"&lt;&gt;""",G$6:G4401)-SUMIF(A$6:A4401,"&lt;&gt;""",H$6:H4401),"")</f>
        <v/>
      </c>
    </row>
    <row r="4402">
      <c r="I4402">
        <f>IFERROR(SUMIF(A$6:A4402,"&lt;&gt;""",G$6:G4402)-SUMIF(A$6:A4402,"&lt;&gt;""",H$6:H4402),"")</f>
        <v/>
      </c>
    </row>
    <row r="4403">
      <c r="I4403">
        <f>IFERROR(SUMIF(A$6:A4403,"&lt;&gt;""",G$6:G4403)-SUMIF(A$6:A4403,"&lt;&gt;""",H$6:H4403),"")</f>
        <v/>
      </c>
    </row>
    <row r="4404">
      <c r="I4404">
        <f>IFERROR(SUMIF(A$6:A4404,"&lt;&gt;""",G$6:G4404)-SUMIF(A$6:A4404,"&lt;&gt;""",H$6:H4404),"")</f>
        <v/>
      </c>
    </row>
    <row r="4405">
      <c r="I4405">
        <f>IFERROR(SUMIF(A$6:A4405,"&lt;&gt;""",G$6:G4405)-SUMIF(A$6:A4405,"&lt;&gt;""",H$6:H4405),"")</f>
        <v/>
      </c>
    </row>
    <row r="4406">
      <c r="I4406">
        <f>IFERROR(SUMIF(A$6:A4406,"&lt;&gt;""",G$6:G4406)-SUMIF(A$6:A4406,"&lt;&gt;""",H$6:H4406),"")</f>
        <v/>
      </c>
    </row>
    <row r="4407">
      <c r="I4407">
        <f>IFERROR(SUMIF(A$6:A4407,"&lt;&gt;""",G$6:G4407)-SUMIF(A$6:A4407,"&lt;&gt;""",H$6:H4407),"")</f>
        <v/>
      </c>
    </row>
    <row r="4408">
      <c r="I4408">
        <f>IFERROR(SUMIF(A$6:A4408,"&lt;&gt;""",G$6:G4408)-SUMIF(A$6:A4408,"&lt;&gt;""",H$6:H4408),"")</f>
        <v/>
      </c>
    </row>
    <row r="4409">
      <c r="I4409">
        <f>IFERROR(SUMIF(A$6:A4409,"&lt;&gt;""",G$6:G4409)-SUMIF(A$6:A4409,"&lt;&gt;""",H$6:H4409),"")</f>
        <v/>
      </c>
    </row>
    <row r="4410">
      <c r="I4410">
        <f>IFERROR(SUMIF(A$6:A4410,"&lt;&gt;""",G$6:G4410)-SUMIF(A$6:A4410,"&lt;&gt;""",H$6:H4410),"")</f>
        <v/>
      </c>
    </row>
    <row r="4411">
      <c r="I4411">
        <f>IFERROR(SUMIF(A$6:A4411,"&lt;&gt;""",G$6:G4411)-SUMIF(A$6:A4411,"&lt;&gt;""",H$6:H4411),"")</f>
        <v/>
      </c>
    </row>
    <row r="4412">
      <c r="I4412">
        <f>IFERROR(SUMIF(A$6:A4412,"&lt;&gt;""",G$6:G4412)-SUMIF(A$6:A4412,"&lt;&gt;""",H$6:H4412),"")</f>
        <v/>
      </c>
    </row>
    <row r="4413">
      <c r="I4413">
        <f>IFERROR(SUMIF(A$6:A4413,"&lt;&gt;""",G$6:G4413)-SUMIF(A$6:A4413,"&lt;&gt;""",H$6:H4413),"")</f>
        <v/>
      </c>
    </row>
    <row r="4414">
      <c r="I4414">
        <f>IFERROR(SUMIF(A$6:A4414,"&lt;&gt;""",G$6:G4414)-SUMIF(A$6:A4414,"&lt;&gt;""",H$6:H4414),"")</f>
        <v/>
      </c>
    </row>
    <row r="4415">
      <c r="I4415">
        <f>IFERROR(SUMIF(A$6:A4415,"&lt;&gt;""",G$6:G4415)-SUMIF(A$6:A4415,"&lt;&gt;""",H$6:H4415),"")</f>
        <v/>
      </c>
    </row>
    <row r="4416">
      <c r="I4416">
        <f>IFERROR(SUMIF(A$6:A4416,"&lt;&gt;""",G$6:G4416)-SUMIF(A$6:A4416,"&lt;&gt;""",H$6:H4416),"")</f>
        <v/>
      </c>
    </row>
    <row r="4417">
      <c r="I4417">
        <f>IFERROR(SUMIF(A$6:A4417,"&lt;&gt;""",G$6:G4417)-SUMIF(A$6:A4417,"&lt;&gt;""",H$6:H4417),"")</f>
        <v/>
      </c>
    </row>
    <row r="4418">
      <c r="I4418">
        <f>IFERROR(SUMIF(A$6:A4418,"&lt;&gt;""",G$6:G4418)-SUMIF(A$6:A4418,"&lt;&gt;""",H$6:H4418),"")</f>
        <v/>
      </c>
    </row>
    <row r="4419">
      <c r="I4419">
        <f>IFERROR(SUMIF(A$6:A4419,"&lt;&gt;""",G$6:G4419)-SUMIF(A$6:A4419,"&lt;&gt;""",H$6:H4419),"")</f>
        <v/>
      </c>
    </row>
    <row r="4420">
      <c r="I4420">
        <f>IFERROR(SUMIF(A$6:A4420,"&lt;&gt;""",G$6:G4420)-SUMIF(A$6:A4420,"&lt;&gt;""",H$6:H4420),"")</f>
        <v/>
      </c>
    </row>
    <row r="4421">
      <c r="I4421">
        <f>IFERROR(SUMIF(A$6:A4421,"&lt;&gt;""",G$6:G4421)-SUMIF(A$6:A4421,"&lt;&gt;""",H$6:H4421),"")</f>
        <v/>
      </c>
    </row>
    <row r="4422">
      <c r="I4422">
        <f>IFERROR(SUMIF(A$6:A4422,"&lt;&gt;""",G$6:G4422)-SUMIF(A$6:A4422,"&lt;&gt;""",H$6:H4422),"")</f>
        <v/>
      </c>
    </row>
    <row r="4423">
      <c r="I4423">
        <f>IFERROR(SUMIF(A$6:A4423,"&lt;&gt;""",G$6:G4423)-SUMIF(A$6:A4423,"&lt;&gt;""",H$6:H4423),"")</f>
        <v/>
      </c>
    </row>
    <row r="4424">
      <c r="I4424">
        <f>IFERROR(SUMIF(A$6:A4424,"&lt;&gt;""",G$6:G4424)-SUMIF(A$6:A4424,"&lt;&gt;""",H$6:H4424),"")</f>
        <v/>
      </c>
    </row>
    <row r="4425">
      <c r="I4425">
        <f>IFERROR(SUMIF(A$6:A4425,"&lt;&gt;""",G$6:G4425)-SUMIF(A$6:A4425,"&lt;&gt;""",H$6:H4425),"")</f>
        <v/>
      </c>
    </row>
    <row r="4426">
      <c r="I4426">
        <f>IFERROR(SUMIF(A$6:A4426,"&lt;&gt;""",G$6:G4426)-SUMIF(A$6:A4426,"&lt;&gt;""",H$6:H4426),"")</f>
        <v/>
      </c>
    </row>
    <row r="4427">
      <c r="I4427">
        <f>IFERROR(SUMIF(A$6:A4427,"&lt;&gt;""",G$6:G4427)-SUMIF(A$6:A4427,"&lt;&gt;""",H$6:H4427),"")</f>
        <v/>
      </c>
    </row>
    <row r="4428">
      <c r="I4428">
        <f>IFERROR(SUMIF(A$6:A4428,"&lt;&gt;""",G$6:G4428)-SUMIF(A$6:A4428,"&lt;&gt;""",H$6:H4428),"")</f>
        <v/>
      </c>
    </row>
    <row r="4429">
      <c r="I4429">
        <f>IFERROR(SUMIF(A$6:A4429,"&lt;&gt;""",G$6:G4429)-SUMIF(A$6:A4429,"&lt;&gt;""",H$6:H4429),"")</f>
        <v/>
      </c>
    </row>
    <row r="4430">
      <c r="I4430">
        <f>IFERROR(SUMIF(A$6:A4430,"&lt;&gt;""",G$6:G4430)-SUMIF(A$6:A4430,"&lt;&gt;""",H$6:H4430),"")</f>
        <v/>
      </c>
    </row>
    <row r="4431">
      <c r="I4431">
        <f>IFERROR(SUMIF(A$6:A4431,"&lt;&gt;""",G$6:G4431)-SUMIF(A$6:A4431,"&lt;&gt;""",H$6:H4431),"")</f>
        <v/>
      </c>
    </row>
    <row r="4432">
      <c r="I4432">
        <f>IFERROR(SUMIF(A$6:A4432,"&lt;&gt;""",G$6:G4432)-SUMIF(A$6:A4432,"&lt;&gt;""",H$6:H4432),"")</f>
        <v/>
      </c>
    </row>
    <row r="4433">
      <c r="I4433">
        <f>IFERROR(SUMIF(A$6:A4433,"&lt;&gt;""",G$6:G4433)-SUMIF(A$6:A4433,"&lt;&gt;""",H$6:H4433),"")</f>
        <v/>
      </c>
    </row>
    <row r="4434">
      <c r="I4434">
        <f>IFERROR(SUMIF(A$6:A4434,"&lt;&gt;""",G$6:G4434)-SUMIF(A$6:A4434,"&lt;&gt;""",H$6:H4434),"")</f>
        <v/>
      </c>
    </row>
    <row r="4435">
      <c r="I4435">
        <f>IFERROR(SUMIF(A$6:A4435,"&lt;&gt;""",G$6:G4435)-SUMIF(A$6:A4435,"&lt;&gt;""",H$6:H4435),"")</f>
        <v/>
      </c>
    </row>
    <row r="4436">
      <c r="I4436">
        <f>IFERROR(SUMIF(A$6:A4436,"&lt;&gt;""",G$6:G4436)-SUMIF(A$6:A4436,"&lt;&gt;""",H$6:H4436),"")</f>
        <v/>
      </c>
    </row>
    <row r="4437">
      <c r="I4437">
        <f>IFERROR(SUMIF(A$6:A4437,"&lt;&gt;""",G$6:G4437)-SUMIF(A$6:A4437,"&lt;&gt;""",H$6:H4437),"")</f>
        <v/>
      </c>
    </row>
    <row r="4438">
      <c r="I4438">
        <f>IFERROR(SUMIF(A$6:A4438,"&lt;&gt;""",G$6:G4438)-SUMIF(A$6:A4438,"&lt;&gt;""",H$6:H4438),"")</f>
        <v/>
      </c>
    </row>
    <row r="4439">
      <c r="I4439">
        <f>IFERROR(SUMIF(A$6:A4439,"&lt;&gt;""",G$6:G4439)-SUMIF(A$6:A4439,"&lt;&gt;""",H$6:H4439),"")</f>
        <v/>
      </c>
    </row>
    <row r="4440">
      <c r="I4440">
        <f>IFERROR(SUMIF(A$6:A4440,"&lt;&gt;""",G$6:G4440)-SUMIF(A$6:A4440,"&lt;&gt;""",H$6:H4440),"")</f>
        <v/>
      </c>
    </row>
    <row r="4441">
      <c r="I4441">
        <f>IFERROR(SUMIF(A$6:A4441,"&lt;&gt;""",G$6:G4441)-SUMIF(A$6:A4441,"&lt;&gt;""",H$6:H4441),"")</f>
        <v/>
      </c>
    </row>
    <row r="4442">
      <c r="I4442">
        <f>IFERROR(SUMIF(A$6:A4442,"&lt;&gt;""",G$6:G4442)-SUMIF(A$6:A4442,"&lt;&gt;""",H$6:H4442),"")</f>
        <v/>
      </c>
    </row>
    <row r="4443">
      <c r="I4443">
        <f>IFERROR(SUMIF(A$6:A4443,"&lt;&gt;""",G$6:G4443)-SUMIF(A$6:A4443,"&lt;&gt;""",H$6:H4443),"")</f>
        <v/>
      </c>
    </row>
    <row r="4444">
      <c r="I4444">
        <f>IFERROR(SUMIF(A$6:A4444,"&lt;&gt;""",G$6:G4444)-SUMIF(A$6:A4444,"&lt;&gt;""",H$6:H4444),"")</f>
        <v/>
      </c>
    </row>
    <row r="4445">
      <c r="I4445">
        <f>IFERROR(SUMIF(A$6:A4445,"&lt;&gt;""",G$6:G4445)-SUMIF(A$6:A4445,"&lt;&gt;""",H$6:H4445),"")</f>
        <v/>
      </c>
    </row>
    <row r="4446">
      <c r="I4446">
        <f>IFERROR(SUMIF(A$6:A4446,"&lt;&gt;""",G$6:G4446)-SUMIF(A$6:A4446,"&lt;&gt;""",H$6:H4446),"")</f>
        <v/>
      </c>
    </row>
    <row r="4447">
      <c r="I4447">
        <f>IFERROR(SUMIF(A$6:A4447,"&lt;&gt;""",G$6:G4447)-SUMIF(A$6:A4447,"&lt;&gt;""",H$6:H4447),"")</f>
        <v/>
      </c>
    </row>
    <row r="4448">
      <c r="I4448">
        <f>IFERROR(SUMIF(A$6:A4448,"&lt;&gt;""",G$6:G4448)-SUMIF(A$6:A4448,"&lt;&gt;""",H$6:H4448),"")</f>
        <v/>
      </c>
    </row>
    <row r="4449">
      <c r="I4449">
        <f>IFERROR(SUMIF(A$6:A4449,"&lt;&gt;""",G$6:G4449)-SUMIF(A$6:A4449,"&lt;&gt;""",H$6:H4449),"")</f>
        <v/>
      </c>
    </row>
    <row r="4450">
      <c r="I4450">
        <f>IFERROR(SUMIF(A$6:A4450,"&lt;&gt;""",G$6:G4450)-SUMIF(A$6:A4450,"&lt;&gt;""",H$6:H4450),"")</f>
        <v/>
      </c>
    </row>
    <row r="4451">
      <c r="I4451">
        <f>IFERROR(SUMIF(A$6:A4451,"&lt;&gt;""",G$6:G4451)-SUMIF(A$6:A4451,"&lt;&gt;""",H$6:H4451),"")</f>
        <v/>
      </c>
    </row>
    <row r="4452">
      <c r="I4452">
        <f>IFERROR(SUMIF(A$6:A4452,"&lt;&gt;""",G$6:G4452)-SUMIF(A$6:A4452,"&lt;&gt;""",H$6:H4452),"")</f>
        <v/>
      </c>
    </row>
    <row r="4453">
      <c r="I4453">
        <f>IFERROR(SUMIF(A$6:A4453,"&lt;&gt;""",G$6:G4453)-SUMIF(A$6:A4453,"&lt;&gt;""",H$6:H4453),"")</f>
        <v/>
      </c>
    </row>
    <row r="4454">
      <c r="I4454">
        <f>IFERROR(SUMIF(A$6:A4454,"&lt;&gt;""",G$6:G4454)-SUMIF(A$6:A4454,"&lt;&gt;""",H$6:H4454),"")</f>
        <v/>
      </c>
    </row>
    <row r="4455">
      <c r="I4455">
        <f>IFERROR(SUMIF(A$6:A4455,"&lt;&gt;""",G$6:G4455)-SUMIF(A$6:A4455,"&lt;&gt;""",H$6:H4455),"")</f>
        <v/>
      </c>
    </row>
    <row r="4456">
      <c r="I4456">
        <f>IFERROR(SUMIF(A$6:A4456,"&lt;&gt;""",G$6:G4456)-SUMIF(A$6:A4456,"&lt;&gt;""",H$6:H4456),"")</f>
        <v/>
      </c>
    </row>
    <row r="4457">
      <c r="I4457">
        <f>IFERROR(SUMIF(A$6:A4457,"&lt;&gt;""",G$6:G4457)-SUMIF(A$6:A4457,"&lt;&gt;""",H$6:H4457),"")</f>
        <v/>
      </c>
    </row>
    <row r="4458">
      <c r="I4458">
        <f>IFERROR(SUMIF(A$6:A4458,"&lt;&gt;""",G$6:G4458)-SUMIF(A$6:A4458,"&lt;&gt;""",H$6:H4458),"")</f>
        <v/>
      </c>
    </row>
    <row r="4459">
      <c r="I4459">
        <f>IFERROR(SUMIF(A$6:A4459,"&lt;&gt;""",G$6:G4459)-SUMIF(A$6:A4459,"&lt;&gt;""",H$6:H4459),"")</f>
        <v/>
      </c>
    </row>
    <row r="4460">
      <c r="I4460">
        <f>IFERROR(SUMIF(A$6:A4460,"&lt;&gt;""",G$6:G4460)-SUMIF(A$6:A4460,"&lt;&gt;""",H$6:H4460),"")</f>
        <v/>
      </c>
    </row>
    <row r="4461">
      <c r="I4461">
        <f>IFERROR(SUMIF(A$6:A4461,"&lt;&gt;""",G$6:G4461)-SUMIF(A$6:A4461,"&lt;&gt;""",H$6:H4461),"")</f>
        <v/>
      </c>
    </row>
    <row r="4462">
      <c r="I4462">
        <f>IFERROR(SUMIF(A$6:A4462,"&lt;&gt;""",G$6:G4462)-SUMIF(A$6:A4462,"&lt;&gt;""",H$6:H4462),"")</f>
        <v/>
      </c>
    </row>
    <row r="4463">
      <c r="I4463">
        <f>IFERROR(SUMIF(A$6:A4463,"&lt;&gt;""",G$6:G4463)-SUMIF(A$6:A4463,"&lt;&gt;""",H$6:H4463),"")</f>
        <v/>
      </c>
    </row>
    <row r="4464">
      <c r="I4464">
        <f>IFERROR(SUMIF(A$6:A4464,"&lt;&gt;""",G$6:G4464)-SUMIF(A$6:A4464,"&lt;&gt;""",H$6:H4464),"")</f>
        <v/>
      </c>
    </row>
    <row r="4465">
      <c r="I4465">
        <f>IFERROR(SUMIF(A$6:A4465,"&lt;&gt;""",G$6:G4465)-SUMIF(A$6:A4465,"&lt;&gt;""",H$6:H4465),"")</f>
        <v/>
      </c>
    </row>
    <row r="4466">
      <c r="I4466">
        <f>IFERROR(SUMIF(A$6:A4466,"&lt;&gt;""",G$6:G4466)-SUMIF(A$6:A4466,"&lt;&gt;""",H$6:H4466),"")</f>
        <v/>
      </c>
    </row>
    <row r="4467">
      <c r="I4467">
        <f>IFERROR(SUMIF(A$6:A4467,"&lt;&gt;""",G$6:G4467)-SUMIF(A$6:A4467,"&lt;&gt;""",H$6:H4467),"")</f>
        <v/>
      </c>
    </row>
    <row r="4468">
      <c r="I4468">
        <f>IFERROR(SUMIF(A$6:A4468,"&lt;&gt;""",G$6:G4468)-SUMIF(A$6:A4468,"&lt;&gt;""",H$6:H4468),"")</f>
        <v/>
      </c>
    </row>
    <row r="4469">
      <c r="I4469">
        <f>IFERROR(SUMIF(A$6:A4469,"&lt;&gt;""",G$6:G4469)-SUMIF(A$6:A4469,"&lt;&gt;""",H$6:H4469),"")</f>
        <v/>
      </c>
    </row>
    <row r="4470">
      <c r="I4470">
        <f>IFERROR(SUMIF(A$6:A4470,"&lt;&gt;""",G$6:G4470)-SUMIF(A$6:A4470,"&lt;&gt;""",H$6:H4470),"")</f>
        <v/>
      </c>
    </row>
    <row r="4471">
      <c r="I4471">
        <f>IFERROR(SUMIF(A$6:A4471,"&lt;&gt;""",G$6:G4471)-SUMIF(A$6:A4471,"&lt;&gt;""",H$6:H4471),"")</f>
        <v/>
      </c>
    </row>
    <row r="4472">
      <c r="I4472">
        <f>IFERROR(SUMIF(A$6:A4472,"&lt;&gt;""",G$6:G4472)-SUMIF(A$6:A4472,"&lt;&gt;""",H$6:H4472),"")</f>
        <v/>
      </c>
    </row>
    <row r="4473">
      <c r="I4473">
        <f>IFERROR(SUMIF(A$6:A4473,"&lt;&gt;""",G$6:G4473)-SUMIF(A$6:A4473,"&lt;&gt;""",H$6:H4473),"")</f>
        <v/>
      </c>
    </row>
    <row r="4474">
      <c r="I4474">
        <f>IFERROR(SUMIF(A$6:A4474,"&lt;&gt;""",G$6:G4474)-SUMIF(A$6:A4474,"&lt;&gt;""",H$6:H4474),"")</f>
        <v/>
      </c>
    </row>
    <row r="4475">
      <c r="I4475">
        <f>IFERROR(SUMIF(A$6:A4475,"&lt;&gt;""",G$6:G4475)-SUMIF(A$6:A4475,"&lt;&gt;""",H$6:H4475),"")</f>
        <v/>
      </c>
    </row>
    <row r="4476">
      <c r="I4476">
        <f>IFERROR(SUMIF(A$6:A4476,"&lt;&gt;""",G$6:G4476)-SUMIF(A$6:A4476,"&lt;&gt;""",H$6:H4476),"")</f>
        <v/>
      </c>
    </row>
    <row r="4477">
      <c r="I4477">
        <f>IFERROR(SUMIF(A$6:A4477,"&lt;&gt;""",G$6:G4477)-SUMIF(A$6:A4477,"&lt;&gt;""",H$6:H4477),"")</f>
        <v/>
      </c>
    </row>
    <row r="4478">
      <c r="I4478">
        <f>IFERROR(SUMIF(A$6:A4478,"&lt;&gt;""",G$6:G4478)-SUMIF(A$6:A4478,"&lt;&gt;""",H$6:H4478),"")</f>
        <v/>
      </c>
    </row>
    <row r="4479">
      <c r="I4479">
        <f>IFERROR(SUMIF(A$6:A4479,"&lt;&gt;""",G$6:G4479)-SUMIF(A$6:A4479,"&lt;&gt;""",H$6:H4479),"")</f>
        <v/>
      </c>
    </row>
    <row r="4480">
      <c r="I4480">
        <f>IFERROR(SUMIF(A$6:A4480,"&lt;&gt;""",G$6:G4480)-SUMIF(A$6:A4480,"&lt;&gt;""",H$6:H4480),"")</f>
        <v/>
      </c>
    </row>
    <row r="4481">
      <c r="I4481">
        <f>IFERROR(SUMIF(A$6:A4481,"&lt;&gt;""",G$6:G4481)-SUMIF(A$6:A4481,"&lt;&gt;""",H$6:H4481),"")</f>
        <v/>
      </c>
    </row>
    <row r="4482">
      <c r="I4482">
        <f>IFERROR(SUMIF(A$6:A4482,"&lt;&gt;""",G$6:G4482)-SUMIF(A$6:A4482,"&lt;&gt;""",H$6:H4482),"")</f>
        <v/>
      </c>
    </row>
    <row r="4483">
      <c r="I4483">
        <f>IFERROR(SUMIF(A$6:A4483,"&lt;&gt;""",G$6:G4483)-SUMIF(A$6:A4483,"&lt;&gt;""",H$6:H4483),"")</f>
        <v/>
      </c>
    </row>
    <row r="4484">
      <c r="I4484">
        <f>IFERROR(SUMIF(A$6:A4484,"&lt;&gt;""",G$6:G4484)-SUMIF(A$6:A4484,"&lt;&gt;""",H$6:H4484),"")</f>
        <v/>
      </c>
    </row>
    <row r="4485">
      <c r="I4485">
        <f>IFERROR(SUMIF(A$6:A4485,"&lt;&gt;""",G$6:G4485)-SUMIF(A$6:A4485,"&lt;&gt;""",H$6:H4485),"")</f>
        <v/>
      </c>
    </row>
    <row r="4486">
      <c r="I4486">
        <f>IFERROR(SUMIF(A$6:A4486,"&lt;&gt;""",G$6:G4486)-SUMIF(A$6:A4486,"&lt;&gt;""",H$6:H4486),"")</f>
        <v/>
      </c>
    </row>
    <row r="4487">
      <c r="I4487">
        <f>IFERROR(SUMIF(A$6:A4487,"&lt;&gt;""",G$6:G4487)-SUMIF(A$6:A4487,"&lt;&gt;""",H$6:H4487),"")</f>
        <v/>
      </c>
    </row>
    <row r="4488">
      <c r="I4488">
        <f>IFERROR(SUMIF(A$6:A4488,"&lt;&gt;""",G$6:G4488)-SUMIF(A$6:A4488,"&lt;&gt;""",H$6:H4488),"")</f>
        <v/>
      </c>
    </row>
    <row r="4489">
      <c r="I4489">
        <f>IFERROR(SUMIF(A$6:A4489,"&lt;&gt;""",G$6:G4489)-SUMIF(A$6:A4489,"&lt;&gt;""",H$6:H4489),"")</f>
        <v/>
      </c>
    </row>
    <row r="4490">
      <c r="I4490">
        <f>IFERROR(SUMIF(A$6:A4490,"&lt;&gt;""",G$6:G4490)-SUMIF(A$6:A4490,"&lt;&gt;""",H$6:H4490),"")</f>
        <v/>
      </c>
    </row>
    <row r="4491">
      <c r="I4491">
        <f>IFERROR(SUMIF(A$6:A4491,"&lt;&gt;""",G$6:G4491)-SUMIF(A$6:A4491,"&lt;&gt;""",H$6:H4491),"")</f>
        <v/>
      </c>
    </row>
    <row r="4492">
      <c r="I4492">
        <f>IFERROR(SUMIF(A$6:A4492,"&lt;&gt;""",G$6:G4492)-SUMIF(A$6:A4492,"&lt;&gt;""",H$6:H4492),"")</f>
        <v/>
      </c>
    </row>
    <row r="4493">
      <c r="I4493">
        <f>IFERROR(SUMIF(A$6:A4493,"&lt;&gt;""",G$6:G4493)-SUMIF(A$6:A4493,"&lt;&gt;""",H$6:H4493),"")</f>
        <v/>
      </c>
    </row>
    <row r="4494">
      <c r="I4494">
        <f>IFERROR(SUMIF(A$6:A4494,"&lt;&gt;""",G$6:G4494)-SUMIF(A$6:A4494,"&lt;&gt;""",H$6:H4494),"")</f>
        <v/>
      </c>
    </row>
    <row r="4495">
      <c r="I4495">
        <f>IFERROR(SUMIF(A$6:A4495,"&lt;&gt;""",G$6:G4495)-SUMIF(A$6:A4495,"&lt;&gt;""",H$6:H4495),"")</f>
        <v/>
      </c>
    </row>
    <row r="4496">
      <c r="I4496">
        <f>IFERROR(SUMIF(A$6:A4496,"&lt;&gt;""",G$6:G4496)-SUMIF(A$6:A4496,"&lt;&gt;""",H$6:H4496),"")</f>
        <v/>
      </c>
    </row>
    <row r="4497">
      <c r="I4497">
        <f>IFERROR(SUMIF(A$6:A4497,"&lt;&gt;""",G$6:G4497)-SUMIF(A$6:A4497,"&lt;&gt;""",H$6:H4497),"")</f>
        <v/>
      </c>
    </row>
    <row r="4498">
      <c r="I4498">
        <f>IFERROR(SUMIF(A$6:A4498,"&lt;&gt;""",G$6:G4498)-SUMIF(A$6:A4498,"&lt;&gt;""",H$6:H4498),"")</f>
        <v/>
      </c>
    </row>
    <row r="4499">
      <c r="I4499">
        <f>IFERROR(SUMIF(A$6:A4499,"&lt;&gt;""",G$6:G4499)-SUMIF(A$6:A4499,"&lt;&gt;""",H$6:H4499),"")</f>
        <v/>
      </c>
    </row>
    <row r="4500">
      <c r="I4500">
        <f>IFERROR(SUMIF(A$6:A4500,"&lt;&gt;""",G$6:G4500)-SUMIF(A$6:A4500,"&lt;&gt;""",H$6:H4500),"")</f>
        <v/>
      </c>
    </row>
    <row r="4501">
      <c r="I4501">
        <f>IFERROR(SUMIF(A$6:A4501,"&lt;&gt;""",G$6:G4501)-SUMIF(A$6:A4501,"&lt;&gt;""",H$6:H4501),"")</f>
        <v/>
      </c>
    </row>
    <row r="4502">
      <c r="I4502">
        <f>IFERROR(SUMIF(A$6:A4502,"&lt;&gt;""",G$6:G4502)-SUMIF(A$6:A4502,"&lt;&gt;""",H$6:H4502),"")</f>
        <v/>
      </c>
    </row>
    <row r="4503">
      <c r="I4503">
        <f>IFERROR(SUMIF(A$6:A4503,"&lt;&gt;""",G$6:G4503)-SUMIF(A$6:A4503,"&lt;&gt;""",H$6:H4503),"")</f>
        <v/>
      </c>
    </row>
    <row r="4504">
      <c r="I4504">
        <f>IFERROR(SUMIF(A$6:A4504,"&lt;&gt;""",G$6:G4504)-SUMIF(A$6:A4504,"&lt;&gt;""",H$6:H4504),"")</f>
        <v/>
      </c>
    </row>
    <row r="4505">
      <c r="I4505">
        <f>IFERROR(SUMIF(A$6:A4505,"&lt;&gt;""",G$6:G4505)-SUMIF(A$6:A4505,"&lt;&gt;""",H$6:H4505),"")</f>
        <v/>
      </c>
    </row>
    <row r="4506">
      <c r="I4506">
        <f>IFERROR(SUMIF(A$6:A4506,"&lt;&gt;""",G$6:G4506)-SUMIF(A$6:A4506,"&lt;&gt;""",H$6:H4506),"")</f>
        <v/>
      </c>
    </row>
    <row r="4507">
      <c r="I4507">
        <f>IFERROR(SUMIF(A$6:A4507,"&lt;&gt;""",G$6:G4507)-SUMIF(A$6:A4507,"&lt;&gt;""",H$6:H4507),"")</f>
        <v/>
      </c>
    </row>
    <row r="4508">
      <c r="I4508">
        <f>IFERROR(SUMIF(A$6:A4508,"&lt;&gt;""",G$6:G4508)-SUMIF(A$6:A4508,"&lt;&gt;""",H$6:H4508),"")</f>
        <v/>
      </c>
    </row>
    <row r="4509">
      <c r="I4509">
        <f>IFERROR(SUMIF(A$6:A4509,"&lt;&gt;""",G$6:G4509)-SUMIF(A$6:A4509,"&lt;&gt;""",H$6:H4509),"")</f>
        <v/>
      </c>
    </row>
    <row r="4510">
      <c r="I4510">
        <f>IFERROR(SUMIF(A$6:A4510,"&lt;&gt;""",G$6:G4510)-SUMIF(A$6:A4510,"&lt;&gt;""",H$6:H4510),"")</f>
        <v/>
      </c>
    </row>
    <row r="4511">
      <c r="I4511">
        <f>IFERROR(SUMIF(A$6:A4511,"&lt;&gt;""",G$6:G4511)-SUMIF(A$6:A4511,"&lt;&gt;""",H$6:H4511),"")</f>
        <v/>
      </c>
    </row>
    <row r="4512">
      <c r="I4512">
        <f>IFERROR(SUMIF(A$6:A4512,"&lt;&gt;""",G$6:G4512)-SUMIF(A$6:A4512,"&lt;&gt;""",H$6:H4512),"")</f>
        <v/>
      </c>
    </row>
    <row r="4513">
      <c r="I4513">
        <f>IFERROR(SUMIF(A$6:A4513,"&lt;&gt;""",G$6:G4513)-SUMIF(A$6:A4513,"&lt;&gt;""",H$6:H4513),"")</f>
        <v/>
      </c>
    </row>
    <row r="4514">
      <c r="I4514">
        <f>IFERROR(SUMIF(A$6:A4514,"&lt;&gt;""",G$6:G4514)-SUMIF(A$6:A4514,"&lt;&gt;""",H$6:H4514),"")</f>
        <v/>
      </c>
    </row>
    <row r="4515">
      <c r="I4515">
        <f>IFERROR(SUMIF(A$6:A4515,"&lt;&gt;""",G$6:G4515)-SUMIF(A$6:A4515,"&lt;&gt;""",H$6:H4515),"")</f>
        <v/>
      </c>
    </row>
    <row r="4516">
      <c r="I4516">
        <f>IFERROR(SUMIF(A$6:A4516,"&lt;&gt;""",G$6:G4516)-SUMIF(A$6:A4516,"&lt;&gt;""",H$6:H4516),"")</f>
        <v/>
      </c>
    </row>
    <row r="4517">
      <c r="I4517">
        <f>IFERROR(SUMIF(A$6:A4517,"&lt;&gt;""",G$6:G4517)-SUMIF(A$6:A4517,"&lt;&gt;""",H$6:H4517),"")</f>
        <v/>
      </c>
    </row>
    <row r="4518">
      <c r="I4518">
        <f>IFERROR(SUMIF(A$6:A4518,"&lt;&gt;""",G$6:G4518)-SUMIF(A$6:A4518,"&lt;&gt;""",H$6:H4518),"")</f>
        <v/>
      </c>
    </row>
    <row r="4519">
      <c r="I4519">
        <f>IFERROR(SUMIF(A$6:A4519,"&lt;&gt;""",G$6:G4519)-SUMIF(A$6:A4519,"&lt;&gt;""",H$6:H4519),"")</f>
        <v/>
      </c>
    </row>
    <row r="4520">
      <c r="I4520">
        <f>IFERROR(SUMIF(A$6:A4520,"&lt;&gt;""",G$6:G4520)-SUMIF(A$6:A4520,"&lt;&gt;""",H$6:H4520),"")</f>
        <v/>
      </c>
    </row>
    <row r="4521">
      <c r="I4521">
        <f>IFERROR(SUMIF(A$6:A4521,"&lt;&gt;""",G$6:G4521)-SUMIF(A$6:A4521,"&lt;&gt;""",H$6:H4521),"")</f>
        <v/>
      </c>
    </row>
    <row r="4522">
      <c r="I4522">
        <f>IFERROR(SUMIF(A$6:A4522,"&lt;&gt;""",G$6:G4522)-SUMIF(A$6:A4522,"&lt;&gt;""",H$6:H4522),"")</f>
        <v/>
      </c>
    </row>
    <row r="4523">
      <c r="I4523">
        <f>IFERROR(SUMIF(A$6:A4523,"&lt;&gt;""",G$6:G4523)-SUMIF(A$6:A4523,"&lt;&gt;""",H$6:H4523),"")</f>
        <v/>
      </c>
    </row>
    <row r="4524">
      <c r="I4524">
        <f>IFERROR(SUMIF(A$6:A4524,"&lt;&gt;""",G$6:G4524)-SUMIF(A$6:A4524,"&lt;&gt;""",H$6:H4524),"")</f>
        <v/>
      </c>
    </row>
    <row r="4525">
      <c r="I4525">
        <f>IFERROR(SUMIF(A$6:A4525,"&lt;&gt;""",G$6:G4525)-SUMIF(A$6:A4525,"&lt;&gt;""",H$6:H4525),"")</f>
        <v/>
      </c>
    </row>
    <row r="4526">
      <c r="I4526">
        <f>IFERROR(SUMIF(A$6:A4526,"&lt;&gt;""",G$6:G4526)-SUMIF(A$6:A4526,"&lt;&gt;""",H$6:H4526),"")</f>
        <v/>
      </c>
    </row>
    <row r="4527">
      <c r="I4527">
        <f>IFERROR(SUMIF(A$6:A4527,"&lt;&gt;""",G$6:G4527)-SUMIF(A$6:A4527,"&lt;&gt;""",H$6:H4527),"")</f>
        <v/>
      </c>
    </row>
    <row r="4528">
      <c r="I4528">
        <f>IFERROR(SUMIF(A$6:A4528,"&lt;&gt;""",G$6:G4528)-SUMIF(A$6:A4528,"&lt;&gt;""",H$6:H4528),"")</f>
        <v/>
      </c>
    </row>
    <row r="4529">
      <c r="I4529">
        <f>IFERROR(SUMIF(A$6:A4529,"&lt;&gt;""",G$6:G4529)-SUMIF(A$6:A4529,"&lt;&gt;""",H$6:H4529),"")</f>
        <v/>
      </c>
    </row>
    <row r="4530">
      <c r="I4530">
        <f>IFERROR(SUMIF(A$6:A4530,"&lt;&gt;""",G$6:G4530)-SUMIF(A$6:A4530,"&lt;&gt;""",H$6:H4530),"")</f>
        <v/>
      </c>
    </row>
    <row r="4531">
      <c r="I4531">
        <f>IFERROR(SUMIF(A$6:A4531,"&lt;&gt;""",G$6:G4531)-SUMIF(A$6:A4531,"&lt;&gt;""",H$6:H4531),"")</f>
        <v/>
      </c>
    </row>
    <row r="4532">
      <c r="I4532">
        <f>IFERROR(SUMIF(A$6:A4532,"&lt;&gt;""",G$6:G4532)-SUMIF(A$6:A4532,"&lt;&gt;""",H$6:H4532),"")</f>
        <v/>
      </c>
    </row>
    <row r="4533">
      <c r="I4533">
        <f>IFERROR(SUMIF(A$6:A4533,"&lt;&gt;""",G$6:G4533)-SUMIF(A$6:A4533,"&lt;&gt;""",H$6:H4533),"")</f>
        <v/>
      </c>
    </row>
    <row r="4534">
      <c r="I4534">
        <f>IFERROR(SUMIF(A$6:A4534,"&lt;&gt;""",G$6:G4534)-SUMIF(A$6:A4534,"&lt;&gt;""",H$6:H4534),"")</f>
        <v/>
      </c>
    </row>
    <row r="4535">
      <c r="I4535">
        <f>IFERROR(SUMIF(A$6:A4535,"&lt;&gt;""",G$6:G4535)-SUMIF(A$6:A4535,"&lt;&gt;""",H$6:H4535),"")</f>
        <v/>
      </c>
    </row>
    <row r="4536">
      <c r="I4536">
        <f>IFERROR(SUMIF(A$6:A4536,"&lt;&gt;""",G$6:G4536)-SUMIF(A$6:A4536,"&lt;&gt;""",H$6:H4536),"")</f>
        <v/>
      </c>
    </row>
    <row r="4537">
      <c r="I4537">
        <f>IFERROR(SUMIF(A$6:A4537,"&lt;&gt;""",G$6:G4537)-SUMIF(A$6:A4537,"&lt;&gt;""",H$6:H4537),"")</f>
        <v/>
      </c>
    </row>
    <row r="4538">
      <c r="I4538">
        <f>IFERROR(SUMIF(A$6:A4538,"&lt;&gt;""",G$6:G4538)-SUMIF(A$6:A4538,"&lt;&gt;""",H$6:H4538),"")</f>
        <v/>
      </c>
    </row>
    <row r="4539">
      <c r="I4539">
        <f>IFERROR(SUMIF(A$6:A4539,"&lt;&gt;""",G$6:G4539)-SUMIF(A$6:A4539,"&lt;&gt;""",H$6:H4539),"")</f>
        <v/>
      </c>
    </row>
    <row r="4540">
      <c r="I4540">
        <f>IFERROR(SUMIF(A$6:A4540,"&lt;&gt;""",G$6:G4540)-SUMIF(A$6:A4540,"&lt;&gt;""",H$6:H4540),"")</f>
        <v/>
      </c>
    </row>
    <row r="4541">
      <c r="I4541">
        <f>IFERROR(SUMIF(A$6:A4541,"&lt;&gt;""",G$6:G4541)-SUMIF(A$6:A4541,"&lt;&gt;""",H$6:H4541),"")</f>
        <v/>
      </c>
    </row>
    <row r="4542">
      <c r="I4542">
        <f>IFERROR(SUMIF(A$6:A4542,"&lt;&gt;""",G$6:G4542)-SUMIF(A$6:A4542,"&lt;&gt;""",H$6:H4542),"")</f>
        <v/>
      </c>
    </row>
    <row r="4543">
      <c r="I4543">
        <f>IFERROR(SUMIF(A$6:A4543,"&lt;&gt;""",G$6:G4543)-SUMIF(A$6:A4543,"&lt;&gt;""",H$6:H4543),"")</f>
        <v/>
      </c>
    </row>
    <row r="4544">
      <c r="I4544">
        <f>IFERROR(SUMIF(A$6:A4544,"&lt;&gt;""",G$6:G4544)-SUMIF(A$6:A4544,"&lt;&gt;""",H$6:H4544),"")</f>
        <v/>
      </c>
    </row>
    <row r="4545">
      <c r="I4545">
        <f>IFERROR(SUMIF(A$6:A4545,"&lt;&gt;""",G$6:G4545)-SUMIF(A$6:A4545,"&lt;&gt;""",H$6:H4545),"")</f>
        <v/>
      </c>
    </row>
    <row r="4546">
      <c r="I4546">
        <f>IFERROR(SUMIF(A$6:A4546,"&lt;&gt;""",G$6:G4546)-SUMIF(A$6:A4546,"&lt;&gt;""",H$6:H4546),"")</f>
        <v/>
      </c>
    </row>
    <row r="4547">
      <c r="I4547">
        <f>IFERROR(SUMIF(A$6:A4547,"&lt;&gt;""",G$6:G4547)-SUMIF(A$6:A4547,"&lt;&gt;""",H$6:H4547),"")</f>
        <v/>
      </c>
    </row>
    <row r="4548">
      <c r="I4548">
        <f>IFERROR(SUMIF(A$6:A4548,"&lt;&gt;""",G$6:G4548)-SUMIF(A$6:A4548,"&lt;&gt;""",H$6:H4548),"")</f>
        <v/>
      </c>
    </row>
    <row r="4549">
      <c r="I4549">
        <f>IFERROR(SUMIF(A$6:A4549,"&lt;&gt;""",G$6:G4549)-SUMIF(A$6:A4549,"&lt;&gt;""",H$6:H4549),"")</f>
        <v/>
      </c>
    </row>
    <row r="4550">
      <c r="I4550">
        <f>IFERROR(SUMIF(A$6:A4550,"&lt;&gt;""",G$6:G4550)-SUMIF(A$6:A4550,"&lt;&gt;""",H$6:H4550),"")</f>
        <v/>
      </c>
    </row>
    <row r="4551">
      <c r="I4551">
        <f>IFERROR(SUMIF(A$6:A4551,"&lt;&gt;""",G$6:G4551)-SUMIF(A$6:A4551,"&lt;&gt;""",H$6:H4551),"")</f>
        <v/>
      </c>
    </row>
    <row r="4552">
      <c r="I4552">
        <f>IFERROR(SUMIF(A$6:A4552,"&lt;&gt;""",G$6:G4552)-SUMIF(A$6:A4552,"&lt;&gt;""",H$6:H4552),"")</f>
        <v/>
      </c>
    </row>
    <row r="4553">
      <c r="I4553">
        <f>IFERROR(SUMIF(A$6:A4553,"&lt;&gt;""",G$6:G4553)-SUMIF(A$6:A4553,"&lt;&gt;""",H$6:H4553),"")</f>
        <v/>
      </c>
    </row>
    <row r="4554">
      <c r="I4554">
        <f>IFERROR(SUMIF(A$6:A4554,"&lt;&gt;""",G$6:G4554)-SUMIF(A$6:A4554,"&lt;&gt;""",H$6:H4554),"")</f>
        <v/>
      </c>
    </row>
    <row r="4555">
      <c r="I4555">
        <f>IFERROR(SUMIF(A$6:A4555,"&lt;&gt;""",G$6:G4555)-SUMIF(A$6:A4555,"&lt;&gt;""",H$6:H4555),"")</f>
        <v/>
      </c>
    </row>
    <row r="4556">
      <c r="I4556">
        <f>IFERROR(SUMIF(A$6:A4556,"&lt;&gt;""",G$6:G4556)-SUMIF(A$6:A4556,"&lt;&gt;""",H$6:H4556),"")</f>
        <v/>
      </c>
    </row>
    <row r="4557">
      <c r="I4557">
        <f>IFERROR(SUMIF(A$6:A4557,"&lt;&gt;""",G$6:G4557)-SUMIF(A$6:A4557,"&lt;&gt;""",H$6:H4557),"")</f>
        <v/>
      </c>
    </row>
    <row r="4558">
      <c r="I4558">
        <f>IFERROR(SUMIF(A$6:A4558,"&lt;&gt;""",G$6:G4558)-SUMIF(A$6:A4558,"&lt;&gt;""",H$6:H4558),"")</f>
        <v/>
      </c>
    </row>
    <row r="4559">
      <c r="I4559">
        <f>IFERROR(SUMIF(A$6:A4559,"&lt;&gt;""",G$6:G4559)-SUMIF(A$6:A4559,"&lt;&gt;""",H$6:H4559),"")</f>
        <v/>
      </c>
    </row>
    <row r="4560">
      <c r="I4560">
        <f>IFERROR(SUMIF(A$6:A4560,"&lt;&gt;""",G$6:G4560)-SUMIF(A$6:A4560,"&lt;&gt;""",H$6:H4560),"")</f>
        <v/>
      </c>
    </row>
    <row r="4561">
      <c r="I4561">
        <f>IFERROR(SUMIF(A$6:A4561,"&lt;&gt;""",G$6:G4561)-SUMIF(A$6:A4561,"&lt;&gt;""",H$6:H4561),"")</f>
        <v/>
      </c>
    </row>
    <row r="4562">
      <c r="I4562">
        <f>IFERROR(SUMIF(A$6:A4562,"&lt;&gt;""",G$6:G4562)-SUMIF(A$6:A4562,"&lt;&gt;""",H$6:H4562),"")</f>
        <v/>
      </c>
    </row>
    <row r="4563">
      <c r="I4563">
        <f>IFERROR(SUMIF(A$6:A4563,"&lt;&gt;""",G$6:G4563)-SUMIF(A$6:A4563,"&lt;&gt;""",H$6:H4563),"")</f>
        <v/>
      </c>
    </row>
    <row r="4564">
      <c r="I4564">
        <f>IFERROR(SUMIF(A$6:A4564,"&lt;&gt;""",G$6:G4564)-SUMIF(A$6:A4564,"&lt;&gt;""",H$6:H4564),"")</f>
        <v/>
      </c>
    </row>
    <row r="4565">
      <c r="I4565">
        <f>IFERROR(SUMIF(A$6:A4565,"&lt;&gt;""",G$6:G4565)-SUMIF(A$6:A4565,"&lt;&gt;""",H$6:H4565),"")</f>
        <v/>
      </c>
    </row>
    <row r="4566">
      <c r="I4566">
        <f>IFERROR(SUMIF(A$6:A4566,"&lt;&gt;""",G$6:G4566)-SUMIF(A$6:A4566,"&lt;&gt;""",H$6:H4566),"")</f>
        <v/>
      </c>
    </row>
    <row r="4567">
      <c r="I4567">
        <f>IFERROR(SUMIF(A$6:A4567,"&lt;&gt;""",G$6:G4567)-SUMIF(A$6:A4567,"&lt;&gt;""",H$6:H4567),"")</f>
        <v/>
      </c>
    </row>
    <row r="4568">
      <c r="I4568">
        <f>IFERROR(SUMIF(A$6:A4568,"&lt;&gt;""",G$6:G4568)-SUMIF(A$6:A4568,"&lt;&gt;""",H$6:H4568),"")</f>
        <v/>
      </c>
    </row>
    <row r="4569">
      <c r="I4569">
        <f>IFERROR(SUMIF(A$6:A4569,"&lt;&gt;""",G$6:G4569)-SUMIF(A$6:A4569,"&lt;&gt;""",H$6:H4569),"")</f>
        <v/>
      </c>
    </row>
    <row r="4570">
      <c r="I4570">
        <f>IFERROR(SUMIF(A$6:A4570,"&lt;&gt;""",G$6:G4570)-SUMIF(A$6:A4570,"&lt;&gt;""",H$6:H4570),"")</f>
        <v/>
      </c>
    </row>
    <row r="4571">
      <c r="I4571">
        <f>IFERROR(SUMIF(A$6:A4571,"&lt;&gt;""",G$6:G4571)-SUMIF(A$6:A4571,"&lt;&gt;""",H$6:H4571),"")</f>
        <v/>
      </c>
    </row>
    <row r="4572">
      <c r="I4572">
        <f>IFERROR(SUMIF(A$6:A4572,"&lt;&gt;""",G$6:G4572)-SUMIF(A$6:A4572,"&lt;&gt;""",H$6:H4572),"")</f>
        <v/>
      </c>
    </row>
    <row r="4573">
      <c r="I4573">
        <f>IFERROR(SUMIF(A$6:A4573,"&lt;&gt;""",G$6:G4573)-SUMIF(A$6:A4573,"&lt;&gt;""",H$6:H4573),"")</f>
        <v/>
      </c>
    </row>
    <row r="4574">
      <c r="I4574">
        <f>IFERROR(SUMIF(A$6:A4574,"&lt;&gt;""",G$6:G4574)-SUMIF(A$6:A4574,"&lt;&gt;""",H$6:H4574),"")</f>
        <v/>
      </c>
    </row>
    <row r="4575">
      <c r="I4575">
        <f>IFERROR(SUMIF(A$6:A4575,"&lt;&gt;""",G$6:G4575)-SUMIF(A$6:A4575,"&lt;&gt;""",H$6:H4575),"")</f>
        <v/>
      </c>
    </row>
    <row r="4576">
      <c r="I4576">
        <f>IFERROR(SUMIF(A$6:A4576,"&lt;&gt;""",G$6:G4576)-SUMIF(A$6:A4576,"&lt;&gt;""",H$6:H4576),"")</f>
        <v/>
      </c>
    </row>
    <row r="4577">
      <c r="I4577">
        <f>IFERROR(SUMIF(A$6:A4577,"&lt;&gt;""",G$6:G4577)-SUMIF(A$6:A4577,"&lt;&gt;""",H$6:H4577),"")</f>
        <v/>
      </c>
    </row>
    <row r="4578">
      <c r="I4578">
        <f>IFERROR(SUMIF(A$6:A4578,"&lt;&gt;""",G$6:G4578)-SUMIF(A$6:A4578,"&lt;&gt;""",H$6:H4578),"")</f>
        <v/>
      </c>
    </row>
    <row r="4579">
      <c r="I4579">
        <f>IFERROR(SUMIF(A$6:A4579,"&lt;&gt;""",G$6:G4579)-SUMIF(A$6:A4579,"&lt;&gt;""",H$6:H4579),"")</f>
        <v/>
      </c>
    </row>
    <row r="4580">
      <c r="I4580">
        <f>IFERROR(SUMIF(A$6:A4580,"&lt;&gt;""",G$6:G4580)-SUMIF(A$6:A4580,"&lt;&gt;""",H$6:H4580),"")</f>
        <v/>
      </c>
    </row>
    <row r="4581">
      <c r="I4581">
        <f>IFERROR(SUMIF(A$6:A4581,"&lt;&gt;""",G$6:G4581)-SUMIF(A$6:A4581,"&lt;&gt;""",H$6:H4581),"")</f>
        <v/>
      </c>
    </row>
    <row r="4582">
      <c r="I4582">
        <f>IFERROR(SUMIF(A$6:A4582,"&lt;&gt;""",G$6:G4582)-SUMIF(A$6:A4582,"&lt;&gt;""",H$6:H4582),"")</f>
        <v/>
      </c>
    </row>
    <row r="4583">
      <c r="I4583">
        <f>IFERROR(SUMIF(A$6:A4583,"&lt;&gt;""",G$6:G4583)-SUMIF(A$6:A4583,"&lt;&gt;""",H$6:H4583),"")</f>
        <v/>
      </c>
    </row>
    <row r="4584">
      <c r="I4584">
        <f>IFERROR(SUMIF(A$6:A4584,"&lt;&gt;""",G$6:G4584)-SUMIF(A$6:A4584,"&lt;&gt;""",H$6:H4584),"")</f>
        <v/>
      </c>
    </row>
    <row r="4585">
      <c r="I4585">
        <f>IFERROR(SUMIF(A$6:A4585,"&lt;&gt;""",G$6:G4585)-SUMIF(A$6:A4585,"&lt;&gt;""",H$6:H4585),"")</f>
        <v/>
      </c>
    </row>
    <row r="4586">
      <c r="I4586">
        <f>IFERROR(SUMIF(A$6:A4586,"&lt;&gt;""",G$6:G4586)-SUMIF(A$6:A4586,"&lt;&gt;""",H$6:H4586),"")</f>
        <v/>
      </c>
    </row>
    <row r="4587">
      <c r="I4587">
        <f>IFERROR(SUMIF(A$6:A4587,"&lt;&gt;""",G$6:G4587)-SUMIF(A$6:A4587,"&lt;&gt;""",H$6:H4587),"")</f>
        <v/>
      </c>
    </row>
    <row r="4588">
      <c r="I4588">
        <f>IFERROR(SUMIF(A$6:A4588,"&lt;&gt;""",G$6:G4588)-SUMIF(A$6:A4588,"&lt;&gt;""",H$6:H4588),"")</f>
        <v/>
      </c>
    </row>
    <row r="4589">
      <c r="I4589">
        <f>IFERROR(SUMIF(A$6:A4589,"&lt;&gt;""",G$6:G4589)-SUMIF(A$6:A4589,"&lt;&gt;""",H$6:H4589),"")</f>
        <v/>
      </c>
    </row>
    <row r="4590">
      <c r="I4590">
        <f>IFERROR(SUMIF(A$6:A4590,"&lt;&gt;""",G$6:G4590)-SUMIF(A$6:A4590,"&lt;&gt;""",H$6:H4590),"")</f>
        <v/>
      </c>
    </row>
    <row r="4591">
      <c r="I4591">
        <f>IFERROR(SUMIF(A$6:A4591,"&lt;&gt;""",G$6:G4591)-SUMIF(A$6:A4591,"&lt;&gt;""",H$6:H4591),"")</f>
        <v/>
      </c>
    </row>
    <row r="4592">
      <c r="I4592">
        <f>IFERROR(SUMIF(A$6:A4592,"&lt;&gt;""",G$6:G4592)-SUMIF(A$6:A4592,"&lt;&gt;""",H$6:H4592),"")</f>
        <v/>
      </c>
    </row>
    <row r="4593">
      <c r="I4593">
        <f>IFERROR(SUMIF(A$6:A4593,"&lt;&gt;""",G$6:G4593)-SUMIF(A$6:A4593,"&lt;&gt;""",H$6:H4593),"")</f>
        <v/>
      </c>
    </row>
    <row r="4594">
      <c r="I4594">
        <f>IFERROR(SUMIF(A$6:A4594,"&lt;&gt;""",G$6:G4594)-SUMIF(A$6:A4594,"&lt;&gt;""",H$6:H4594),"")</f>
        <v/>
      </c>
    </row>
    <row r="4595">
      <c r="I4595">
        <f>IFERROR(SUMIF(A$6:A4595,"&lt;&gt;""",G$6:G4595)-SUMIF(A$6:A4595,"&lt;&gt;""",H$6:H4595),"")</f>
        <v/>
      </c>
    </row>
    <row r="4596">
      <c r="I4596">
        <f>IFERROR(SUMIF(A$6:A4596,"&lt;&gt;""",G$6:G4596)-SUMIF(A$6:A4596,"&lt;&gt;""",H$6:H4596),"")</f>
        <v/>
      </c>
    </row>
    <row r="4597">
      <c r="I4597">
        <f>IFERROR(SUMIF(A$6:A4597,"&lt;&gt;""",G$6:G4597)-SUMIF(A$6:A4597,"&lt;&gt;""",H$6:H4597),"")</f>
        <v/>
      </c>
    </row>
    <row r="4598">
      <c r="I4598">
        <f>IFERROR(SUMIF(A$6:A4598,"&lt;&gt;""",G$6:G4598)-SUMIF(A$6:A4598,"&lt;&gt;""",H$6:H4598),"")</f>
        <v/>
      </c>
    </row>
    <row r="4599">
      <c r="I4599">
        <f>IFERROR(SUMIF(A$6:A4599,"&lt;&gt;""",G$6:G4599)-SUMIF(A$6:A4599,"&lt;&gt;""",H$6:H4599),"")</f>
        <v/>
      </c>
    </row>
    <row r="4600">
      <c r="I4600">
        <f>IFERROR(SUMIF(A$6:A4600,"&lt;&gt;""",G$6:G4600)-SUMIF(A$6:A4600,"&lt;&gt;""",H$6:H4600),"")</f>
        <v/>
      </c>
    </row>
    <row r="4601">
      <c r="I4601">
        <f>IFERROR(SUMIF(A$6:A4601,"&lt;&gt;""",G$6:G4601)-SUMIF(A$6:A4601,"&lt;&gt;""",H$6:H4601),"")</f>
        <v/>
      </c>
    </row>
    <row r="4602">
      <c r="I4602">
        <f>IFERROR(SUMIF(A$6:A4602,"&lt;&gt;""",G$6:G4602)-SUMIF(A$6:A4602,"&lt;&gt;""",H$6:H4602),"")</f>
        <v/>
      </c>
    </row>
    <row r="4603">
      <c r="I4603">
        <f>IFERROR(SUMIF(A$6:A4603,"&lt;&gt;""",G$6:G4603)-SUMIF(A$6:A4603,"&lt;&gt;""",H$6:H4603),"")</f>
        <v/>
      </c>
    </row>
    <row r="4604">
      <c r="I4604">
        <f>IFERROR(SUMIF(A$6:A4604,"&lt;&gt;""",G$6:G4604)-SUMIF(A$6:A4604,"&lt;&gt;""",H$6:H4604),"")</f>
        <v/>
      </c>
    </row>
    <row r="4605">
      <c r="I4605">
        <f>IFERROR(SUMIF(A$6:A4605,"&lt;&gt;""",G$6:G4605)-SUMIF(A$6:A4605,"&lt;&gt;""",H$6:H4605),"")</f>
        <v/>
      </c>
    </row>
    <row r="4606">
      <c r="I4606">
        <f>IFERROR(SUMIF(A$6:A4606,"&lt;&gt;""",G$6:G4606)-SUMIF(A$6:A4606,"&lt;&gt;""",H$6:H4606),"")</f>
        <v/>
      </c>
    </row>
    <row r="4607">
      <c r="I4607">
        <f>IFERROR(SUMIF(A$6:A4607,"&lt;&gt;""",G$6:G4607)-SUMIF(A$6:A4607,"&lt;&gt;""",H$6:H4607),"")</f>
        <v/>
      </c>
    </row>
    <row r="4608">
      <c r="I4608">
        <f>IFERROR(SUMIF(A$6:A4608,"&lt;&gt;""",G$6:G4608)-SUMIF(A$6:A4608,"&lt;&gt;""",H$6:H4608),"")</f>
        <v/>
      </c>
    </row>
    <row r="4609">
      <c r="I4609">
        <f>IFERROR(SUMIF(A$6:A4609,"&lt;&gt;""",G$6:G4609)-SUMIF(A$6:A4609,"&lt;&gt;""",H$6:H4609),"")</f>
        <v/>
      </c>
    </row>
    <row r="4610">
      <c r="I4610">
        <f>IFERROR(SUMIF(A$6:A4610,"&lt;&gt;""",G$6:G4610)-SUMIF(A$6:A4610,"&lt;&gt;""",H$6:H4610),"")</f>
        <v/>
      </c>
    </row>
    <row r="4611">
      <c r="I4611">
        <f>IFERROR(SUMIF(A$6:A4611,"&lt;&gt;""",G$6:G4611)-SUMIF(A$6:A4611,"&lt;&gt;""",H$6:H4611),"")</f>
        <v/>
      </c>
    </row>
    <row r="4612">
      <c r="I4612">
        <f>IFERROR(SUMIF(A$6:A4612,"&lt;&gt;""",G$6:G4612)-SUMIF(A$6:A4612,"&lt;&gt;""",H$6:H4612),"")</f>
        <v/>
      </c>
    </row>
    <row r="4613">
      <c r="I4613">
        <f>IFERROR(SUMIF(A$6:A4613,"&lt;&gt;""",G$6:G4613)-SUMIF(A$6:A4613,"&lt;&gt;""",H$6:H4613),"")</f>
        <v/>
      </c>
    </row>
    <row r="4614">
      <c r="I4614">
        <f>IFERROR(SUMIF(A$6:A4614,"&lt;&gt;""",G$6:G4614)-SUMIF(A$6:A4614,"&lt;&gt;""",H$6:H4614),"")</f>
        <v/>
      </c>
    </row>
    <row r="4615">
      <c r="I4615">
        <f>IFERROR(SUMIF(A$6:A4615,"&lt;&gt;""",G$6:G4615)-SUMIF(A$6:A4615,"&lt;&gt;""",H$6:H4615),"")</f>
        <v/>
      </c>
    </row>
    <row r="4616">
      <c r="I4616">
        <f>IFERROR(SUMIF(A$6:A4616,"&lt;&gt;""",G$6:G4616)-SUMIF(A$6:A4616,"&lt;&gt;""",H$6:H4616),"")</f>
        <v/>
      </c>
    </row>
    <row r="4617">
      <c r="I4617">
        <f>IFERROR(SUMIF(A$6:A4617,"&lt;&gt;""",G$6:G4617)-SUMIF(A$6:A4617,"&lt;&gt;""",H$6:H4617),"")</f>
        <v/>
      </c>
    </row>
    <row r="4618">
      <c r="I4618">
        <f>IFERROR(SUMIF(A$6:A4618,"&lt;&gt;""",G$6:G4618)-SUMIF(A$6:A4618,"&lt;&gt;""",H$6:H4618),"")</f>
        <v/>
      </c>
    </row>
    <row r="4619">
      <c r="I4619">
        <f>IFERROR(SUMIF(A$6:A4619,"&lt;&gt;""",G$6:G4619)-SUMIF(A$6:A4619,"&lt;&gt;""",H$6:H4619),"")</f>
        <v/>
      </c>
    </row>
    <row r="4620">
      <c r="I4620">
        <f>IFERROR(SUMIF(A$6:A4620,"&lt;&gt;""",G$6:G4620)-SUMIF(A$6:A4620,"&lt;&gt;""",H$6:H4620),"")</f>
        <v/>
      </c>
    </row>
    <row r="4621">
      <c r="I4621">
        <f>IFERROR(SUMIF(A$6:A4621,"&lt;&gt;""",G$6:G4621)-SUMIF(A$6:A4621,"&lt;&gt;""",H$6:H4621),"")</f>
        <v/>
      </c>
    </row>
    <row r="4622">
      <c r="I4622">
        <f>IFERROR(SUMIF(A$6:A4622,"&lt;&gt;""",G$6:G4622)-SUMIF(A$6:A4622,"&lt;&gt;""",H$6:H4622),"")</f>
        <v/>
      </c>
    </row>
    <row r="4623">
      <c r="I4623">
        <f>IFERROR(SUMIF(A$6:A4623,"&lt;&gt;""",G$6:G4623)-SUMIF(A$6:A4623,"&lt;&gt;""",H$6:H4623),"")</f>
        <v/>
      </c>
    </row>
    <row r="4624">
      <c r="I4624">
        <f>IFERROR(SUMIF(A$6:A4624,"&lt;&gt;""",G$6:G4624)-SUMIF(A$6:A4624,"&lt;&gt;""",H$6:H4624),"")</f>
        <v/>
      </c>
    </row>
    <row r="4625">
      <c r="I4625">
        <f>IFERROR(SUMIF(A$6:A4625,"&lt;&gt;""",G$6:G4625)-SUMIF(A$6:A4625,"&lt;&gt;""",H$6:H4625),"")</f>
        <v/>
      </c>
    </row>
    <row r="4626">
      <c r="I4626">
        <f>IFERROR(SUMIF(A$6:A4626,"&lt;&gt;""",G$6:G4626)-SUMIF(A$6:A4626,"&lt;&gt;""",H$6:H4626),"")</f>
        <v/>
      </c>
    </row>
    <row r="4627">
      <c r="I4627">
        <f>IFERROR(SUMIF(A$6:A4627,"&lt;&gt;""",G$6:G4627)-SUMIF(A$6:A4627,"&lt;&gt;""",H$6:H4627),"")</f>
        <v/>
      </c>
    </row>
    <row r="4628">
      <c r="I4628">
        <f>IFERROR(SUMIF(A$6:A4628,"&lt;&gt;""",G$6:G4628)-SUMIF(A$6:A4628,"&lt;&gt;""",H$6:H4628),"")</f>
        <v/>
      </c>
    </row>
    <row r="4629">
      <c r="I4629">
        <f>IFERROR(SUMIF(A$6:A4629,"&lt;&gt;""",G$6:G4629)-SUMIF(A$6:A4629,"&lt;&gt;""",H$6:H4629),"")</f>
        <v/>
      </c>
    </row>
    <row r="4630">
      <c r="I4630">
        <f>IFERROR(SUMIF(A$6:A4630,"&lt;&gt;""",G$6:G4630)-SUMIF(A$6:A4630,"&lt;&gt;""",H$6:H4630),"")</f>
        <v/>
      </c>
    </row>
    <row r="4631">
      <c r="I4631">
        <f>IFERROR(SUMIF(A$6:A4631,"&lt;&gt;""",G$6:G4631)-SUMIF(A$6:A4631,"&lt;&gt;""",H$6:H4631),"")</f>
        <v/>
      </c>
    </row>
    <row r="4632">
      <c r="I4632">
        <f>IFERROR(SUMIF(A$6:A4632,"&lt;&gt;""",G$6:G4632)-SUMIF(A$6:A4632,"&lt;&gt;""",H$6:H4632),"")</f>
        <v/>
      </c>
    </row>
    <row r="4633">
      <c r="I4633">
        <f>IFERROR(SUMIF(A$6:A4633,"&lt;&gt;""",G$6:G4633)-SUMIF(A$6:A4633,"&lt;&gt;""",H$6:H4633),"")</f>
        <v/>
      </c>
    </row>
    <row r="4634">
      <c r="I4634">
        <f>IFERROR(SUMIF(A$6:A4634,"&lt;&gt;""",G$6:G4634)-SUMIF(A$6:A4634,"&lt;&gt;""",H$6:H4634),"")</f>
        <v/>
      </c>
    </row>
    <row r="4635">
      <c r="I4635">
        <f>IFERROR(SUMIF(A$6:A4635,"&lt;&gt;""",G$6:G4635)-SUMIF(A$6:A4635,"&lt;&gt;""",H$6:H4635),"")</f>
        <v/>
      </c>
    </row>
    <row r="4636">
      <c r="I4636">
        <f>IFERROR(SUMIF(A$6:A4636,"&lt;&gt;""",G$6:G4636)-SUMIF(A$6:A4636,"&lt;&gt;""",H$6:H4636),"")</f>
        <v/>
      </c>
    </row>
    <row r="4637">
      <c r="I4637">
        <f>IFERROR(SUMIF(A$6:A4637,"&lt;&gt;""",G$6:G4637)-SUMIF(A$6:A4637,"&lt;&gt;""",H$6:H4637),"")</f>
        <v/>
      </c>
    </row>
    <row r="4638">
      <c r="I4638">
        <f>IFERROR(SUMIF(A$6:A4638,"&lt;&gt;""",G$6:G4638)-SUMIF(A$6:A4638,"&lt;&gt;""",H$6:H4638),"")</f>
        <v/>
      </c>
    </row>
    <row r="4639">
      <c r="I4639">
        <f>IFERROR(SUMIF(A$6:A4639,"&lt;&gt;""",G$6:G4639)-SUMIF(A$6:A4639,"&lt;&gt;""",H$6:H4639),"")</f>
        <v/>
      </c>
    </row>
    <row r="4640">
      <c r="I4640">
        <f>IFERROR(SUMIF(A$6:A4640,"&lt;&gt;""",G$6:G4640)-SUMIF(A$6:A4640,"&lt;&gt;""",H$6:H4640),"")</f>
        <v/>
      </c>
    </row>
    <row r="4641">
      <c r="I4641">
        <f>IFERROR(SUMIF(A$6:A4641,"&lt;&gt;""",G$6:G4641)-SUMIF(A$6:A4641,"&lt;&gt;""",H$6:H4641),"")</f>
        <v/>
      </c>
    </row>
    <row r="4642">
      <c r="I4642">
        <f>IFERROR(SUMIF(A$6:A4642,"&lt;&gt;""",G$6:G4642)-SUMIF(A$6:A4642,"&lt;&gt;""",H$6:H4642),"")</f>
        <v/>
      </c>
    </row>
    <row r="4643">
      <c r="I4643">
        <f>IFERROR(SUMIF(A$6:A4643,"&lt;&gt;""",G$6:G4643)-SUMIF(A$6:A4643,"&lt;&gt;""",H$6:H4643),"")</f>
        <v/>
      </c>
    </row>
    <row r="4644">
      <c r="I4644">
        <f>IFERROR(SUMIF(A$6:A4644,"&lt;&gt;""",G$6:G4644)-SUMIF(A$6:A4644,"&lt;&gt;""",H$6:H4644),"")</f>
        <v/>
      </c>
    </row>
    <row r="4645">
      <c r="I4645">
        <f>IFERROR(SUMIF(A$6:A4645,"&lt;&gt;""",G$6:G4645)-SUMIF(A$6:A4645,"&lt;&gt;""",H$6:H4645),"")</f>
        <v/>
      </c>
    </row>
    <row r="4646">
      <c r="I4646">
        <f>IFERROR(SUMIF(A$6:A4646,"&lt;&gt;""",G$6:G4646)-SUMIF(A$6:A4646,"&lt;&gt;""",H$6:H4646),"")</f>
        <v/>
      </c>
    </row>
    <row r="4647">
      <c r="I4647">
        <f>IFERROR(SUMIF(A$6:A4647,"&lt;&gt;""",G$6:G4647)-SUMIF(A$6:A4647,"&lt;&gt;""",H$6:H4647),"")</f>
        <v/>
      </c>
    </row>
    <row r="4648">
      <c r="I4648">
        <f>IFERROR(SUMIF(A$6:A4648,"&lt;&gt;""",G$6:G4648)-SUMIF(A$6:A4648,"&lt;&gt;""",H$6:H4648),"")</f>
        <v/>
      </c>
    </row>
    <row r="4649">
      <c r="I4649">
        <f>IFERROR(SUMIF(A$6:A4649,"&lt;&gt;""",G$6:G4649)-SUMIF(A$6:A4649,"&lt;&gt;""",H$6:H4649),"")</f>
        <v/>
      </c>
    </row>
    <row r="4650">
      <c r="I4650">
        <f>IFERROR(SUMIF(A$6:A4650,"&lt;&gt;""",G$6:G4650)-SUMIF(A$6:A4650,"&lt;&gt;""",H$6:H4650),"")</f>
        <v/>
      </c>
    </row>
    <row r="4651">
      <c r="I4651">
        <f>IFERROR(SUMIF(A$6:A4651,"&lt;&gt;""",G$6:G4651)-SUMIF(A$6:A4651,"&lt;&gt;""",H$6:H4651),"")</f>
        <v/>
      </c>
    </row>
    <row r="4652">
      <c r="I4652">
        <f>IFERROR(SUMIF(A$6:A4652,"&lt;&gt;""",G$6:G4652)-SUMIF(A$6:A4652,"&lt;&gt;""",H$6:H4652),"")</f>
        <v/>
      </c>
    </row>
    <row r="4653">
      <c r="I4653">
        <f>IFERROR(SUMIF(A$6:A4653,"&lt;&gt;""",G$6:G4653)-SUMIF(A$6:A4653,"&lt;&gt;""",H$6:H4653),"")</f>
        <v/>
      </c>
    </row>
    <row r="4654">
      <c r="I4654">
        <f>IFERROR(SUMIF(A$6:A4654,"&lt;&gt;""",G$6:G4654)-SUMIF(A$6:A4654,"&lt;&gt;""",H$6:H4654),"")</f>
        <v/>
      </c>
    </row>
    <row r="4655">
      <c r="I4655">
        <f>IFERROR(SUMIF(A$6:A4655,"&lt;&gt;""",G$6:G4655)-SUMIF(A$6:A4655,"&lt;&gt;""",H$6:H4655),"")</f>
        <v/>
      </c>
    </row>
    <row r="4656">
      <c r="I4656">
        <f>IFERROR(SUMIF(A$6:A4656,"&lt;&gt;""",G$6:G4656)-SUMIF(A$6:A4656,"&lt;&gt;""",H$6:H4656),"")</f>
        <v/>
      </c>
    </row>
    <row r="4657">
      <c r="I4657">
        <f>IFERROR(SUMIF(A$6:A4657,"&lt;&gt;""",G$6:G4657)-SUMIF(A$6:A4657,"&lt;&gt;""",H$6:H4657),"")</f>
        <v/>
      </c>
    </row>
    <row r="4658">
      <c r="I4658">
        <f>IFERROR(SUMIF(A$6:A4658,"&lt;&gt;""",G$6:G4658)-SUMIF(A$6:A4658,"&lt;&gt;""",H$6:H4658),"")</f>
        <v/>
      </c>
    </row>
    <row r="4659">
      <c r="I4659">
        <f>IFERROR(SUMIF(A$6:A4659,"&lt;&gt;""",G$6:G4659)-SUMIF(A$6:A4659,"&lt;&gt;""",H$6:H4659),"")</f>
        <v/>
      </c>
    </row>
    <row r="4660">
      <c r="I4660">
        <f>IFERROR(SUMIF(A$6:A4660,"&lt;&gt;""",G$6:G4660)-SUMIF(A$6:A4660,"&lt;&gt;""",H$6:H4660),"")</f>
        <v/>
      </c>
    </row>
    <row r="4661">
      <c r="I4661">
        <f>IFERROR(SUMIF(A$6:A4661,"&lt;&gt;""",G$6:G4661)-SUMIF(A$6:A4661,"&lt;&gt;""",H$6:H4661),"")</f>
        <v/>
      </c>
    </row>
    <row r="4662">
      <c r="I4662">
        <f>IFERROR(SUMIF(A$6:A4662,"&lt;&gt;""",G$6:G4662)-SUMIF(A$6:A4662,"&lt;&gt;""",H$6:H4662),"")</f>
        <v/>
      </c>
    </row>
    <row r="4663">
      <c r="I4663">
        <f>IFERROR(SUMIF(A$6:A4663,"&lt;&gt;""",G$6:G4663)-SUMIF(A$6:A4663,"&lt;&gt;""",H$6:H4663),"")</f>
        <v/>
      </c>
    </row>
    <row r="4664">
      <c r="I4664">
        <f>IFERROR(SUMIF(A$6:A4664,"&lt;&gt;""",G$6:G4664)-SUMIF(A$6:A4664,"&lt;&gt;""",H$6:H4664),"")</f>
        <v/>
      </c>
    </row>
    <row r="4665">
      <c r="I4665">
        <f>IFERROR(SUMIF(A$6:A4665,"&lt;&gt;""",G$6:G4665)-SUMIF(A$6:A4665,"&lt;&gt;""",H$6:H4665),"")</f>
        <v/>
      </c>
    </row>
    <row r="4666">
      <c r="I4666">
        <f>IFERROR(SUMIF(A$6:A4666,"&lt;&gt;""",G$6:G4666)-SUMIF(A$6:A4666,"&lt;&gt;""",H$6:H4666),"")</f>
        <v/>
      </c>
    </row>
    <row r="4667">
      <c r="I4667">
        <f>IFERROR(SUMIF(A$6:A4667,"&lt;&gt;""",G$6:G4667)-SUMIF(A$6:A4667,"&lt;&gt;""",H$6:H4667),"")</f>
        <v/>
      </c>
    </row>
    <row r="4668">
      <c r="I4668">
        <f>IFERROR(SUMIF(A$6:A4668,"&lt;&gt;""",G$6:G4668)-SUMIF(A$6:A4668,"&lt;&gt;""",H$6:H4668),"")</f>
        <v/>
      </c>
    </row>
    <row r="4669">
      <c r="I4669">
        <f>IFERROR(SUMIF(A$6:A4669,"&lt;&gt;""",G$6:G4669)-SUMIF(A$6:A4669,"&lt;&gt;""",H$6:H4669),"")</f>
        <v/>
      </c>
    </row>
    <row r="4670">
      <c r="I4670">
        <f>IFERROR(SUMIF(A$6:A4670,"&lt;&gt;""",G$6:G4670)-SUMIF(A$6:A4670,"&lt;&gt;""",H$6:H4670),"")</f>
        <v/>
      </c>
    </row>
    <row r="4671">
      <c r="I4671">
        <f>IFERROR(SUMIF(A$6:A4671,"&lt;&gt;""",G$6:G4671)-SUMIF(A$6:A4671,"&lt;&gt;""",H$6:H4671),"")</f>
        <v/>
      </c>
    </row>
    <row r="4672">
      <c r="I4672">
        <f>IFERROR(SUMIF(A$6:A4672,"&lt;&gt;""",G$6:G4672)-SUMIF(A$6:A4672,"&lt;&gt;""",H$6:H4672),"")</f>
        <v/>
      </c>
    </row>
    <row r="4673">
      <c r="I4673">
        <f>IFERROR(SUMIF(A$6:A4673,"&lt;&gt;""",G$6:G4673)-SUMIF(A$6:A4673,"&lt;&gt;""",H$6:H4673),"")</f>
        <v/>
      </c>
    </row>
    <row r="4674">
      <c r="I4674">
        <f>IFERROR(SUMIF(A$6:A4674,"&lt;&gt;""",G$6:G4674)-SUMIF(A$6:A4674,"&lt;&gt;""",H$6:H4674),"")</f>
        <v/>
      </c>
    </row>
    <row r="4675">
      <c r="I4675">
        <f>IFERROR(SUMIF(A$6:A4675,"&lt;&gt;""",G$6:G4675)-SUMIF(A$6:A4675,"&lt;&gt;""",H$6:H4675),"")</f>
        <v/>
      </c>
    </row>
    <row r="4676">
      <c r="I4676">
        <f>IFERROR(SUMIF(A$6:A4676,"&lt;&gt;""",G$6:G4676)-SUMIF(A$6:A4676,"&lt;&gt;""",H$6:H4676),"")</f>
        <v/>
      </c>
    </row>
    <row r="4677">
      <c r="I4677">
        <f>IFERROR(SUMIF(A$6:A4677,"&lt;&gt;""",G$6:G4677)-SUMIF(A$6:A4677,"&lt;&gt;""",H$6:H4677),"")</f>
        <v/>
      </c>
    </row>
    <row r="4678">
      <c r="I4678">
        <f>IFERROR(SUMIF(A$6:A4678,"&lt;&gt;""",G$6:G4678)-SUMIF(A$6:A4678,"&lt;&gt;""",H$6:H4678),"")</f>
        <v/>
      </c>
    </row>
    <row r="4679">
      <c r="I4679">
        <f>IFERROR(SUMIF(A$6:A4679,"&lt;&gt;""",G$6:G4679)-SUMIF(A$6:A4679,"&lt;&gt;""",H$6:H4679),"")</f>
        <v/>
      </c>
    </row>
    <row r="4680">
      <c r="I4680">
        <f>IFERROR(SUMIF(A$6:A4680,"&lt;&gt;""",G$6:G4680)-SUMIF(A$6:A4680,"&lt;&gt;""",H$6:H4680),"")</f>
        <v/>
      </c>
    </row>
    <row r="4681">
      <c r="I4681">
        <f>IFERROR(SUMIF(A$6:A4681,"&lt;&gt;""",G$6:G4681)-SUMIF(A$6:A4681,"&lt;&gt;""",H$6:H4681),"")</f>
        <v/>
      </c>
    </row>
    <row r="4682">
      <c r="I4682">
        <f>IFERROR(SUMIF(A$6:A4682,"&lt;&gt;""",G$6:G4682)-SUMIF(A$6:A4682,"&lt;&gt;""",H$6:H4682),"")</f>
        <v/>
      </c>
    </row>
    <row r="4683">
      <c r="I4683">
        <f>IFERROR(SUMIF(A$6:A4683,"&lt;&gt;""",G$6:G4683)-SUMIF(A$6:A4683,"&lt;&gt;""",H$6:H4683),"")</f>
        <v/>
      </c>
    </row>
    <row r="4684">
      <c r="I4684">
        <f>IFERROR(SUMIF(A$6:A4684,"&lt;&gt;""",G$6:G4684)-SUMIF(A$6:A4684,"&lt;&gt;""",H$6:H4684),"")</f>
        <v/>
      </c>
    </row>
    <row r="4685">
      <c r="I4685">
        <f>IFERROR(SUMIF(A$6:A4685,"&lt;&gt;""",G$6:G4685)-SUMIF(A$6:A4685,"&lt;&gt;""",H$6:H4685),"")</f>
        <v/>
      </c>
    </row>
    <row r="4686">
      <c r="I4686">
        <f>IFERROR(SUMIF(A$6:A4686,"&lt;&gt;""",G$6:G4686)-SUMIF(A$6:A4686,"&lt;&gt;""",H$6:H4686),"")</f>
        <v/>
      </c>
    </row>
    <row r="4687">
      <c r="I4687">
        <f>IFERROR(SUMIF(A$6:A4687,"&lt;&gt;""",G$6:G4687)-SUMIF(A$6:A4687,"&lt;&gt;""",H$6:H4687),"")</f>
        <v/>
      </c>
    </row>
    <row r="4688">
      <c r="I4688">
        <f>IFERROR(SUMIF(A$6:A4688,"&lt;&gt;""",G$6:G4688)-SUMIF(A$6:A4688,"&lt;&gt;""",H$6:H4688),"")</f>
        <v/>
      </c>
    </row>
    <row r="4689">
      <c r="I4689">
        <f>IFERROR(SUMIF(A$6:A4689,"&lt;&gt;""",G$6:G4689)-SUMIF(A$6:A4689,"&lt;&gt;""",H$6:H4689),"")</f>
        <v/>
      </c>
    </row>
    <row r="4690">
      <c r="I4690">
        <f>IFERROR(SUMIF(A$6:A4690,"&lt;&gt;""",G$6:G4690)-SUMIF(A$6:A4690,"&lt;&gt;""",H$6:H4690),"")</f>
        <v/>
      </c>
    </row>
    <row r="4691">
      <c r="I4691">
        <f>IFERROR(SUMIF(A$6:A4691,"&lt;&gt;""",G$6:G4691)-SUMIF(A$6:A4691,"&lt;&gt;""",H$6:H4691),"")</f>
        <v/>
      </c>
    </row>
    <row r="4692">
      <c r="I4692">
        <f>IFERROR(SUMIF(A$6:A4692,"&lt;&gt;""",G$6:G4692)-SUMIF(A$6:A4692,"&lt;&gt;""",H$6:H4692),"")</f>
        <v/>
      </c>
    </row>
    <row r="4693">
      <c r="I4693">
        <f>IFERROR(SUMIF(A$6:A4693,"&lt;&gt;""",G$6:G4693)-SUMIF(A$6:A4693,"&lt;&gt;""",H$6:H4693),"")</f>
        <v/>
      </c>
    </row>
    <row r="4694">
      <c r="I4694">
        <f>IFERROR(SUMIF(A$6:A4694,"&lt;&gt;""",G$6:G4694)-SUMIF(A$6:A4694,"&lt;&gt;""",H$6:H4694),"")</f>
        <v/>
      </c>
    </row>
    <row r="4695">
      <c r="I4695">
        <f>IFERROR(SUMIF(A$6:A4695,"&lt;&gt;""",G$6:G4695)-SUMIF(A$6:A4695,"&lt;&gt;""",H$6:H4695),"")</f>
        <v/>
      </c>
    </row>
    <row r="4696">
      <c r="I4696">
        <f>IFERROR(SUMIF(A$6:A4696,"&lt;&gt;""",G$6:G4696)-SUMIF(A$6:A4696,"&lt;&gt;""",H$6:H4696),"")</f>
        <v/>
      </c>
    </row>
    <row r="4697">
      <c r="I4697">
        <f>IFERROR(SUMIF(A$6:A4697,"&lt;&gt;""",G$6:G4697)-SUMIF(A$6:A4697,"&lt;&gt;""",H$6:H4697),"")</f>
        <v/>
      </c>
    </row>
    <row r="4698">
      <c r="I4698">
        <f>IFERROR(SUMIF(A$6:A4698,"&lt;&gt;""",G$6:G4698)-SUMIF(A$6:A4698,"&lt;&gt;""",H$6:H4698),"")</f>
        <v/>
      </c>
    </row>
    <row r="4699">
      <c r="I4699">
        <f>IFERROR(SUMIF(A$6:A4699,"&lt;&gt;""",G$6:G4699)-SUMIF(A$6:A4699,"&lt;&gt;""",H$6:H4699),"")</f>
        <v/>
      </c>
    </row>
    <row r="4700">
      <c r="I4700">
        <f>IFERROR(SUMIF(A$6:A4700,"&lt;&gt;""",G$6:G4700)-SUMIF(A$6:A4700,"&lt;&gt;""",H$6:H4700),"")</f>
        <v/>
      </c>
    </row>
    <row r="4701">
      <c r="I4701">
        <f>IFERROR(SUMIF(A$6:A4701,"&lt;&gt;""",G$6:G4701)-SUMIF(A$6:A4701,"&lt;&gt;""",H$6:H4701),"")</f>
        <v/>
      </c>
    </row>
    <row r="4702">
      <c r="I4702">
        <f>IFERROR(SUMIF(A$6:A4702,"&lt;&gt;""",G$6:G4702)-SUMIF(A$6:A4702,"&lt;&gt;""",H$6:H4702),"")</f>
        <v/>
      </c>
    </row>
    <row r="4703">
      <c r="I4703">
        <f>IFERROR(SUMIF(A$6:A4703,"&lt;&gt;""",G$6:G4703)-SUMIF(A$6:A4703,"&lt;&gt;""",H$6:H4703),"")</f>
        <v/>
      </c>
    </row>
    <row r="4704">
      <c r="I4704">
        <f>IFERROR(SUMIF(A$6:A4704,"&lt;&gt;""",G$6:G4704)-SUMIF(A$6:A4704,"&lt;&gt;""",H$6:H4704),"")</f>
        <v/>
      </c>
    </row>
    <row r="4705">
      <c r="I4705">
        <f>IFERROR(SUMIF(A$6:A4705,"&lt;&gt;""",G$6:G4705)-SUMIF(A$6:A4705,"&lt;&gt;""",H$6:H4705),"")</f>
        <v/>
      </c>
    </row>
    <row r="4706">
      <c r="I4706">
        <f>IFERROR(SUMIF(A$6:A4706,"&lt;&gt;""",G$6:G4706)-SUMIF(A$6:A4706,"&lt;&gt;""",H$6:H4706),"")</f>
        <v/>
      </c>
    </row>
    <row r="4707">
      <c r="I4707">
        <f>IFERROR(SUMIF(A$6:A4707,"&lt;&gt;""",G$6:G4707)-SUMIF(A$6:A4707,"&lt;&gt;""",H$6:H4707),"")</f>
        <v/>
      </c>
    </row>
    <row r="4708">
      <c r="I4708">
        <f>IFERROR(SUMIF(A$6:A4708,"&lt;&gt;""",G$6:G4708)-SUMIF(A$6:A4708,"&lt;&gt;""",H$6:H4708),"")</f>
        <v/>
      </c>
    </row>
    <row r="4709">
      <c r="I4709">
        <f>IFERROR(SUMIF(A$6:A4709,"&lt;&gt;""",G$6:G4709)-SUMIF(A$6:A4709,"&lt;&gt;""",H$6:H4709),"")</f>
        <v/>
      </c>
    </row>
    <row r="4710">
      <c r="I4710">
        <f>IFERROR(SUMIF(A$6:A4710,"&lt;&gt;""",G$6:G4710)-SUMIF(A$6:A4710,"&lt;&gt;""",H$6:H4710),"")</f>
        <v/>
      </c>
    </row>
    <row r="4711">
      <c r="I4711">
        <f>IFERROR(SUMIF(A$6:A4711,"&lt;&gt;""",G$6:G4711)-SUMIF(A$6:A4711,"&lt;&gt;""",H$6:H4711),"")</f>
        <v/>
      </c>
    </row>
    <row r="4712">
      <c r="I4712">
        <f>IFERROR(SUMIF(A$6:A4712,"&lt;&gt;""",G$6:G4712)-SUMIF(A$6:A4712,"&lt;&gt;""",H$6:H4712),"")</f>
        <v/>
      </c>
    </row>
    <row r="4713">
      <c r="I4713">
        <f>IFERROR(SUMIF(A$6:A4713,"&lt;&gt;""",G$6:G4713)-SUMIF(A$6:A4713,"&lt;&gt;""",H$6:H4713),"")</f>
        <v/>
      </c>
    </row>
    <row r="4714">
      <c r="I4714">
        <f>IFERROR(SUMIF(A$6:A4714,"&lt;&gt;""",G$6:G4714)-SUMIF(A$6:A4714,"&lt;&gt;""",H$6:H4714),"")</f>
        <v/>
      </c>
    </row>
    <row r="4715">
      <c r="I4715">
        <f>IFERROR(SUMIF(A$6:A4715,"&lt;&gt;""",G$6:G4715)-SUMIF(A$6:A4715,"&lt;&gt;""",H$6:H4715),"")</f>
        <v/>
      </c>
    </row>
    <row r="4716">
      <c r="I4716">
        <f>IFERROR(SUMIF(A$6:A4716,"&lt;&gt;""",G$6:G4716)-SUMIF(A$6:A4716,"&lt;&gt;""",H$6:H4716),"")</f>
        <v/>
      </c>
    </row>
    <row r="4717">
      <c r="I4717">
        <f>IFERROR(SUMIF(A$6:A4717,"&lt;&gt;""",G$6:G4717)-SUMIF(A$6:A4717,"&lt;&gt;""",H$6:H4717),"")</f>
        <v/>
      </c>
    </row>
    <row r="4718">
      <c r="I4718">
        <f>IFERROR(SUMIF(A$6:A4718,"&lt;&gt;""",G$6:G4718)-SUMIF(A$6:A4718,"&lt;&gt;""",H$6:H4718),"")</f>
        <v/>
      </c>
    </row>
    <row r="4719">
      <c r="I4719">
        <f>IFERROR(SUMIF(A$6:A4719,"&lt;&gt;""",G$6:G4719)-SUMIF(A$6:A4719,"&lt;&gt;""",H$6:H4719),"")</f>
        <v/>
      </c>
    </row>
    <row r="4720">
      <c r="I4720">
        <f>IFERROR(SUMIF(A$6:A4720,"&lt;&gt;""",G$6:G4720)-SUMIF(A$6:A4720,"&lt;&gt;""",H$6:H4720),"")</f>
        <v/>
      </c>
    </row>
    <row r="4721">
      <c r="I4721">
        <f>IFERROR(SUMIF(A$6:A4721,"&lt;&gt;""",G$6:G4721)-SUMIF(A$6:A4721,"&lt;&gt;""",H$6:H4721),"")</f>
        <v/>
      </c>
    </row>
    <row r="4722">
      <c r="I4722">
        <f>IFERROR(SUMIF(A$6:A4722,"&lt;&gt;""",G$6:G4722)-SUMIF(A$6:A4722,"&lt;&gt;""",H$6:H4722),"")</f>
        <v/>
      </c>
    </row>
    <row r="4723">
      <c r="I4723">
        <f>IFERROR(SUMIF(A$6:A4723,"&lt;&gt;""",G$6:G4723)-SUMIF(A$6:A4723,"&lt;&gt;""",H$6:H4723),"")</f>
        <v/>
      </c>
    </row>
    <row r="4724">
      <c r="I4724">
        <f>IFERROR(SUMIF(A$6:A4724,"&lt;&gt;""",G$6:G4724)-SUMIF(A$6:A4724,"&lt;&gt;""",H$6:H4724),"")</f>
        <v/>
      </c>
    </row>
    <row r="4725">
      <c r="I4725">
        <f>IFERROR(SUMIF(A$6:A4725,"&lt;&gt;""",G$6:G4725)-SUMIF(A$6:A4725,"&lt;&gt;""",H$6:H4725),"")</f>
        <v/>
      </c>
    </row>
    <row r="4726">
      <c r="I4726">
        <f>IFERROR(SUMIF(A$6:A4726,"&lt;&gt;""",G$6:G4726)-SUMIF(A$6:A4726,"&lt;&gt;""",H$6:H4726),"")</f>
        <v/>
      </c>
    </row>
    <row r="4727">
      <c r="I4727">
        <f>IFERROR(SUMIF(A$6:A4727,"&lt;&gt;""",G$6:G4727)-SUMIF(A$6:A4727,"&lt;&gt;""",H$6:H4727),"")</f>
        <v/>
      </c>
    </row>
    <row r="4728">
      <c r="I4728">
        <f>IFERROR(SUMIF(A$6:A4728,"&lt;&gt;""",G$6:G4728)-SUMIF(A$6:A4728,"&lt;&gt;""",H$6:H4728),"")</f>
        <v/>
      </c>
    </row>
    <row r="4729">
      <c r="I4729">
        <f>IFERROR(SUMIF(A$6:A4729,"&lt;&gt;""",G$6:G4729)-SUMIF(A$6:A4729,"&lt;&gt;""",H$6:H4729),"")</f>
        <v/>
      </c>
    </row>
    <row r="4730">
      <c r="I4730">
        <f>IFERROR(SUMIF(A$6:A4730,"&lt;&gt;""",G$6:G4730)-SUMIF(A$6:A4730,"&lt;&gt;""",H$6:H4730),"")</f>
        <v/>
      </c>
    </row>
    <row r="4731">
      <c r="I4731">
        <f>IFERROR(SUMIF(A$6:A4731,"&lt;&gt;""",G$6:G4731)-SUMIF(A$6:A4731,"&lt;&gt;""",H$6:H4731),"")</f>
        <v/>
      </c>
    </row>
    <row r="4732">
      <c r="I4732">
        <f>IFERROR(SUMIF(A$6:A4732,"&lt;&gt;""",G$6:G4732)-SUMIF(A$6:A4732,"&lt;&gt;""",H$6:H4732),"")</f>
        <v/>
      </c>
    </row>
    <row r="4733">
      <c r="I4733">
        <f>IFERROR(SUMIF(A$6:A4733,"&lt;&gt;""",G$6:G4733)-SUMIF(A$6:A4733,"&lt;&gt;""",H$6:H4733),"")</f>
        <v/>
      </c>
    </row>
    <row r="4734">
      <c r="I4734">
        <f>IFERROR(SUMIF(A$6:A4734,"&lt;&gt;""",G$6:G4734)-SUMIF(A$6:A4734,"&lt;&gt;""",H$6:H4734),"")</f>
        <v/>
      </c>
    </row>
    <row r="4735">
      <c r="I4735">
        <f>IFERROR(SUMIF(A$6:A4735,"&lt;&gt;""",G$6:G4735)-SUMIF(A$6:A4735,"&lt;&gt;""",H$6:H4735),"")</f>
        <v/>
      </c>
    </row>
    <row r="4736">
      <c r="I4736">
        <f>IFERROR(SUMIF(A$6:A4736,"&lt;&gt;""",G$6:G4736)-SUMIF(A$6:A4736,"&lt;&gt;""",H$6:H4736),"")</f>
        <v/>
      </c>
    </row>
    <row r="4737">
      <c r="I4737">
        <f>IFERROR(SUMIF(A$6:A4737,"&lt;&gt;""",G$6:G4737)-SUMIF(A$6:A4737,"&lt;&gt;""",H$6:H4737),"")</f>
        <v/>
      </c>
    </row>
    <row r="4738">
      <c r="I4738">
        <f>IFERROR(SUMIF(A$6:A4738,"&lt;&gt;""",G$6:G4738)-SUMIF(A$6:A4738,"&lt;&gt;""",H$6:H4738),"")</f>
        <v/>
      </c>
    </row>
    <row r="4739">
      <c r="I4739">
        <f>IFERROR(SUMIF(A$6:A4739,"&lt;&gt;""",G$6:G4739)-SUMIF(A$6:A4739,"&lt;&gt;""",H$6:H4739),"")</f>
        <v/>
      </c>
    </row>
    <row r="4740">
      <c r="I4740">
        <f>IFERROR(SUMIF(A$6:A4740,"&lt;&gt;""",G$6:G4740)-SUMIF(A$6:A4740,"&lt;&gt;""",H$6:H4740),"")</f>
        <v/>
      </c>
    </row>
    <row r="4741">
      <c r="I4741">
        <f>IFERROR(SUMIF(A$6:A4741,"&lt;&gt;""",G$6:G4741)-SUMIF(A$6:A4741,"&lt;&gt;""",H$6:H4741),"")</f>
        <v/>
      </c>
    </row>
    <row r="4742">
      <c r="I4742">
        <f>IFERROR(SUMIF(A$6:A4742,"&lt;&gt;""",G$6:G4742)-SUMIF(A$6:A4742,"&lt;&gt;""",H$6:H4742),"")</f>
        <v/>
      </c>
    </row>
    <row r="4743">
      <c r="I4743">
        <f>IFERROR(SUMIF(A$6:A4743,"&lt;&gt;""",G$6:G4743)-SUMIF(A$6:A4743,"&lt;&gt;""",H$6:H4743),"")</f>
        <v/>
      </c>
    </row>
    <row r="4744">
      <c r="I4744">
        <f>IFERROR(SUMIF(A$6:A4744,"&lt;&gt;""",G$6:G4744)-SUMIF(A$6:A4744,"&lt;&gt;""",H$6:H4744),"")</f>
        <v/>
      </c>
    </row>
    <row r="4745">
      <c r="I4745">
        <f>IFERROR(SUMIF(A$6:A4745,"&lt;&gt;""",G$6:G4745)-SUMIF(A$6:A4745,"&lt;&gt;""",H$6:H4745),"")</f>
        <v/>
      </c>
    </row>
    <row r="4746">
      <c r="I4746">
        <f>IFERROR(SUMIF(A$6:A4746,"&lt;&gt;""",G$6:G4746)-SUMIF(A$6:A4746,"&lt;&gt;""",H$6:H4746),"")</f>
        <v/>
      </c>
    </row>
    <row r="4747">
      <c r="I4747">
        <f>IFERROR(SUMIF(A$6:A4747,"&lt;&gt;""",G$6:G4747)-SUMIF(A$6:A4747,"&lt;&gt;""",H$6:H4747),"")</f>
        <v/>
      </c>
    </row>
    <row r="4748">
      <c r="I4748">
        <f>IFERROR(SUMIF(A$6:A4748,"&lt;&gt;""",G$6:G4748)-SUMIF(A$6:A4748,"&lt;&gt;""",H$6:H4748),"")</f>
        <v/>
      </c>
    </row>
    <row r="4749">
      <c r="I4749">
        <f>IFERROR(SUMIF(A$6:A4749,"&lt;&gt;""",G$6:G4749)-SUMIF(A$6:A4749,"&lt;&gt;""",H$6:H4749),"")</f>
        <v/>
      </c>
    </row>
    <row r="4750">
      <c r="I4750">
        <f>IFERROR(SUMIF(A$6:A4750,"&lt;&gt;""",G$6:G4750)-SUMIF(A$6:A4750,"&lt;&gt;""",H$6:H4750),"")</f>
        <v/>
      </c>
    </row>
    <row r="4751">
      <c r="I4751">
        <f>IFERROR(SUMIF(A$6:A4751,"&lt;&gt;""",G$6:G4751)-SUMIF(A$6:A4751,"&lt;&gt;""",H$6:H4751),"")</f>
        <v/>
      </c>
    </row>
    <row r="4752">
      <c r="I4752">
        <f>IFERROR(SUMIF(A$6:A4752,"&lt;&gt;""",G$6:G4752)-SUMIF(A$6:A4752,"&lt;&gt;""",H$6:H4752),"")</f>
        <v/>
      </c>
    </row>
    <row r="4753">
      <c r="I4753">
        <f>IFERROR(SUMIF(A$6:A4753,"&lt;&gt;""",G$6:G4753)-SUMIF(A$6:A4753,"&lt;&gt;""",H$6:H4753),"")</f>
        <v/>
      </c>
    </row>
    <row r="4754">
      <c r="I4754">
        <f>IFERROR(SUMIF(A$6:A4754,"&lt;&gt;""",G$6:G4754)-SUMIF(A$6:A4754,"&lt;&gt;""",H$6:H4754),"")</f>
        <v/>
      </c>
    </row>
    <row r="4755">
      <c r="I4755">
        <f>IFERROR(SUMIF(A$6:A4755,"&lt;&gt;""",G$6:G4755)-SUMIF(A$6:A4755,"&lt;&gt;""",H$6:H4755),"")</f>
        <v/>
      </c>
    </row>
    <row r="4756">
      <c r="I4756">
        <f>IFERROR(SUMIF(A$6:A4756,"&lt;&gt;""",G$6:G4756)-SUMIF(A$6:A4756,"&lt;&gt;""",H$6:H4756),"")</f>
        <v/>
      </c>
    </row>
    <row r="4757">
      <c r="I4757">
        <f>IFERROR(SUMIF(A$6:A4757,"&lt;&gt;""",G$6:G4757)-SUMIF(A$6:A4757,"&lt;&gt;""",H$6:H4757),"")</f>
        <v/>
      </c>
    </row>
    <row r="4758">
      <c r="I4758">
        <f>IFERROR(SUMIF(A$6:A4758,"&lt;&gt;""",G$6:G4758)-SUMIF(A$6:A4758,"&lt;&gt;""",H$6:H4758),"")</f>
        <v/>
      </c>
    </row>
    <row r="4759">
      <c r="I4759">
        <f>IFERROR(SUMIF(A$6:A4759,"&lt;&gt;""",G$6:G4759)-SUMIF(A$6:A4759,"&lt;&gt;""",H$6:H4759),"")</f>
        <v/>
      </c>
    </row>
    <row r="4760">
      <c r="I4760">
        <f>IFERROR(SUMIF(A$6:A4760,"&lt;&gt;""",G$6:G4760)-SUMIF(A$6:A4760,"&lt;&gt;""",H$6:H4760),"")</f>
        <v/>
      </c>
    </row>
    <row r="4761">
      <c r="I4761">
        <f>IFERROR(SUMIF(A$6:A4761,"&lt;&gt;""",G$6:G4761)-SUMIF(A$6:A4761,"&lt;&gt;""",H$6:H4761),"")</f>
        <v/>
      </c>
    </row>
    <row r="4762">
      <c r="I4762">
        <f>IFERROR(SUMIF(A$6:A4762,"&lt;&gt;""",G$6:G4762)-SUMIF(A$6:A4762,"&lt;&gt;""",H$6:H4762),"")</f>
        <v/>
      </c>
    </row>
    <row r="4763">
      <c r="I4763">
        <f>IFERROR(SUMIF(A$6:A4763,"&lt;&gt;""",G$6:G4763)-SUMIF(A$6:A4763,"&lt;&gt;""",H$6:H4763),"")</f>
        <v/>
      </c>
    </row>
    <row r="4764">
      <c r="I4764">
        <f>IFERROR(SUMIF(A$6:A4764,"&lt;&gt;""",G$6:G4764)-SUMIF(A$6:A4764,"&lt;&gt;""",H$6:H4764),"")</f>
        <v/>
      </c>
    </row>
    <row r="4765">
      <c r="I4765">
        <f>IFERROR(SUMIF(A$6:A4765,"&lt;&gt;""",G$6:G4765)-SUMIF(A$6:A4765,"&lt;&gt;""",H$6:H4765),"")</f>
        <v/>
      </c>
    </row>
    <row r="4766">
      <c r="I4766">
        <f>IFERROR(SUMIF(A$6:A4766,"&lt;&gt;""",G$6:G4766)-SUMIF(A$6:A4766,"&lt;&gt;""",H$6:H4766),"")</f>
        <v/>
      </c>
    </row>
    <row r="4767">
      <c r="I4767">
        <f>IFERROR(SUMIF(A$6:A4767,"&lt;&gt;""",G$6:G4767)-SUMIF(A$6:A4767,"&lt;&gt;""",H$6:H4767),"")</f>
        <v/>
      </c>
    </row>
    <row r="4768">
      <c r="I4768">
        <f>IFERROR(SUMIF(A$6:A4768,"&lt;&gt;""",G$6:G4768)-SUMIF(A$6:A4768,"&lt;&gt;""",H$6:H4768),"")</f>
        <v/>
      </c>
    </row>
    <row r="4769">
      <c r="I4769">
        <f>IFERROR(SUMIF(A$6:A4769,"&lt;&gt;""",G$6:G4769)-SUMIF(A$6:A4769,"&lt;&gt;""",H$6:H4769),"")</f>
        <v/>
      </c>
    </row>
    <row r="4770">
      <c r="I4770">
        <f>IFERROR(SUMIF(A$6:A4770,"&lt;&gt;""",G$6:G4770)-SUMIF(A$6:A4770,"&lt;&gt;""",H$6:H4770),"")</f>
        <v/>
      </c>
    </row>
    <row r="4771">
      <c r="I4771">
        <f>IFERROR(SUMIF(A$6:A4771,"&lt;&gt;""",G$6:G4771)-SUMIF(A$6:A4771,"&lt;&gt;""",H$6:H4771),"")</f>
        <v/>
      </c>
    </row>
    <row r="4772">
      <c r="I4772">
        <f>IFERROR(SUMIF(A$6:A4772,"&lt;&gt;""",G$6:G4772)-SUMIF(A$6:A4772,"&lt;&gt;""",H$6:H4772),"")</f>
        <v/>
      </c>
    </row>
    <row r="4773">
      <c r="I4773">
        <f>IFERROR(SUMIF(A$6:A4773,"&lt;&gt;""",G$6:G4773)-SUMIF(A$6:A4773,"&lt;&gt;""",H$6:H4773),"")</f>
        <v/>
      </c>
    </row>
    <row r="4774">
      <c r="I4774">
        <f>IFERROR(SUMIF(A$6:A4774,"&lt;&gt;""",G$6:G4774)-SUMIF(A$6:A4774,"&lt;&gt;""",H$6:H4774),"")</f>
        <v/>
      </c>
    </row>
    <row r="4775">
      <c r="I4775">
        <f>IFERROR(SUMIF(A$6:A4775,"&lt;&gt;""",G$6:G4775)-SUMIF(A$6:A4775,"&lt;&gt;""",H$6:H4775),"")</f>
        <v/>
      </c>
    </row>
    <row r="4776">
      <c r="I4776">
        <f>IFERROR(SUMIF(A$6:A4776,"&lt;&gt;""",G$6:G4776)-SUMIF(A$6:A4776,"&lt;&gt;""",H$6:H4776),"")</f>
        <v/>
      </c>
    </row>
    <row r="4777">
      <c r="I4777">
        <f>IFERROR(SUMIF(A$6:A4777,"&lt;&gt;""",G$6:G4777)-SUMIF(A$6:A4777,"&lt;&gt;""",H$6:H4777),"")</f>
        <v/>
      </c>
    </row>
    <row r="4778">
      <c r="I4778">
        <f>IFERROR(SUMIF(A$6:A4778,"&lt;&gt;""",G$6:G4778)-SUMIF(A$6:A4778,"&lt;&gt;""",H$6:H4778),"")</f>
        <v/>
      </c>
    </row>
    <row r="4779">
      <c r="I4779">
        <f>IFERROR(SUMIF(A$6:A4779,"&lt;&gt;""",G$6:G4779)-SUMIF(A$6:A4779,"&lt;&gt;""",H$6:H4779),"")</f>
        <v/>
      </c>
    </row>
    <row r="4780">
      <c r="I4780">
        <f>IFERROR(SUMIF(A$6:A4780,"&lt;&gt;""",G$6:G4780)-SUMIF(A$6:A4780,"&lt;&gt;""",H$6:H4780),"")</f>
        <v/>
      </c>
    </row>
    <row r="4781">
      <c r="I4781">
        <f>IFERROR(SUMIF(A$6:A4781,"&lt;&gt;""",G$6:G4781)-SUMIF(A$6:A4781,"&lt;&gt;""",H$6:H4781),"")</f>
        <v/>
      </c>
    </row>
    <row r="4782">
      <c r="I4782">
        <f>IFERROR(SUMIF(A$6:A4782,"&lt;&gt;""",G$6:G4782)-SUMIF(A$6:A4782,"&lt;&gt;""",H$6:H4782),"")</f>
        <v/>
      </c>
    </row>
    <row r="4783">
      <c r="I4783">
        <f>IFERROR(SUMIF(A$6:A4783,"&lt;&gt;""",G$6:G4783)-SUMIF(A$6:A4783,"&lt;&gt;""",H$6:H4783),"")</f>
        <v/>
      </c>
    </row>
    <row r="4784">
      <c r="I4784">
        <f>IFERROR(SUMIF(A$6:A4784,"&lt;&gt;""",G$6:G4784)-SUMIF(A$6:A4784,"&lt;&gt;""",H$6:H4784),"")</f>
        <v/>
      </c>
    </row>
    <row r="4785">
      <c r="I4785">
        <f>IFERROR(SUMIF(A$6:A4785,"&lt;&gt;""",G$6:G4785)-SUMIF(A$6:A4785,"&lt;&gt;""",H$6:H4785),"")</f>
        <v/>
      </c>
    </row>
    <row r="4786">
      <c r="I4786">
        <f>IFERROR(SUMIF(A$6:A4786,"&lt;&gt;""",G$6:G4786)-SUMIF(A$6:A4786,"&lt;&gt;""",H$6:H4786),"")</f>
        <v/>
      </c>
    </row>
    <row r="4787">
      <c r="I4787">
        <f>IFERROR(SUMIF(A$6:A4787,"&lt;&gt;""",G$6:G4787)-SUMIF(A$6:A4787,"&lt;&gt;""",H$6:H4787),"")</f>
        <v/>
      </c>
    </row>
    <row r="4788">
      <c r="I4788">
        <f>IFERROR(SUMIF(A$6:A4788,"&lt;&gt;""",G$6:G4788)-SUMIF(A$6:A4788,"&lt;&gt;""",H$6:H4788),"")</f>
        <v/>
      </c>
    </row>
    <row r="4789">
      <c r="I4789">
        <f>IFERROR(SUMIF(A$6:A4789,"&lt;&gt;""",G$6:G4789)-SUMIF(A$6:A4789,"&lt;&gt;""",H$6:H4789),"")</f>
        <v/>
      </c>
    </row>
    <row r="4790">
      <c r="I4790">
        <f>IFERROR(SUMIF(A$6:A4790,"&lt;&gt;""",G$6:G4790)-SUMIF(A$6:A4790,"&lt;&gt;""",H$6:H4790),"")</f>
        <v/>
      </c>
    </row>
    <row r="4791">
      <c r="I4791">
        <f>IFERROR(SUMIF(A$6:A4791,"&lt;&gt;""",G$6:G4791)-SUMIF(A$6:A4791,"&lt;&gt;""",H$6:H4791),"")</f>
        <v/>
      </c>
    </row>
    <row r="4792">
      <c r="I4792">
        <f>IFERROR(SUMIF(A$6:A4792,"&lt;&gt;""",G$6:G4792)-SUMIF(A$6:A4792,"&lt;&gt;""",H$6:H4792),"")</f>
        <v/>
      </c>
    </row>
    <row r="4793">
      <c r="I4793">
        <f>IFERROR(SUMIF(A$6:A4793,"&lt;&gt;""",G$6:G4793)-SUMIF(A$6:A4793,"&lt;&gt;""",H$6:H4793),"")</f>
        <v/>
      </c>
    </row>
    <row r="4794">
      <c r="I4794">
        <f>IFERROR(SUMIF(A$6:A4794,"&lt;&gt;""",G$6:G4794)-SUMIF(A$6:A4794,"&lt;&gt;""",H$6:H4794),"")</f>
        <v/>
      </c>
    </row>
    <row r="4795">
      <c r="I4795">
        <f>IFERROR(SUMIF(A$6:A4795,"&lt;&gt;""",G$6:G4795)-SUMIF(A$6:A4795,"&lt;&gt;""",H$6:H4795),"")</f>
        <v/>
      </c>
    </row>
    <row r="4796">
      <c r="I4796">
        <f>IFERROR(SUMIF(A$6:A4796,"&lt;&gt;""",G$6:G4796)-SUMIF(A$6:A4796,"&lt;&gt;""",H$6:H4796),"")</f>
        <v/>
      </c>
    </row>
    <row r="4797">
      <c r="I4797">
        <f>IFERROR(SUMIF(A$6:A4797,"&lt;&gt;""",G$6:G4797)-SUMIF(A$6:A4797,"&lt;&gt;""",H$6:H4797),"")</f>
        <v/>
      </c>
    </row>
    <row r="4798">
      <c r="I4798">
        <f>IFERROR(SUMIF(A$6:A4798,"&lt;&gt;""",G$6:G4798)-SUMIF(A$6:A4798,"&lt;&gt;""",H$6:H4798),"")</f>
        <v/>
      </c>
    </row>
    <row r="4799">
      <c r="I4799">
        <f>IFERROR(SUMIF(A$6:A4799,"&lt;&gt;""",G$6:G4799)-SUMIF(A$6:A4799,"&lt;&gt;""",H$6:H4799),"")</f>
        <v/>
      </c>
    </row>
    <row r="4800">
      <c r="I4800">
        <f>IFERROR(SUMIF(A$6:A4800,"&lt;&gt;""",G$6:G4800)-SUMIF(A$6:A4800,"&lt;&gt;""",H$6:H4800),"")</f>
        <v/>
      </c>
    </row>
    <row r="4801">
      <c r="I4801">
        <f>IFERROR(SUMIF(A$6:A4801,"&lt;&gt;""",G$6:G4801)-SUMIF(A$6:A4801,"&lt;&gt;""",H$6:H4801),"")</f>
        <v/>
      </c>
    </row>
    <row r="4802">
      <c r="I4802">
        <f>IFERROR(SUMIF(A$6:A4802,"&lt;&gt;""",G$6:G4802)-SUMIF(A$6:A4802,"&lt;&gt;""",H$6:H4802),"")</f>
        <v/>
      </c>
    </row>
    <row r="4803">
      <c r="I4803">
        <f>IFERROR(SUMIF(A$6:A4803,"&lt;&gt;""",G$6:G4803)-SUMIF(A$6:A4803,"&lt;&gt;""",H$6:H4803),"")</f>
        <v/>
      </c>
    </row>
    <row r="4804">
      <c r="I4804">
        <f>IFERROR(SUMIF(A$6:A4804,"&lt;&gt;""",G$6:G4804)-SUMIF(A$6:A4804,"&lt;&gt;""",H$6:H4804),"")</f>
        <v/>
      </c>
    </row>
    <row r="4805">
      <c r="I4805">
        <f>IFERROR(SUMIF(A$6:A4805,"&lt;&gt;""",G$6:G4805)-SUMIF(A$6:A4805,"&lt;&gt;""",H$6:H4805),"")</f>
        <v/>
      </c>
    </row>
    <row r="4806">
      <c r="I4806">
        <f>IFERROR(SUMIF(A$6:A4806,"&lt;&gt;""",G$6:G4806)-SUMIF(A$6:A4806,"&lt;&gt;""",H$6:H4806),"")</f>
        <v/>
      </c>
    </row>
    <row r="4807">
      <c r="I4807">
        <f>IFERROR(SUMIF(A$6:A4807,"&lt;&gt;""",G$6:G4807)-SUMIF(A$6:A4807,"&lt;&gt;""",H$6:H4807),"")</f>
        <v/>
      </c>
    </row>
    <row r="4808">
      <c r="I4808">
        <f>IFERROR(SUMIF(A$6:A4808,"&lt;&gt;""",G$6:G4808)-SUMIF(A$6:A4808,"&lt;&gt;""",H$6:H4808),"")</f>
        <v/>
      </c>
    </row>
    <row r="4809">
      <c r="I4809">
        <f>IFERROR(SUMIF(A$6:A4809,"&lt;&gt;""",G$6:G4809)-SUMIF(A$6:A4809,"&lt;&gt;""",H$6:H4809),"")</f>
        <v/>
      </c>
    </row>
    <row r="4810">
      <c r="I4810">
        <f>IFERROR(SUMIF(A$6:A4810,"&lt;&gt;""",G$6:G4810)-SUMIF(A$6:A4810,"&lt;&gt;""",H$6:H4810),"")</f>
        <v/>
      </c>
    </row>
    <row r="4811">
      <c r="I4811">
        <f>IFERROR(SUMIF(A$6:A4811,"&lt;&gt;""",G$6:G4811)-SUMIF(A$6:A4811,"&lt;&gt;""",H$6:H4811),"")</f>
        <v/>
      </c>
    </row>
    <row r="4812">
      <c r="I4812">
        <f>IFERROR(SUMIF(A$6:A4812,"&lt;&gt;""",G$6:G4812)-SUMIF(A$6:A4812,"&lt;&gt;""",H$6:H4812),"")</f>
        <v/>
      </c>
    </row>
    <row r="4813">
      <c r="I4813">
        <f>IFERROR(SUMIF(A$6:A4813,"&lt;&gt;""",G$6:G4813)-SUMIF(A$6:A4813,"&lt;&gt;""",H$6:H4813),"")</f>
        <v/>
      </c>
    </row>
    <row r="4814">
      <c r="I4814">
        <f>IFERROR(SUMIF(A$6:A4814,"&lt;&gt;""",G$6:G4814)-SUMIF(A$6:A4814,"&lt;&gt;""",H$6:H4814),"")</f>
        <v/>
      </c>
    </row>
    <row r="4815">
      <c r="I4815">
        <f>IFERROR(SUMIF(A$6:A4815,"&lt;&gt;""",G$6:G4815)-SUMIF(A$6:A4815,"&lt;&gt;""",H$6:H4815),"")</f>
        <v/>
      </c>
    </row>
    <row r="4816">
      <c r="I4816">
        <f>IFERROR(SUMIF(A$6:A4816,"&lt;&gt;""",G$6:G4816)-SUMIF(A$6:A4816,"&lt;&gt;""",H$6:H4816),"")</f>
        <v/>
      </c>
    </row>
    <row r="4817">
      <c r="I4817">
        <f>IFERROR(SUMIF(A$6:A4817,"&lt;&gt;""",G$6:G4817)-SUMIF(A$6:A4817,"&lt;&gt;""",H$6:H4817),"")</f>
        <v/>
      </c>
    </row>
    <row r="4818">
      <c r="I4818">
        <f>IFERROR(SUMIF(A$6:A4818,"&lt;&gt;""",G$6:G4818)-SUMIF(A$6:A4818,"&lt;&gt;""",H$6:H4818),"")</f>
        <v/>
      </c>
    </row>
    <row r="4819">
      <c r="I4819">
        <f>IFERROR(SUMIF(A$6:A4819,"&lt;&gt;""",G$6:G4819)-SUMIF(A$6:A4819,"&lt;&gt;""",H$6:H4819),"")</f>
        <v/>
      </c>
    </row>
    <row r="4820">
      <c r="I4820">
        <f>IFERROR(SUMIF(A$6:A4820,"&lt;&gt;""",G$6:G4820)-SUMIF(A$6:A4820,"&lt;&gt;""",H$6:H4820),"")</f>
        <v/>
      </c>
    </row>
    <row r="4821">
      <c r="I4821">
        <f>IFERROR(SUMIF(A$6:A4821,"&lt;&gt;""",G$6:G4821)-SUMIF(A$6:A4821,"&lt;&gt;""",H$6:H4821),"")</f>
        <v/>
      </c>
    </row>
    <row r="4822">
      <c r="I4822">
        <f>IFERROR(SUMIF(A$6:A4822,"&lt;&gt;""",G$6:G4822)-SUMIF(A$6:A4822,"&lt;&gt;""",H$6:H4822),"")</f>
        <v/>
      </c>
    </row>
    <row r="4823">
      <c r="I4823">
        <f>IFERROR(SUMIF(A$6:A4823,"&lt;&gt;""",G$6:G4823)-SUMIF(A$6:A4823,"&lt;&gt;""",H$6:H4823),"")</f>
        <v/>
      </c>
    </row>
    <row r="4824">
      <c r="I4824">
        <f>IFERROR(SUMIF(A$6:A4824,"&lt;&gt;""",G$6:G4824)-SUMIF(A$6:A4824,"&lt;&gt;""",H$6:H4824),"")</f>
        <v/>
      </c>
    </row>
    <row r="4825">
      <c r="I4825">
        <f>IFERROR(SUMIF(A$6:A4825,"&lt;&gt;""",G$6:G4825)-SUMIF(A$6:A4825,"&lt;&gt;""",H$6:H4825),"")</f>
        <v/>
      </c>
    </row>
    <row r="4826">
      <c r="I4826">
        <f>IFERROR(SUMIF(A$6:A4826,"&lt;&gt;""",G$6:G4826)-SUMIF(A$6:A4826,"&lt;&gt;""",H$6:H4826),"")</f>
        <v/>
      </c>
    </row>
    <row r="4827">
      <c r="I4827">
        <f>IFERROR(SUMIF(A$6:A4827,"&lt;&gt;""",G$6:G4827)-SUMIF(A$6:A4827,"&lt;&gt;""",H$6:H4827),"")</f>
        <v/>
      </c>
    </row>
    <row r="4828">
      <c r="I4828">
        <f>IFERROR(SUMIF(A$6:A4828,"&lt;&gt;""",G$6:G4828)-SUMIF(A$6:A4828,"&lt;&gt;""",H$6:H4828),"")</f>
        <v/>
      </c>
    </row>
    <row r="4829">
      <c r="I4829">
        <f>IFERROR(SUMIF(A$6:A4829,"&lt;&gt;""",G$6:G4829)-SUMIF(A$6:A4829,"&lt;&gt;""",H$6:H4829),"")</f>
        <v/>
      </c>
    </row>
    <row r="4830">
      <c r="I4830">
        <f>IFERROR(SUMIF(A$6:A4830,"&lt;&gt;""",G$6:G4830)-SUMIF(A$6:A4830,"&lt;&gt;""",H$6:H4830),"")</f>
        <v/>
      </c>
    </row>
    <row r="4831">
      <c r="I4831">
        <f>IFERROR(SUMIF(A$6:A4831,"&lt;&gt;""",G$6:G4831)-SUMIF(A$6:A4831,"&lt;&gt;""",H$6:H4831),"")</f>
        <v/>
      </c>
    </row>
    <row r="4832">
      <c r="I4832">
        <f>IFERROR(SUMIF(A$6:A4832,"&lt;&gt;""",G$6:G4832)-SUMIF(A$6:A4832,"&lt;&gt;""",H$6:H4832),"")</f>
        <v/>
      </c>
    </row>
    <row r="4833">
      <c r="I4833">
        <f>IFERROR(SUMIF(A$6:A4833,"&lt;&gt;""",G$6:G4833)-SUMIF(A$6:A4833,"&lt;&gt;""",H$6:H4833),"")</f>
        <v/>
      </c>
    </row>
    <row r="4834">
      <c r="I4834">
        <f>IFERROR(SUMIF(A$6:A4834,"&lt;&gt;""",G$6:G4834)-SUMIF(A$6:A4834,"&lt;&gt;""",H$6:H4834),"")</f>
        <v/>
      </c>
    </row>
    <row r="4835">
      <c r="I4835">
        <f>IFERROR(SUMIF(A$6:A4835,"&lt;&gt;""",G$6:G4835)-SUMIF(A$6:A4835,"&lt;&gt;""",H$6:H4835),"")</f>
        <v/>
      </c>
    </row>
    <row r="4836">
      <c r="I4836">
        <f>IFERROR(SUMIF(A$6:A4836,"&lt;&gt;""",G$6:G4836)-SUMIF(A$6:A4836,"&lt;&gt;""",H$6:H4836),"")</f>
        <v/>
      </c>
    </row>
    <row r="4837">
      <c r="I4837">
        <f>IFERROR(SUMIF(A$6:A4837,"&lt;&gt;""",G$6:G4837)-SUMIF(A$6:A4837,"&lt;&gt;""",H$6:H4837),"")</f>
        <v/>
      </c>
    </row>
    <row r="4838">
      <c r="I4838">
        <f>IFERROR(SUMIF(A$6:A4838,"&lt;&gt;""",G$6:G4838)-SUMIF(A$6:A4838,"&lt;&gt;""",H$6:H4838),"")</f>
        <v/>
      </c>
    </row>
    <row r="4839">
      <c r="I4839">
        <f>IFERROR(SUMIF(A$6:A4839,"&lt;&gt;""",G$6:G4839)-SUMIF(A$6:A4839,"&lt;&gt;""",H$6:H4839),"")</f>
        <v/>
      </c>
    </row>
    <row r="4840">
      <c r="I4840">
        <f>IFERROR(SUMIF(A$6:A4840,"&lt;&gt;""",G$6:G4840)-SUMIF(A$6:A4840,"&lt;&gt;""",H$6:H4840),"")</f>
        <v/>
      </c>
    </row>
    <row r="4841">
      <c r="I4841">
        <f>IFERROR(SUMIF(A$6:A4841,"&lt;&gt;""",G$6:G4841)-SUMIF(A$6:A4841,"&lt;&gt;""",H$6:H4841),"")</f>
        <v/>
      </c>
    </row>
    <row r="4842">
      <c r="I4842">
        <f>IFERROR(SUMIF(A$6:A4842,"&lt;&gt;""",G$6:G4842)-SUMIF(A$6:A4842,"&lt;&gt;""",H$6:H4842),"")</f>
        <v/>
      </c>
    </row>
    <row r="4843">
      <c r="I4843">
        <f>IFERROR(SUMIF(A$6:A4843,"&lt;&gt;""",G$6:G4843)-SUMIF(A$6:A4843,"&lt;&gt;""",H$6:H4843),"")</f>
        <v/>
      </c>
    </row>
    <row r="4844">
      <c r="I4844">
        <f>IFERROR(SUMIF(A$6:A4844,"&lt;&gt;""",G$6:G4844)-SUMIF(A$6:A4844,"&lt;&gt;""",H$6:H4844),"")</f>
        <v/>
      </c>
    </row>
    <row r="4845">
      <c r="I4845">
        <f>IFERROR(SUMIF(A$6:A4845,"&lt;&gt;""",G$6:G4845)-SUMIF(A$6:A4845,"&lt;&gt;""",H$6:H4845),"")</f>
        <v/>
      </c>
    </row>
    <row r="4846">
      <c r="I4846">
        <f>IFERROR(SUMIF(A$6:A4846,"&lt;&gt;""",G$6:G4846)-SUMIF(A$6:A4846,"&lt;&gt;""",H$6:H4846),"")</f>
        <v/>
      </c>
    </row>
    <row r="4847">
      <c r="I4847">
        <f>IFERROR(SUMIF(A$6:A4847,"&lt;&gt;""",G$6:G4847)-SUMIF(A$6:A4847,"&lt;&gt;""",H$6:H4847),"")</f>
        <v/>
      </c>
    </row>
    <row r="4848">
      <c r="I4848">
        <f>IFERROR(SUMIF(A$6:A4848,"&lt;&gt;""",G$6:G4848)-SUMIF(A$6:A4848,"&lt;&gt;""",H$6:H4848),"")</f>
        <v/>
      </c>
    </row>
    <row r="4849">
      <c r="I4849">
        <f>IFERROR(SUMIF(A$6:A4849,"&lt;&gt;""",G$6:G4849)-SUMIF(A$6:A4849,"&lt;&gt;""",H$6:H4849),"")</f>
        <v/>
      </c>
    </row>
    <row r="4850">
      <c r="I4850">
        <f>IFERROR(SUMIF(A$6:A4850,"&lt;&gt;""",G$6:G4850)-SUMIF(A$6:A4850,"&lt;&gt;""",H$6:H4850),"")</f>
        <v/>
      </c>
    </row>
    <row r="4851">
      <c r="I4851">
        <f>IFERROR(SUMIF(A$6:A4851,"&lt;&gt;""",G$6:G4851)-SUMIF(A$6:A4851,"&lt;&gt;""",H$6:H4851),"")</f>
        <v/>
      </c>
    </row>
    <row r="4852">
      <c r="I4852">
        <f>IFERROR(SUMIF(A$6:A4852,"&lt;&gt;""",G$6:G4852)-SUMIF(A$6:A4852,"&lt;&gt;""",H$6:H4852),"")</f>
        <v/>
      </c>
    </row>
    <row r="4853">
      <c r="I4853">
        <f>IFERROR(SUMIF(A$6:A4853,"&lt;&gt;""",G$6:G4853)-SUMIF(A$6:A4853,"&lt;&gt;""",H$6:H4853),"")</f>
        <v/>
      </c>
    </row>
    <row r="4854">
      <c r="I4854">
        <f>IFERROR(SUMIF(A$6:A4854,"&lt;&gt;""",G$6:G4854)-SUMIF(A$6:A4854,"&lt;&gt;""",H$6:H4854),"")</f>
        <v/>
      </c>
    </row>
    <row r="4855">
      <c r="I4855">
        <f>IFERROR(SUMIF(A$6:A4855,"&lt;&gt;""",G$6:G4855)-SUMIF(A$6:A4855,"&lt;&gt;""",H$6:H4855),"")</f>
        <v/>
      </c>
    </row>
    <row r="4856">
      <c r="I4856">
        <f>IFERROR(SUMIF(A$6:A4856,"&lt;&gt;""",G$6:G4856)-SUMIF(A$6:A4856,"&lt;&gt;""",H$6:H4856),"")</f>
        <v/>
      </c>
    </row>
    <row r="4857">
      <c r="I4857">
        <f>IFERROR(SUMIF(A$6:A4857,"&lt;&gt;""",G$6:G4857)-SUMIF(A$6:A4857,"&lt;&gt;""",H$6:H4857),"")</f>
        <v/>
      </c>
    </row>
    <row r="4858">
      <c r="I4858">
        <f>IFERROR(SUMIF(A$6:A4858,"&lt;&gt;""",G$6:G4858)-SUMIF(A$6:A4858,"&lt;&gt;""",H$6:H4858),"")</f>
        <v/>
      </c>
    </row>
    <row r="4859">
      <c r="I4859">
        <f>IFERROR(SUMIF(A$6:A4859,"&lt;&gt;""",G$6:G4859)-SUMIF(A$6:A4859,"&lt;&gt;""",H$6:H4859),"")</f>
        <v/>
      </c>
    </row>
    <row r="4860">
      <c r="I4860">
        <f>IFERROR(SUMIF(A$6:A4860,"&lt;&gt;""",G$6:G4860)-SUMIF(A$6:A4860,"&lt;&gt;""",H$6:H4860),"")</f>
        <v/>
      </c>
    </row>
    <row r="4861">
      <c r="I4861">
        <f>IFERROR(SUMIF(A$6:A4861,"&lt;&gt;""",G$6:G4861)-SUMIF(A$6:A4861,"&lt;&gt;""",H$6:H4861),"")</f>
        <v/>
      </c>
    </row>
    <row r="4862">
      <c r="I4862">
        <f>IFERROR(SUMIF(A$6:A4862,"&lt;&gt;""",G$6:G4862)-SUMIF(A$6:A4862,"&lt;&gt;""",H$6:H4862),"")</f>
        <v/>
      </c>
    </row>
    <row r="4863">
      <c r="I4863">
        <f>IFERROR(SUMIF(A$6:A4863,"&lt;&gt;""",G$6:G4863)-SUMIF(A$6:A4863,"&lt;&gt;""",H$6:H4863),"")</f>
        <v/>
      </c>
    </row>
    <row r="4864">
      <c r="I4864">
        <f>IFERROR(SUMIF(A$6:A4864,"&lt;&gt;""",G$6:G4864)-SUMIF(A$6:A4864,"&lt;&gt;""",H$6:H4864),"")</f>
        <v/>
      </c>
    </row>
    <row r="4865">
      <c r="I4865">
        <f>IFERROR(SUMIF(A$6:A4865,"&lt;&gt;""",G$6:G4865)-SUMIF(A$6:A4865,"&lt;&gt;""",H$6:H4865),"")</f>
        <v/>
      </c>
    </row>
    <row r="4866">
      <c r="I4866">
        <f>IFERROR(SUMIF(A$6:A4866,"&lt;&gt;""",G$6:G4866)-SUMIF(A$6:A4866,"&lt;&gt;""",H$6:H4866),"")</f>
        <v/>
      </c>
    </row>
    <row r="4867">
      <c r="I4867">
        <f>IFERROR(SUMIF(A$6:A4867,"&lt;&gt;""",G$6:G4867)-SUMIF(A$6:A4867,"&lt;&gt;""",H$6:H4867),"")</f>
        <v/>
      </c>
    </row>
    <row r="4868">
      <c r="I4868">
        <f>IFERROR(SUMIF(A$6:A4868,"&lt;&gt;""",G$6:G4868)-SUMIF(A$6:A4868,"&lt;&gt;""",H$6:H4868),"")</f>
        <v/>
      </c>
    </row>
    <row r="4869">
      <c r="I4869">
        <f>IFERROR(SUMIF(A$6:A4869,"&lt;&gt;""",G$6:G4869)-SUMIF(A$6:A4869,"&lt;&gt;""",H$6:H4869),"")</f>
        <v/>
      </c>
    </row>
    <row r="4870">
      <c r="I4870">
        <f>IFERROR(SUMIF(A$6:A4870,"&lt;&gt;""",G$6:G4870)-SUMIF(A$6:A4870,"&lt;&gt;""",H$6:H4870),"")</f>
        <v/>
      </c>
    </row>
    <row r="4871">
      <c r="I4871">
        <f>IFERROR(SUMIF(A$6:A4871,"&lt;&gt;""",G$6:G4871)-SUMIF(A$6:A4871,"&lt;&gt;""",H$6:H4871),"")</f>
        <v/>
      </c>
    </row>
    <row r="4872">
      <c r="I4872">
        <f>IFERROR(SUMIF(A$6:A4872,"&lt;&gt;""",G$6:G4872)-SUMIF(A$6:A4872,"&lt;&gt;""",H$6:H4872),"")</f>
        <v/>
      </c>
    </row>
    <row r="4873">
      <c r="I4873">
        <f>IFERROR(SUMIF(A$6:A4873,"&lt;&gt;""",G$6:G4873)-SUMIF(A$6:A4873,"&lt;&gt;""",H$6:H4873),"")</f>
        <v/>
      </c>
    </row>
    <row r="4874">
      <c r="I4874">
        <f>IFERROR(SUMIF(A$6:A4874,"&lt;&gt;""",G$6:G4874)-SUMIF(A$6:A4874,"&lt;&gt;""",H$6:H4874),"")</f>
        <v/>
      </c>
    </row>
    <row r="4875">
      <c r="I4875">
        <f>IFERROR(SUMIF(A$6:A4875,"&lt;&gt;""",G$6:G4875)-SUMIF(A$6:A4875,"&lt;&gt;""",H$6:H4875),"")</f>
        <v/>
      </c>
    </row>
    <row r="4876">
      <c r="I4876">
        <f>IFERROR(SUMIF(A$6:A4876,"&lt;&gt;""",G$6:G4876)-SUMIF(A$6:A4876,"&lt;&gt;""",H$6:H4876),"")</f>
        <v/>
      </c>
    </row>
    <row r="4877">
      <c r="I4877">
        <f>IFERROR(SUMIF(A$6:A4877,"&lt;&gt;""",G$6:G4877)-SUMIF(A$6:A4877,"&lt;&gt;""",H$6:H4877),"")</f>
        <v/>
      </c>
    </row>
    <row r="4878">
      <c r="I4878">
        <f>IFERROR(SUMIF(A$6:A4878,"&lt;&gt;""",G$6:G4878)-SUMIF(A$6:A4878,"&lt;&gt;""",H$6:H4878),"")</f>
        <v/>
      </c>
    </row>
    <row r="4879">
      <c r="I4879">
        <f>IFERROR(SUMIF(A$6:A4879,"&lt;&gt;""",G$6:G4879)-SUMIF(A$6:A4879,"&lt;&gt;""",H$6:H4879),"")</f>
        <v/>
      </c>
    </row>
    <row r="4880">
      <c r="I4880">
        <f>IFERROR(SUMIF(A$6:A4880,"&lt;&gt;""",G$6:G4880)-SUMIF(A$6:A4880,"&lt;&gt;""",H$6:H4880),"")</f>
        <v/>
      </c>
    </row>
    <row r="4881">
      <c r="I4881">
        <f>IFERROR(SUMIF(A$6:A4881,"&lt;&gt;""",G$6:G4881)-SUMIF(A$6:A4881,"&lt;&gt;""",H$6:H4881),"")</f>
        <v/>
      </c>
    </row>
    <row r="4882">
      <c r="I4882">
        <f>IFERROR(SUMIF(A$6:A4882,"&lt;&gt;""",G$6:G4882)-SUMIF(A$6:A4882,"&lt;&gt;""",H$6:H4882),"")</f>
        <v/>
      </c>
    </row>
    <row r="4883">
      <c r="I4883">
        <f>IFERROR(SUMIF(A$6:A4883,"&lt;&gt;""",G$6:G4883)-SUMIF(A$6:A4883,"&lt;&gt;""",H$6:H4883),"")</f>
        <v/>
      </c>
    </row>
    <row r="4884">
      <c r="I4884">
        <f>IFERROR(SUMIF(A$6:A4884,"&lt;&gt;""",G$6:G4884)-SUMIF(A$6:A4884,"&lt;&gt;""",H$6:H4884),"")</f>
        <v/>
      </c>
    </row>
    <row r="4885">
      <c r="I4885">
        <f>IFERROR(SUMIF(A$6:A4885,"&lt;&gt;""",G$6:G4885)-SUMIF(A$6:A4885,"&lt;&gt;""",H$6:H4885),"")</f>
        <v/>
      </c>
    </row>
    <row r="4886">
      <c r="I4886">
        <f>IFERROR(SUMIF(A$6:A4886,"&lt;&gt;""",G$6:G4886)-SUMIF(A$6:A4886,"&lt;&gt;""",H$6:H4886),"")</f>
        <v/>
      </c>
    </row>
    <row r="4887">
      <c r="I4887">
        <f>IFERROR(SUMIF(A$6:A4887,"&lt;&gt;""",G$6:G4887)-SUMIF(A$6:A4887,"&lt;&gt;""",H$6:H4887),"")</f>
        <v/>
      </c>
    </row>
    <row r="4888">
      <c r="I4888">
        <f>IFERROR(SUMIF(A$6:A4888,"&lt;&gt;""",G$6:G4888)-SUMIF(A$6:A4888,"&lt;&gt;""",H$6:H4888),"")</f>
        <v/>
      </c>
    </row>
    <row r="4889">
      <c r="I4889">
        <f>IFERROR(SUMIF(A$6:A4889,"&lt;&gt;""",G$6:G4889)-SUMIF(A$6:A4889,"&lt;&gt;""",H$6:H4889),"")</f>
        <v/>
      </c>
    </row>
    <row r="4890">
      <c r="I4890">
        <f>IFERROR(SUMIF(A$6:A4890,"&lt;&gt;""",G$6:G4890)-SUMIF(A$6:A4890,"&lt;&gt;""",H$6:H4890),"")</f>
        <v/>
      </c>
    </row>
    <row r="4891">
      <c r="I4891">
        <f>IFERROR(SUMIF(A$6:A4891,"&lt;&gt;""",G$6:G4891)-SUMIF(A$6:A4891,"&lt;&gt;""",H$6:H4891),"")</f>
        <v/>
      </c>
    </row>
    <row r="4892">
      <c r="I4892">
        <f>IFERROR(SUMIF(A$6:A4892,"&lt;&gt;""",G$6:G4892)-SUMIF(A$6:A4892,"&lt;&gt;""",H$6:H4892),"")</f>
        <v/>
      </c>
    </row>
    <row r="4893">
      <c r="I4893">
        <f>IFERROR(SUMIF(A$6:A4893,"&lt;&gt;""",G$6:G4893)-SUMIF(A$6:A4893,"&lt;&gt;""",H$6:H4893),"")</f>
        <v/>
      </c>
    </row>
    <row r="4894">
      <c r="I4894">
        <f>IFERROR(SUMIF(A$6:A4894,"&lt;&gt;""",G$6:G4894)-SUMIF(A$6:A4894,"&lt;&gt;""",H$6:H4894),"")</f>
        <v/>
      </c>
    </row>
    <row r="4895">
      <c r="I4895">
        <f>IFERROR(SUMIF(A$6:A4895,"&lt;&gt;""",G$6:G4895)-SUMIF(A$6:A4895,"&lt;&gt;""",H$6:H4895),"")</f>
        <v/>
      </c>
    </row>
    <row r="4896">
      <c r="I4896">
        <f>IFERROR(SUMIF(A$6:A4896,"&lt;&gt;""",G$6:G4896)-SUMIF(A$6:A4896,"&lt;&gt;""",H$6:H4896),"")</f>
        <v/>
      </c>
    </row>
    <row r="4897">
      <c r="I4897">
        <f>IFERROR(SUMIF(A$6:A4897,"&lt;&gt;""",G$6:G4897)-SUMIF(A$6:A4897,"&lt;&gt;""",H$6:H4897),"")</f>
        <v/>
      </c>
    </row>
    <row r="4898">
      <c r="I4898">
        <f>IFERROR(SUMIF(A$6:A4898,"&lt;&gt;""",G$6:G4898)-SUMIF(A$6:A4898,"&lt;&gt;""",H$6:H4898),"")</f>
        <v/>
      </c>
    </row>
    <row r="4899">
      <c r="I4899">
        <f>IFERROR(SUMIF(A$6:A4899,"&lt;&gt;""",G$6:G4899)-SUMIF(A$6:A4899,"&lt;&gt;""",H$6:H4899),"")</f>
        <v/>
      </c>
    </row>
    <row r="4900">
      <c r="I4900">
        <f>IFERROR(SUMIF(A$6:A4900,"&lt;&gt;""",G$6:G4900)-SUMIF(A$6:A4900,"&lt;&gt;""",H$6:H4900),"")</f>
        <v/>
      </c>
    </row>
    <row r="4901">
      <c r="I4901">
        <f>IFERROR(SUMIF(A$6:A4901,"&lt;&gt;""",G$6:G4901)-SUMIF(A$6:A4901,"&lt;&gt;""",H$6:H4901),"")</f>
        <v/>
      </c>
    </row>
    <row r="4902">
      <c r="I4902">
        <f>IFERROR(SUMIF(A$6:A4902,"&lt;&gt;""",G$6:G4902)-SUMIF(A$6:A4902,"&lt;&gt;""",H$6:H4902),"")</f>
        <v/>
      </c>
    </row>
    <row r="4903">
      <c r="I4903">
        <f>IFERROR(SUMIF(A$6:A4903,"&lt;&gt;""",G$6:G4903)-SUMIF(A$6:A4903,"&lt;&gt;""",H$6:H4903),"")</f>
        <v/>
      </c>
    </row>
    <row r="4904">
      <c r="I4904">
        <f>IFERROR(SUMIF(A$6:A4904,"&lt;&gt;""",G$6:G4904)-SUMIF(A$6:A4904,"&lt;&gt;""",H$6:H4904),"")</f>
        <v/>
      </c>
    </row>
    <row r="4905">
      <c r="I4905">
        <f>IFERROR(SUMIF(A$6:A4905,"&lt;&gt;""",G$6:G4905)-SUMIF(A$6:A4905,"&lt;&gt;""",H$6:H4905),"")</f>
        <v/>
      </c>
    </row>
    <row r="4906">
      <c r="I4906">
        <f>IFERROR(SUMIF(A$6:A4906,"&lt;&gt;""",G$6:G4906)-SUMIF(A$6:A4906,"&lt;&gt;""",H$6:H4906),"")</f>
        <v/>
      </c>
    </row>
    <row r="4907">
      <c r="I4907">
        <f>IFERROR(SUMIF(A$6:A4907,"&lt;&gt;""",G$6:G4907)-SUMIF(A$6:A4907,"&lt;&gt;""",H$6:H4907),"")</f>
        <v/>
      </c>
    </row>
    <row r="4908">
      <c r="I4908">
        <f>IFERROR(SUMIF(A$6:A4908,"&lt;&gt;""",G$6:G4908)-SUMIF(A$6:A4908,"&lt;&gt;""",H$6:H4908),"")</f>
        <v/>
      </c>
    </row>
    <row r="4909">
      <c r="I4909">
        <f>IFERROR(SUMIF(A$6:A4909,"&lt;&gt;""",G$6:G4909)-SUMIF(A$6:A4909,"&lt;&gt;""",H$6:H4909),"")</f>
        <v/>
      </c>
    </row>
    <row r="4910">
      <c r="I4910">
        <f>IFERROR(SUMIF(A$6:A4910,"&lt;&gt;""",G$6:G4910)-SUMIF(A$6:A4910,"&lt;&gt;""",H$6:H4910),"")</f>
        <v/>
      </c>
    </row>
    <row r="4911">
      <c r="I4911">
        <f>IFERROR(SUMIF(A$6:A4911,"&lt;&gt;""",G$6:G4911)-SUMIF(A$6:A4911,"&lt;&gt;""",H$6:H4911),"")</f>
        <v/>
      </c>
    </row>
    <row r="4912">
      <c r="I4912">
        <f>IFERROR(SUMIF(A$6:A4912,"&lt;&gt;""",G$6:G4912)-SUMIF(A$6:A4912,"&lt;&gt;""",H$6:H4912),"")</f>
        <v/>
      </c>
    </row>
    <row r="4913">
      <c r="I4913">
        <f>IFERROR(SUMIF(A$6:A4913,"&lt;&gt;""",G$6:G4913)-SUMIF(A$6:A4913,"&lt;&gt;""",H$6:H4913),"")</f>
        <v/>
      </c>
    </row>
    <row r="4914">
      <c r="I4914">
        <f>IFERROR(SUMIF(A$6:A4914,"&lt;&gt;""",G$6:G4914)-SUMIF(A$6:A4914,"&lt;&gt;""",H$6:H4914),"")</f>
        <v/>
      </c>
    </row>
    <row r="4915">
      <c r="I4915">
        <f>IFERROR(SUMIF(A$6:A4915,"&lt;&gt;""",G$6:G4915)-SUMIF(A$6:A4915,"&lt;&gt;""",H$6:H4915),"")</f>
        <v/>
      </c>
    </row>
    <row r="4916">
      <c r="I4916">
        <f>IFERROR(SUMIF(A$6:A4916,"&lt;&gt;""",G$6:G4916)-SUMIF(A$6:A4916,"&lt;&gt;""",H$6:H4916),"")</f>
        <v/>
      </c>
    </row>
    <row r="4917">
      <c r="I4917">
        <f>IFERROR(SUMIF(A$6:A4917,"&lt;&gt;""",G$6:G4917)-SUMIF(A$6:A4917,"&lt;&gt;""",H$6:H4917),"")</f>
        <v/>
      </c>
    </row>
    <row r="4918">
      <c r="I4918">
        <f>IFERROR(SUMIF(A$6:A4918,"&lt;&gt;""",G$6:G4918)-SUMIF(A$6:A4918,"&lt;&gt;""",H$6:H4918),"")</f>
        <v/>
      </c>
    </row>
    <row r="4919">
      <c r="I4919">
        <f>IFERROR(SUMIF(A$6:A4919,"&lt;&gt;""",G$6:G4919)-SUMIF(A$6:A4919,"&lt;&gt;""",H$6:H4919),"")</f>
        <v/>
      </c>
    </row>
    <row r="4920">
      <c r="I4920">
        <f>IFERROR(SUMIF(A$6:A4920,"&lt;&gt;""",G$6:G4920)-SUMIF(A$6:A4920,"&lt;&gt;""",H$6:H4920),"")</f>
        <v/>
      </c>
    </row>
    <row r="4921">
      <c r="I4921">
        <f>IFERROR(SUMIF(A$6:A4921,"&lt;&gt;""",G$6:G4921)-SUMIF(A$6:A4921,"&lt;&gt;""",H$6:H4921),"")</f>
        <v/>
      </c>
    </row>
    <row r="4922">
      <c r="I4922">
        <f>IFERROR(SUMIF(A$6:A4922,"&lt;&gt;""",G$6:G4922)-SUMIF(A$6:A4922,"&lt;&gt;""",H$6:H4922),"")</f>
        <v/>
      </c>
    </row>
    <row r="4923">
      <c r="I4923">
        <f>IFERROR(SUMIF(A$6:A4923,"&lt;&gt;""",G$6:G4923)-SUMIF(A$6:A4923,"&lt;&gt;""",H$6:H4923),"")</f>
        <v/>
      </c>
    </row>
    <row r="4924">
      <c r="I4924">
        <f>IFERROR(SUMIF(A$6:A4924,"&lt;&gt;""",G$6:G4924)-SUMIF(A$6:A4924,"&lt;&gt;""",H$6:H4924),"")</f>
        <v/>
      </c>
    </row>
    <row r="4925">
      <c r="I4925">
        <f>IFERROR(SUMIF(A$6:A4925,"&lt;&gt;""",G$6:G4925)-SUMIF(A$6:A4925,"&lt;&gt;""",H$6:H4925),"")</f>
        <v/>
      </c>
    </row>
    <row r="4926">
      <c r="I4926">
        <f>IFERROR(SUMIF(A$6:A4926,"&lt;&gt;""",G$6:G4926)-SUMIF(A$6:A4926,"&lt;&gt;""",H$6:H4926),"")</f>
        <v/>
      </c>
    </row>
    <row r="4927">
      <c r="I4927">
        <f>IFERROR(SUMIF(A$6:A4927,"&lt;&gt;""",G$6:G4927)-SUMIF(A$6:A4927,"&lt;&gt;""",H$6:H4927),"")</f>
        <v/>
      </c>
    </row>
    <row r="4928">
      <c r="I4928">
        <f>IFERROR(SUMIF(A$6:A4928,"&lt;&gt;""",G$6:G4928)-SUMIF(A$6:A4928,"&lt;&gt;""",H$6:H4928),"")</f>
        <v/>
      </c>
    </row>
    <row r="4929">
      <c r="I4929">
        <f>IFERROR(SUMIF(A$6:A4929,"&lt;&gt;""",G$6:G4929)-SUMIF(A$6:A4929,"&lt;&gt;""",H$6:H4929),"")</f>
        <v/>
      </c>
    </row>
    <row r="4930">
      <c r="I4930">
        <f>IFERROR(SUMIF(A$6:A4930,"&lt;&gt;""",G$6:G4930)-SUMIF(A$6:A4930,"&lt;&gt;""",H$6:H4930),"")</f>
        <v/>
      </c>
    </row>
    <row r="4931">
      <c r="I4931">
        <f>IFERROR(SUMIF(A$6:A4931,"&lt;&gt;""",G$6:G4931)-SUMIF(A$6:A4931,"&lt;&gt;""",H$6:H4931),"")</f>
        <v/>
      </c>
    </row>
    <row r="4932">
      <c r="I4932">
        <f>IFERROR(SUMIF(A$6:A4932,"&lt;&gt;""",G$6:G4932)-SUMIF(A$6:A4932,"&lt;&gt;""",H$6:H4932),"")</f>
        <v/>
      </c>
    </row>
    <row r="4933">
      <c r="I4933">
        <f>IFERROR(SUMIF(A$6:A4933,"&lt;&gt;""",G$6:G4933)-SUMIF(A$6:A4933,"&lt;&gt;""",H$6:H4933),"")</f>
        <v/>
      </c>
    </row>
    <row r="4934">
      <c r="I4934">
        <f>IFERROR(SUMIF(A$6:A4934,"&lt;&gt;""",G$6:G4934)-SUMIF(A$6:A4934,"&lt;&gt;""",H$6:H4934),"")</f>
        <v/>
      </c>
    </row>
    <row r="4935">
      <c r="I4935">
        <f>IFERROR(SUMIF(A$6:A4935,"&lt;&gt;""",G$6:G4935)-SUMIF(A$6:A4935,"&lt;&gt;""",H$6:H4935),"")</f>
        <v/>
      </c>
    </row>
    <row r="4936">
      <c r="I4936">
        <f>IFERROR(SUMIF(A$6:A4936,"&lt;&gt;""",G$6:G4936)-SUMIF(A$6:A4936,"&lt;&gt;""",H$6:H4936),"")</f>
        <v/>
      </c>
    </row>
    <row r="4937">
      <c r="I4937">
        <f>IFERROR(SUMIF(A$6:A4937,"&lt;&gt;""",G$6:G4937)-SUMIF(A$6:A4937,"&lt;&gt;""",H$6:H4937),"")</f>
        <v/>
      </c>
    </row>
    <row r="4938">
      <c r="I4938">
        <f>IFERROR(SUMIF(A$6:A4938,"&lt;&gt;""",G$6:G4938)-SUMIF(A$6:A4938,"&lt;&gt;""",H$6:H4938),"")</f>
        <v/>
      </c>
    </row>
    <row r="4939">
      <c r="I4939">
        <f>IFERROR(SUMIF(A$6:A4939,"&lt;&gt;""",G$6:G4939)-SUMIF(A$6:A4939,"&lt;&gt;""",H$6:H4939),"")</f>
        <v/>
      </c>
    </row>
    <row r="4940">
      <c r="I4940">
        <f>IFERROR(SUMIF(A$6:A4940,"&lt;&gt;""",G$6:G4940)-SUMIF(A$6:A4940,"&lt;&gt;""",H$6:H4940),"")</f>
        <v/>
      </c>
    </row>
    <row r="4941">
      <c r="I4941">
        <f>IFERROR(SUMIF(A$6:A4941,"&lt;&gt;""",G$6:G4941)-SUMIF(A$6:A4941,"&lt;&gt;""",H$6:H4941),"")</f>
        <v/>
      </c>
    </row>
    <row r="4942">
      <c r="I4942">
        <f>IFERROR(SUMIF(A$6:A4942,"&lt;&gt;""",G$6:G4942)-SUMIF(A$6:A4942,"&lt;&gt;""",H$6:H4942),"")</f>
        <v/>
      </c>
    </row>
    <row r="4943">
      <c r="I4943">
        <f>IFERROR(SUMIF(A$6:A4943,"&lt;&gt;""",G$6:G4943)-SUMIF(A$6:A4943,"&lt;&gt;""",H$6:H4943),"")</f>
        <v/>
      </c>
    </row>
    <row r="4944">
      <c r="I4944">
        <f>IFERROR(SUMIF(A$6:A4944,"&lt;&gt;""",G$6:G4944)-SUMIF(A$6:A4944,"&lt;&gt;""",H$6:H4944),"")</f>
        <v/>
      </c>
    </row>
    <row r="4945">
      <c r="I4945">
        <f>IFERROR(SUMIF(A$6:A4945,"&lt;&gt;""",G$6:G4945)-SUMIF(A$6:A4945,"&lt;&gt;""",H$6:H4945),"")</f>
        <v/>
      </c>
    </row>
    <row r="4946">
      <c r="I4946">
        <f>IFERROR(SUMIF(A$6:A4946,"&lt;&gt;""",G$6:G4946)-SUMIF(A$6:A4946,"&lt;&gt;""",H$6:H4946),"")</f>
        <v/>
      </c>
    </row>
    <row r="4947">
      <c r="I4947">
        <f>IFERROR(SUMIF(A$6:A4947,"&lt;&gt;""",G$6:G4947)-SUMIF(A$6:A4947,"&lt;&gt;""",H$6:H4947),"")</f>
        <v/>
      </c>
    </row>
    <row r="4948">
      <c r="I4948">
        <f>IFERROR(SUMIF(A$6:A4948,"&lt;&gt;""",G$6:G4948)-SUMIF(A$6:A4948,"&lt;&gt;""",H$6:H4948),"")</f>
        <v/>
      </c>
    </row>
    <row r="4949">
      <c r="I4949">
        <f>IFERROR(SUMIF(A$6:A4949,"&lt;&gt;""",G$6:G4949)-SUMIF(A$6:A4949,"&lt;&gt;""",H$6:H4949),"")</f>
        <v/>
      </c>
    </row>
    <row r="4950">
      <c r="I4950">
        <f>IFERROR(SUMIF(A$6:A4950,"&lt;&gt;""",G$6:G4950)-SUMIF(A$6:A4950,"&lt;&gt;""",H$6:H4950),"")</f>
        <v/>
      </c>
    </row>
    <row r="4951">
      <c r="I4951">
        <f>IFERROR(SUMIF(A$6:A4951,"&lt;&gt;""",G$6:G4951)-SUMIF(A$6:A4951,"&lt;&gt;""",H$6:H4951),"")</f>
        <v/>
      </c>
    </row>
    <row r="4952">
      <c r="I4952">
        <f>IFERROR(SUMIF(A$6:A4952,"&lt;&gt;""",G$6:G4952)-SUMIF(A$6:A4952,"&lt;&gt;""",H$6:H4952),"")</f>
        <v/>
      </c>
    </row>
    <row r="4953">
      <c r="I4953">
        <f>IFERROR(SUMIF(A$6:A4953,"&lt;&gt;""",G$6:G4953)-SUMIF(A$6:A4953,"&lt;&gt;""",H$6:H4953),"")</f>
        <v/>
      </c>
    </row>
    <row r="4954">
      <c r="I4954">
        <f>IFERROR(SUMIF(A$6:A4954,"&lt;&gt;""",G$6:G4954)-SUMIF(A$6:A4954,"&lt;&gt;""",H$6:H4954),"")</f>
        <v/>
      </c>
    </row>
    <row r="4955">
      <c r="I4955">
        <f>IFERROR(SUMIF(A$6:A4955,"&lt;&gt;""",G$6:G4955)-SUMIF(A$6:A4955,"&lt;&gt;""",H$6:H4955),"")</f>
        <v/>
      </c>
    </row>
    <row r="4956">
      <c r="I4956">
        <f>IFERROR(SUMIF(A$6:A4956,"&lt;&gt;""",G$6:G4956)-SUMIF(A$6:A4956,"&lt;&gt;""",H$6:H4956),"")</f>
        <v/>
      </c>
    </row>
    <row r="4957">
      <c r="I4957">
        <f>IFERROR(SUMIF(A$6:A4957,"&lt;&gt;""",G$6:G4957)-SUMIF(A$6:A4957,"&lt;&gt;""",H$6:H4957),"")</f>
        <v/>
      </c>
    </row>
    <row r="4958">
      <c r="I4958">
        <f>IFERROR(SUMIF(A$6:A4958,"&lt;&gt;""",G$6:G4958)-SUMIF(A$6:A4958,"&lt;&gt;""",H$6:H4958),"")</f>
        <v/>
      </c>
    </row>
    <row r="4959">
      <c r="I4959">
        <f>IFERROR(SUMIF(A$6:A4959,"&lt;&gt;""",G$6:G4959)-SUMIF(A$6:A4959,"&lt;&gt;""",H$6:H4959),"")</f>
        <v/>
      </c>
    </row>
    <row r="4960">
      <c r="I4960">
        <f>IFERROR(SUMIF(A$6:A4960,"&lt;&gt;""",G$6:G4960)-SUMIF(A$6:A4960,"&lt;&gt;""",H$6:H4960),"")</f>
        <v/>
      </c>
    </row>
    <row r="4961">
      <c r="I4961">
        <f>IFERROR(SUMIF(A$6:A4961,"&lt;&gt;""",G$6:G4961)-SUMIF(A$6:A4961,"&lt;&gt;""",H$6:H4961),"")</f>
        <v/>
      </c>
    </row>
    <row r="4962">
      <c r="I4962">
        <f>IFERROR(SUMIF(A$6:A4962,"&lt;&gt;""",G$6:G4962)-SUMIF(A$6:A4962,"&lt;&gt;""",H$6:H4962),"")</f>
        <v/>
      </c>
    </row>
    <row r="4963">
      <c r="I4963">
        <f>IFERROR(SUMIF(A$6:A4963,"&lt;&gt;""",G$6:G4963)-SUMIF(A$6:A4963,"&lt;&gt;""",H$6:H4963),"")</f>
        <v/>
      </c>
    </row>
    <row r="4964">
      <c r="I4964">
        <f>IFERROR(SUMIF(A$6:A4964,"&lt;&gt;""",G$6:G4964)-SUMIF(A$6:A4964,"&lt;&gt;""",H$6:H4964),"")</f>
        <v/>
      </c>
    </row>
    <row r="4965">
      <c r="I4965">
        <f>IFERROR(SUMIF(A$6:A4965,"&lt;&gt;""",G$6:G4965)-SUMIF(A$6:A4965,"&lt;&gt;""",H$6:H4965),"")</f>
        <v/>
      </c>
    </row>
    <row r="4966">
      <c r="I4966">
        <f>IFERROR(SUMIF(A$6:A4966,"&lt;&gt;""",G$6:G4966)-SUMIF(A$6:A4966,"&lt;&gt;""",H$6:H4966),"")</f>
        <v/>
      </c>
    </row>
    <row r="4967">
      <c r="I4967">
        <f>IFERROR(SUMIF(A$6:A4967,"&lt;&gt;""",G$6:G4967)-SUMIF(A$6:A4967,"&lt;&gt;""",H$6:H4967),"")</f>
        <v/>
      </c>
    </row>
    <row r="4968">
      <c r="I4968">
        <f>IFERROR(SUMIF(A$6:A4968,"&lt;&gt;""",G$6:G4968)-SUMIF(A$6:A4968,"&lt;&gt;""",H$6:H4968),"")</f>
        <v/>
      </c>
    </row>
    <row r="4969">
      <c r="I4969">
        <f>IFERROR(SUMIF(A$6:A4969,"&lt;&gt;""",G$6:G4969)-SUMIF(A$6:A4969,"&lt;&gt;""",H$6:H4969),"")</f>
        <v/>
      </c>
    </row>
    <row r="4970">
      <c r="I4970">
        <f>IFERROR(SUMIF(A$6:A4970,"&lt;&gt;""",G$6:G4970)-SUMIF(A$6:A4970,"&lt;&gt;""",H$6:H4970),"")</f>
        <v/>
      </c>
    </row>
    <row r="4971">
      <c r="I4971">
        <f>IFERROR(SUMIF(A$6:A4971,"&lt;&gt;""",G$6:G4971)-SUMIF(A$6:A4971,"&lt;&gt;""",H$6:H4971),"")</f>
        <v/>
      </c>
    </row>
    <row r="4972">
      <c r="I4972">
        <f>IFERROR(SUMIF(A$6:A4972,"&lt;&gt;""",G$6:G4972)-SUMIF(A$6:A4972,"&lt;&gt;""",H$6:H4972),"")</f>
        <v/>
      </c>
    </row>
    <row r="4973">
      <c r="I4973">
        <f>IFERROR(SUMIF(A$6:A4973,"&lt;&gt;""",G$6:G4973)-SUMIF(A$6:A4973,"&lt;&gt;""",H$6:H4973),"")</f>
        <v/>
      </c>
    </row>
    <row r="4974">
      <c r="I4974">
        <f>IFERROR(SUMIF(A$6:A4974,"&lt;&gt;""",G$6:G4974)-SUMIF(A$6:A4974,"&lt;&gt;""",H$6:H4974),"")</f>
        <v/>
      </c>
    </row>
    <row r="4975">
      <c r="I4975">
        <f>IFERROR(SUMIF(A$6:A4975,"&lt;&gt;""",G$6:G4975)-SUMIF(A$6:A4975,"&lt;&gt;""",H$6:H4975),"")</f>
        <v/>
      </c>
    </row>
    <row r="4976">
      <c r="I4976">
        <f>IFERROR(SUMIF(A$6:A4976,"&lt;&gt;""",G$6:G4976)-SUMIF(A$6:A4976,"&lt;&gt;""",H$6:H4976),"")</f>
        <v/>
      </c>
    </row>
    <row r="4977">
      <c r="I4977">
        <f>IFERROR(SUMIF(A$6:A4977,"&lt;&gt;""",G$6:G4977)-SUMIF(A$6:A4977,"&lt;&gt;""",H$6:H4977),"")</f>
        <v/>
      </c>
    </row>
    <row r="4978">
      <c r="I4978">
        <f>IFERROR(SUMIF(A$6:A4978,"&lt;&gt;""",G$6:G4978)-SUMIF(A$6:A4978,"&lt;&gt;""",H$6:H4978),"")</f>
        <v/>
      </c>
    </row>
    <row r="4979">
      <c r="I4979">
        <f>IFERROR(SUMIF(A$6:A4979,"&lt;&gt;""",G$6:G4979)-SUMIF(A$6:A4979,"&lt;&gt;""",H$6:H4979),"")</f>
        <v/>
      </c>
    </row>
    <row r="4980">
      <c r="I4980">
        <f>IFERROR(SUMIF(A$6:A4980,"&lt;&gt;""",G$6:G4980)-SUMIF(A$6:A4980,"&lt;&gt;""",H$6:H4980),"")</f>
        <v/>
      </c>
    </row>
    <row r="4981">
      <c r="I4981">
        <f>IFERROR(SUMIF(A$6:A4981,"&lt;&gt;""",G$6:G4981)-SUMIF(A$6:A4981,"&lt;&gt;""",H$6:H4981),"")</f>
        <v/>
      </c>
    </row>
    <row r="4982">
      <c r="I4982">
        <f>IFERROR(SUMIF(A$6:A4982,"&lt;&gt;""",G$6:G4982)-SUMIF(A$6:A4982,"&lt;&gt;""",H$6:H4982),"")</f>
        <v/>
      </c>
    </row>
    <row r="4983">
      <c r="I4983">
        <f>IFERROR(SUMIF(A$6:A4983,"&lt;&gt;""",G$6:G4983)-SUMIF(A$6:A4983,"&lt;&gt;""",H$6:H4983),"")</f>
        <v/>
      </c>
    </row>
    <row r="4984">
      <c r="I4984">
        <f>IFERROR(SUMIF(A$6:A4984,"&lt;&gt;""",G$6:G4984)-SUMIF(A$6:A4984,"&lt;&gt;""",H$6:H4984),"")</f>
        <v/>
      </c>
    </row>
    <row r="4985">
      <c r="I4985">
        <f>IFERROR(SUMIF(A$6:A4985,"&lt;&gt;""",G$6:G4985)-SUMIF(A$6:A4985,"&lt;&gt;""",H$6:H4985),"")</f>
        <v/>
      </c>
    </row>
    <row r="4986">
      <c r="I4986">
        <f>IFERROR(SUMIF(A$6:A4986,"&lt;&gt;""",G$6:G4986)-SUMIF(A$6:A4986,"&lt;&gt;""",H$6:H4986),"")</f>
        <v/>
      </c>
    </row>
    <row r="4987">
      <c r="I4987">
        <f>IFERROR(SUMIF(A$6:A4987,"&lt;&gt;""",G$6:G4987)-SUMIF(A$6:A4987,"&lt;&gt;""",H$6:H4987),"")</f>
        <v/>
      </c>
    </row>
    <row r="4988">
      <c r="I4988">
        <f>IFERROR(SUMIF(A$6:A4988,"&lt;&gt;""",G$6:G4988)-SUMIF(A$6:A4988,"&lt;&gt;""",H$6:H4988),"")</f>
        <v/>
      </c>
    </row>
    <row r="4989">
      <c r="I4989">
        <f>IFERROR(SUMIF(A$6:A4989,"&lt;&gt;""",G$6:G4989)-SUMIF(A$6:A4989,"&lt;&gt;""",H$6:H4989),"")</f>
        <v/>
      </c>
    </row>
    <row r="4990">
      <c r="I4990">
        <f>IFERROR(SUMIF(A$6:A4990,"&lt;&gt;""",G$6:G4990)-SUMIF(A$6:A4990,"&lt;&gt;""",H$6:H4990),"")</f>
        <v/>
      </c>
    </row>
    <row r="4991">
      <c r="I4991">
        <f>IFERROR(SUMIF(A$6:A4991,"&lt;&gt;""",G$6:G4991)-SUMIF(A$6:A4991,"&lt;&gt;""",H$6:H4991),"")</f>
        <v/>
      </c>
    </row>
    <row r="4992">
      <c r="I4992">
        <f>IFERROR(SUMIF(A$6:A4992,"&lt;&gt;""",G$6:G4992)-SUMIF(A$6:A4992,"&lt;&gt;""",H$6:H4992),"")</f>
        <v/>
      </c>
    </row>
    <row r="4993">
      <c r="I4993">
        <f>IFERROR(SUMIF(A$6:A4993,"&lt;&gt;""",G$6:G4993)-SUMIF(A$6:A4993,"&lt;&gt;""",H$6:H4993),"")</f>
        <v/>
      </c>
    </row>
    <row r="4994">
      <c r="I4994">
        <f>IFERROR(SUMIF(A$6:A4994,"&lt;&gt;""",G$6:G4994)-SUMIF(A$6:A4994,"&lt;&gt;""",H$6:H4994),"")</f>
        <v/>
      </c>
    </row>
    <row r="4995">
      <c r="I4995">
        <f>IFERROR(SUMIF(A$6:A4995,"&lt;&gt;""",G$6:G4995)-SUMIF(A$6:A4995,"&lt;&gt;""",H$6:H4995),"")</f>
        <v/>
      </c>
    </row>
    <row r="4996">
      <c r="I4996">
        <f>IFERROR(SUMIF(A$6:A4996,"&lt;&gt;""",G$6:G4996)-SUMIF(A$6:A4996,"&lt;&gt;""",H$6:H4996),"")</f>
        <v/>
      </c>
    </row>
    <row r="4997">
      <c r="I4997">
        <f>IFERROR(SUMIF(A$6:A4997,"&lt;&gt;""",G$6:G4997)-SUMIF(A$6:A4997,"&lt;&gt;""",H$6:H4997),"")</f>
        <v/>
      </c>
    </row>
    <row r="4998">
      <c r="I4998">
        <f>IFERROR(SUMIF(A$6:A4998,"&lt;&gt;""",G$6:G4998)-SUMIF(A$6:A4998,"&lt;&gt;""",H$6:H4998),"")</f>
        <v/>
      </c>
    </row>
    <row r="4999">
      <c r="I4999">
        <f>IFERROR(SUMIF(A$6:A4999,"&lt;&gt;""",G$6:G4999)-SUMIF(A$6:A4999,"&lt;&gt;""",H$6:H4999),"")</f>
        <v/>
      </c>
    </row>
    <row r="5000">
      <c r="I5000">
        <f>IFERROR(SUMIF(A$6:A5000,"&lt;&gt;""",G$6:G5000)-SUMIF(A$6:A5000,"&lt;&gt;""",H$6:H5000),"")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B2:E28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3" customWidth="1" min="1" max="1"/>
    <col width="26" customWidth="1" min="2" max="2"/>
    <col width="24" customWidth="1" min="3" max="3"/>
    <col width="20" customWidth="1" min="4" max="4"/>
    <col width="18" customWidth="1" min="5" max="5"/>
  </cols>
  <sheetData>
    <row r="2" ht="18" customHeight="1">
      <c r="B2" s="16" t="inlineStr">
        <is>
          <t>Profit &amp; Loss Statement</t>
        </is>
      </c>
    </row>
    <row r="3" ht="15" customHeight="1">
      <c r="B3" s="12">
        <f>"FY "&amp;Dashboard!$B$1</f>
        <v/>
      </c>
    </row>
    <row r="5" ht="15" customHeight="1">
      <c r="D5" s="67" t="inlineStr">
        <is>
          <t>Actual</t>
        </is>
      </c>
      <c r="E5" s="67" t="inlineStr">
        <is>
          <t>Budget</t>
        </is>
      </c>
    </row>
    <row r="6" ht="15" customHeight="1">
      <c r="B6" s="68" t="inlineStr">
        <is>
          <t>REVENUE</t>
        </is>
      </c>
      <c r="D6" s="9" t="n"/>
      <c r="E6" s="9" t="n"/>
    </row>
    <row r="7" ht="15" customHeight="1">
      <c r="C7" s="36" t="inlineStr">
        <is>
          <t>Room Revenue</t>
        </is>
      </c>
      <c r="D7" s="69">
        <f>SUMPRODUCT((YEAR(Revenue_Log!A6:A5000)=Dashboard!$B$1)*(Revenue_Log!D6:D5000="Room Revenue")*(Revenue_Log!H6:H5000))</f>
        <v/>
      </c>
      <c r="E7" s="70">
        <f>Budget!AM9</f>
        <v/>
      </c>
    </row>
    <row r="8" ht="15" customHeight="1">
      <c r="C8" s="40" t="inlineStr">
        <is>
          <t>Shop Rent</t>
        </is>
      </c>
      <c r="D8" s="63">
        <f>SUMPRODUCT((YEAR(Revenue_Log!A6:A5000)=Dashboard!$B$1)*(Revenue_Log!D6:D5000="Shop Rent")*(Revenue_Log!H6:H5000))</f>
        <v/>
      </c>
      <c r="E8" s="71">
        <f>Budget!AM10</f>
        <v/>
      </c>
    </row>
    <row r="9" ht="15" customHeight="1">
      <c r="C9" s="36" t="inlineStr">
        <is>
          <t>Caution Fee Income</t>
        </is>
      </c>
      <c r="D9" s="69">
        <f>SUMPRODUCT((YEAR(Revenue_Log!A6:A5000)=Dashboard!$B$1)*(Revenue_Log!D6:D5000="Caution Fee Income")*(Revenue_Log!H6:H5000))</f>
        <v/>
      </c>
      <c r="E9" s="70">
        <f>Budget!AM11</f>
        <v/>
      </c>
    </row>
    <row r="10" ht="15" customHeight="1">
      <c r="C10" s="40" t="inlineStr">
        <is>
          <t>Extra Charges</t>
        </is>
      </c>
      <c r="D10" s="63">
        <f>SUMPRODUCT((YEAR(Revenue_Log!A6:A5000)=Dashboard!$B$1)*(Revenue_Log!D6:D5000="Extra Charges")*(Revenue_Log!H6:H5000))</f>
        <v/>
      </c>
      <c r="E10" s="71">
        <f>Budget!AM12</f>
        <v/>
      </c>
    </row>
    <row r="11" ht="15" customHeight="1">
      <c r="C11" s="36" t="inlineStr">
        <is>
          <t>Form &amp; Legal Fees</t>
        </is>
      </c>
      <c r="D11" s="69">
        <f>SUMPRODUCT((YEAR(Revenue_Log!A6:A5000)=Dashboard!$B$1)*(Revenue_Log!D6:D5000="Form &amp; Legal Fees")*(Revenue_Log!H6:H5000))</f>
        <v/>
      </c>
      <c r="E11" s="70">
        <f>Budget!AM13</f>
        <v/>
      </c>
    </row>
    <row r="12" ht="15" customHeight="1">
      <c r="C12" s="40" t="inlineStr">
        <is>
          <t>Other Income</t>
        </is>
      </c>
      <c r="D12" s="63">
        <f>SUMPRODUCT((YEAR(Revenue_Log!A6:A5000)=Dashboard!$B$1)*(Revenue_Log!D6:D5000="Other Income")*(Revenue_Log!H6:H5000))</f>
        <v/>
      </c>
      <c r="E12" s="71">
        <f>Budget!AM14</f>
        <v/>
      </c>
    </row>
    <row r="13" ht="15" customHeight="1">
      <c r="B13" s="17" t="inlineStr">
        <is>
          <t>TOTAL REVENUE</t>
        </is>
      </c>
      <c r="D13" s="72">
        <f>SUM(D7:D12)</f>
        <v/>
      </c>
      <c r="E13" s="72">
        <f>SUM(E7:E12)</f>
        <v/>
      </c>
    </row>
    <row r="15" ht="15" customHeight="1">
      <c r="B15" s="68" t="inlineStr">
        <is>
          <t>EXPENSES</t>
        </is>
      </c>
      <c r="D15" s="9" t="n"/>
      <c r="E15" s="9" t="n"/>
    </row>
    <row r="16" ht="15" customHeight="1">
      <c r="C16" s="36" t="inlineStr">
        <is>
          <t>Salaries</t>
        </is>
      </c>
      <c r="D16" s="69">
        <f>Staff_Salaries!E4</f>
        <v/>
      </c>
      <c r="E16" s="70">
        <f>Budget!AM18</f>
        <v/>
      </c>
    </row>
    <row r="17" ht="15" customHeight="1">
      <c r="C17" s="40" t="inlineStr">
        <is>
          <t>Construction</t>
        </is>
      </c>
      <c r="D17" s="63">
        <f>SUMPRODUCT((YEAR(Expenses_Log!A6:A5000)=Dashboard!$B$1)*(Expenses_Log!C6:C5000="Construction")*(Expenses_Log!G6:G5000))</f>
        <v/>
      </c>
      <c r="E17" s="71">
        <f>Budget!AM19</f>
        <v/>
      </c>
    </row>
    <row r="18" ht="15" customHeight="1">
      <c r="C18" s="36" t="inlineStr">
        <is>
          <t>Maintenance</t>
        </is>
      </c>
      <c r="D18" s="69">
        <f>SUMPRODUCT((YEAR(Expenses_Log!A6:A5000)=Dashboard!$B$1)*(Expenses_Log!C6:C5000="Maintenance")*(Expenses_Log!G6:G5000))</f>
        <v/>
      </c>
      <c r="E18" s="70">
        <f>Budget!AM20</f>
        <v/>
      </c>
    </row>
    <row r="19" ht="15" customHeight="1">
      <c r="C19" s="40" t="inlineStr">
        <is>
          <t>Utilities</t>
        </is>
      </c>
      <c r="D19" s="63">
        <f>SUMPRODUCT((YEAR(Expenses_Log!A6:A5000)=Dashboard!$B$1)*(Expenses_Log!C6:C5000="Utilities")*(Expenses_Log!G6:G5000))</f>
        <v/>
      </c>
      <c r="E19" s="71">
        <f>Budget!AM21</f>
        <v/>
      </c>
    </row>
    <row r="20" ht="15" customHeight="1">
      <c r="C20" s="36" t="inlineStr">
        <is>
          <t>Inventory</t>
        </is>
      </c>
      <c r="D20" s="69">
        <f>SUMPRODUCT((YEAR(Expenses_Log!A6:A5000)=Dashboard!$B$1)*(Expenses_Log!C6:C5000="Inventory")*(Expenses_Log!G6:G5000))</f>
        <v/>
      </c>
      <c r="E20" s="70">
        <f>Budget!AM22</f>
        <v/>
      </c>
    </row>
    <row r="21" ht="15" customHeight="1">
      <c r="C21" s="40" t="inlineStr">
        <is>
          <t>Administrative</t>
        </is>
      </c>
      <c r="D21" s="63">
        <f>SUMPRODUCT((YEAR(Expenses_Log!A6:A5000)=Dashboard!$B$1)*(Expenses_Log!C6:C5000="Administrative")*(Expenses_Log!G6:G5000))</f>
        <v/>
      </c>
      <c r="E21" s="71">
        <f>Budget!AM23</f>
        <v/>
      </c>
    </row>
    <row r="22" ht="15" customHeight="1">
      <c r="C22" s="36" t="inlineStr">
        <is>
          <t>Loans &amp; Advances</t>
        </is>
      </c>
      <c r="D22" s="69">
        <f>SUMPRODUCT((YEAR(Expenses_Log!A6:A5000)=Dashboard!$B$1)*(Expenses_Log!C6:C5000="Loans &amp; Advances")*(Expenses_Log!G6:G5000))</f>
        <v/>
      </c>
      <c r="E22" s="70">
        <f>Budget!AM24</f>
        <v/>
      </c>
    </row>
    <row r="23" ht="15" customHeight="1">
      <c r="C23" s="40" t="inlineStr">
        <is>
          <t>Transportation</t>
        </is>
      </c>
      <c r="D23" s="63">
        <f>SUMPRODUCT((YEAR(Expenses_Log!A6:A5000)=Dashboard!$B$1)*(Expenses_Log!C6:C5000="Transportation")*(Expenses_Log!G6:G5000))</f>
        <v/>
      </c>
      <c r="E23" s="71">
        <f>Budget!AM25</f>
        <v/>
      </c>
    </row>
    <row r="24" ht="15" customHeight="1">
      <c r="C24" s="36" t="inlineStr">
        <is>
          <t>IT &amp; Communications</t>
        </is>
      </c>
      <c r="D24" s="69">
        <f>SUMPRODUCT((YEAR(Expenses_Log!A6:A5000)=Dashboard!$B$1)*(Expenses_Log!C6:C5000="IT &amp; Communications")*(Expenses_Log!G6:G5000))</f>
        <v/>
      </c>
      <c r="E24" s="70">
        <f>Budget!AM26</f>
        <v/>
      </c>
    </row>
    <row r="25" ht="15" customHeight="1">
      <c r="C25" s="40" t="inlineStr">
        <is>
          <t>Other</t>
        </is>
      </c>
      <c r="D25" s="63">
        <f>SUMPRODUCT((YEAR(Expenses_Log!A6:A5000)=Dashboard!$B$1)*(Expenses_Log!C6:C5000="Other")*(Expenses_Log!G6:G5000))</f>
        <v/>
      </c>
      <c r="E25" s="71">
        <f>Budget!AM27</f>
        <v/>
      </c>
    </row>
    <row r="26" ht="15" customHeight="1">
      <c r="B26" s="17" t="inlineStr">
        <is>
          <t>TOTAL EXPENSES</t>
        </is>
      </c>
      <c r="D26" s="73">
        <f>SUM(D16:D25)</f>
        <v/>
      </c>
      <c r="E26" s="73">
        <f>SUM(E16:E25)</f>
        <v/>
      </c>
    </row>
    <row r="28" ht="17.25" customHeight="1">
      <c r="B28" s="74" t="inlineStr">
        <is>
          <t>NET PROFIT / (LOSS)</t>
        </is>
      </c>
      <c r="D28" s="75">
        <f>D13-D26</f>
        <v/>
      </c>
      <c r="E28" s="29">
        <f>E13-E26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B2:D19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3" customWidth="1" min="1" max="1"/>
    <col width="24" customWidth="1" min="2" max="3"/>
    <col width="20" customWidth="1" min="4" max="4"/>
  </cols>
  <sheetData>
    <row r="2" ht="18" customHeight="1">
      <c r="B2" s="16" t="inlineStr">
        <is>
          <t>Cash Flow Statement</t>
        </is>
      </c>
    </row>
    <row r="3" ht="15" customHeight="1">
      <c r="B3" s="12">
        <f>"FY "&amp;Dashboard!$B$1</f>
        <v/>
      </c>
    </row>
    <row r="6" ht="15" customHeight="1">
      <c r="B6" s="68" t="inlineStr">
        <is>
          <t>OPERATING</t>
        </is>
      </c>
    </row>
    <row r="7" ht="15" customHeight="1">
      <c r="C7" s="40" t="inlineStr">
        <is>
          <t>Cash from revenue</t>
        </is>
      </c>
      <c r="D7" s="63">
        <f>SUMPRODUCT((YEAR(Revenue_Log!A6:A5000)=Dashboard!$B$1)*(Revenue_Log!H6:H5000))</f>
        <v/>
      </c>
    </row>
    <row r="8" ht="15" customHeight="1">
      <c r="C8" s="40" t="inlineStr">
        <is>
          <t>Cash paid (expenses)</t>
        </is>
      </c>
      <c r="D8" s="63">
        <f>-(SUMPRODUCT((YEAR(Expenses_Log!A6:A5000)=Dashboard!$B$1)*(Expenses_Log!G6:G5000)))</f>
        <v/>
      </c>
    </row>
    <row r="9" ht="15" customHeight="1">
      <c r="C9" s="40" t="inlineStr">
        <is>
          <t>Cash paid (salaries)</t>
        </is>
      </c>
      <c r="D9" s="63">
        <f>-Staff_Salaries!E4</f>
        <v/>
      </c>
    </row>
    <row r="10" ht="15" customHeight="1">
      <c r="B10" s="17" t="inlineStr">
        <is>
          <t>Net Operating</t>
        </is>
      </c>
      <c r="D10" s="72">
        <f>SUM(D7:D9)</f>
        <v/>
      </c>
    </row>
    <row r="12" ht="15" customHeight="1">
      <c r="B12" s="68" t="inlineStr">
        <is>
          <t>INVESTING</t>
        </is>
      </c>
    </row>
    <row r="13" ht="15" customHeight="1">
      <c r="C13" s="40" t="inlineStr">
        <is>
          <t>Capital expenditures</t>
        </is>
      </c>
      <c r="D13" s="76">
        <f>-(SUMPRODUCT((YEAR(Expenses_Log!A6:A5000)=Dashboard!$B$1)*(Expenses_Log!C6:C5000="Construction")*(Expenses_Log!G6:G5000)))</f>
        <v/>
      </c>
    </row>
    <row r="15" ht="15" customHeight="1">
      <c r="B15" s="68" t="inlineStr">
        <is>
          <t>FINANCING</t>
        </is>
      </c>
    </row>
    <row r="16" ht="15" customHeight="1">
      <c r="C16" s="40" t="inlineStr">
        <is>
          <t>Owner contributions</t>
        </is>
      </c>
      <c r="D16" s="76" t="n">
        <v>0</v>
      </c>
    </row>
    <row r="17" ht="15" customHeight="1">
      <c r="C17" s="40" t="inlineStr">
        <is>
          <t>Loan repayments</t>
        </is>
      </c>
      <c r="D17" s="63">
        <f>-(SUMPRODUCT((YEAR(Expenses_Log!A6:A5000)=Dashboard!$B$1)*(Expenses_Log!C6:C5000="Loans &amp; Advances")*(Expenses_Log!G6:G5000)))</f>
        <v/>
      </c>
    </row>
    <row r="19" ht="17.25" customHeight="1">
      <c r="B19" s="74" t="inlineStr">
        <is>
          <t>NET CASH CHANGE</t>
        </is>
      </c>
      <c r="D19" s="75">
        <f>IFERROR(D10,0)+IFERROR(D13,0)+IFERROR(D16,0)+IFERROR(D17,0)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B2:D28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3" customWidth="1" min="1" max="1"/>
    <col width="24" customWidth="1" min="2" max="3"/>
    <col width="20" customWidth="1" min="4" max="4"/>
  </cols>
  <sheetData>
    <row r="2" ht="18" customHeight="1">
      <c r="B2" s="16" t="inlineStr">
        <is>
          <t>Balance Sheet</t>
        </is>
      </c>
    </row>
    <row r="3" ht="15" customHeight="1">
      <c r="B3" s="12">
        <f>"As at Dec 31, "&amp;Dashboard!$B$1</f>
        <v/>
      </c>
    </row>
    <row r="6" ht="15" customHeight="1">
      <c r="B6" s="68" t="inlineStr">
        <is>
          <t>ASSETS</t>
        </is>
      </c>
      <c r="D6" s="9" t="n"/>
    </row>
    <row r="7" ht="15" customHeight="1">
      <c r="B7" s="31" t="inlineStr">
        <is>
          <t>Current Assets</t>
        </is>
      </c>
    </row>
    <row r="8" ht="15" customHeight="1">
      <c r="C8" s="40" t="inlineStr">
        <is>
          <t>Cash &amp; Bank</t>
        </is>
      </c>
      <c r="D8" s="63">
        <f>Cash_Flow!D19</f>
        <v/>
      </c>
    </row>
    <row r="9" ht="15" customHeight="1">
      <c r="C9" s="40" t="inlineStr">
        <is>
          <t>Accounts Receivable</t>
        </is>
      </c>
      <c r="D9" s="63">
        <f>0</f>
        <v/>
      </c>
    </row>
    <row r="10" ht="15" customHeight="1">
      <c r="C10" s="40" t="inlineStr">
        <is>
          <t>Inventory</t>
        </is>
      </c>
      <c r="D10" s="63">
        <f>0</f>
        <v/>
      </c>
    </row>
    <row r="11" ht="15" customHeight="1">
      <c r="B11" s="17" t="inlineStr">
        <is>
          <t>Total Current</t>
        </is>
      </c>
      <c r="D11" s="43">
        <f>SUM(D8:D10)</f>
        <v/>
      </c>
    </row>
    <row r="12" ht="15" customHeight="1">
      <c r="C12" s="40" t="inlineStr">
        <is>
          <t>Fixed Assets</t>
        </is>
      </c>
      <c r="D12" s="76" t="n">
        <v>0</v>
      </c>
    </row>
    <row r="13" ht="15" customHeight="1">
      <c r="B13" s="32" t="inlineStr">
        <is>
          <t>TOTAL ASSETS</t>
        </is>
      </c>
      <c r="D13" s="77">
        <f>D11+D12</f>
        <v/>
      </c>
    </row>
    <row r="15" ht="15" customHeight="1">
      <c r="B15" s="68" t="inlineStr">
        <is>
          <t>LIABILITIES</t>
        </is>
      </c>
      <c r="D15" s="9" t="n"/>
    </row>
    <row r="16" ht="15" customHeight="1">
      <c r="C16" s="40" t="inlineStr">
        <is>
          <t>Accounts Payable</t>
        </is>
      </c>
      <c r="D16" s="76" t="n">
        <v>0</v>
      </c>
    </row>
    <row r="17" ht="15" customHeight="1">
      <c r="C17" s="40" t="inlineStr">
        <is>
          <t>Salaries Payable</t>
        </is>
      </c>
      <c r="D17" s="76" t="n">
        <v>0</v>
      </c>
    </row>
    <row r="18" ht="15" customHeight="1">
      <c r="C18" s="40" t="inlineStr">
        <is>
          <t>Loans Payable</t>
        </is>
      </c>
      <c r="D18" s="76" t="n">
        <v>0</v>
      </c>
    </row>
    <row r="19" ht="15" customHeight="1">
      <c r="C19" s="40" t="inlineStr">
        <is>
          <t>Caution Deposits</t>
        </is>
      </c>
      <c r="D19" s="76" t="n">
        <v>0</v>
      </c>
    </row>
    <row r="20" ht="15" customHeight="1">
      <c r="B20" s="17" t="inlineStr">
        <is>
          <t>Total Liabilities</t>
        </is>
      </c>
      <c r="D20" s="43">
        <f>SUM(D16:D19)</f>
        <v/>
      </c>
    </row>
    <row r="22" ht="15" customHeight="1">
      <c r="B22" s="68" t="inlineStr">
        <is>
          <t>EQUITY</t>
        </is>
      </c>
      <c r="D22" s="9" t="n"/>
    </row>
    <row r="23" ht="15" customHeight="1">
      <c r="C23" s="40" t="inlineStr">
        <is>
          <t>Owner Capital</t>
        </is>
      </c>
      <c r="D23" s="76" t="n">
        <v>0</v>
      </c>
    </row>
    <row r="24" ht="15" customHeight="1">
      <c r="C24" s="40" t="inlineStr">
        <is>
          <t>Retained Earnings</t>
        </is>
      </c>
      <c r="D24" s="63">
        <f>Profit_Loss!D28</f>
        <v/>
      </c>
    </row>
    <row r="25" ht="15" customHeight="1">
      <c r="B25" s="17" t="inlineStr">
        <is>
          <t>Total Equity</t>
        </is>
      </c>
      <c r="D25" s="43">
        <f>D23+D24</f>
        <v/>
      </c>
    </row>
    <row r="27" ht="15" customHeight="1">
      <c r="B27" s="32" t="inlineStr">
        <is>
          <t>TOTAL L+E</t>
        </is>
      </c>
      <c r="D27" s="77">
        <f>D20+D25</f>
        <v/>
      </c>
    </row>
    <row r="28" ht="15" customHeight="1">
      <c r="B28" s="30" t="inlineStr">
        <is>
          <t>Check (=0):</t>
        </is>
      </c>
      <c r="D28" s="78">
        <f>D13-D27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2:F22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3" customWidth="1" min="1" max="1"/>
    <col width="10" customWidth="1" min="2" max="2"/>
    <col width="18" customWidth="1" min="3" max="3"/>
    <col width="10" customWidth="1" min="4" max="4"/>
    <col width="16" customWidth="1" min="5" max="6"/>
  </cols>
  <sheetData>
    <row r="2" ht="18" customHeight="1">
      <c r="B2" s="16" t="inlineStr">
        <is>
          <t>Trial Balance</t>
        </is>
      </c>
    </row>
    <row r="3" ht="15" customHeight="1">
      <c r="B3" s="12" t="inlineStr">
        <is>
          <t>FY 2024</t>
        </is>
      </c>
    </row>
    <row r="5" ht="15" customHeight="1">
      <c r="A5" s="19" t="n"/>
      <c r="B5" s="19" t="inlineStr">
        <is>
          <t>Code</t>
        </is>
      </c>
      <c r="C5" s="19" t="inlineStr">
        <is>
          <t>Account</t>
        </is>
      </c>
      <c r="D5" s="19" t="inlineStr">
        <is>
          <t>Type</t>
        </is>
      </c>
      <c r="E5" s="19" t="inlineStr">
        <is>
          <t>Debit</t>
        </is>
      </c>
      <c r="F5" s="19" t="inlineStr">
        <is>
          <t>Credit</t>
        </is>
      </c>
    </row>
    <row r="6" ht="15" customHeight="1">
      <c r="A6" s="79" t="n"/>
      <c r="B6" s="79" t="inlineStr">
        <is>
          <t>1010</t>
        </is>
      </c>
      <c r="C6" s="79" t="inlineStr">
        <is>
          <t>Bank</t>
        </is>
      </c>
      <c r="D6" s="79" t="inlineStr">
        <is>
          <t>Asset</t>
        </is>
      </c>
      <c r="E6" s="80">
        <f>IFERROR(SUMIF(General_Ledger!D6:D5000,"1010",General_Ledger!G6:G5000),0)</f>
        <v/>
      </c>
      <c r="F6" s="80">
        <f>IFERROR(SUMIF(General_Ledger!D6:D5000,"1010",General_Ledger!H6:H5000),0)</f>
        <v/>
      </c>
    </row>
    <row r="7" ht="15" customHeight="1">
      <c r="A7" s="81" t="n"/>
      <c r="B7" s="81" t="inlineStr">
        <is>
          <t>1100</t>
        </is>
      </c>
      <c r="C7" s="81" t="inlineStr">
        <is>
          <t>AR</t>
        </is>
      </c>
      <c r="D7" s="81" t="inlineStr">
        <is>
          <t>Asset</t>
        </is>
      </c>
      <c r="E7" s="82">
        <f>IFERROR(SUMIF(General_Ledger!D6:D5000,"1100",General_Ledger!G6:G5000),0)</f>
        <v/>
      </c>
      <c r="F7" s="82">
        <f>IFERROR(SUMIF(General_Ledger!D6:D5000,"1100",General_Ledger!H6:H5000),0)</f>
        <v/>
      </c>
    </row>
    <row r="8" ht="15" customHeight="1">
      <c r="A8" s="79" t="n"/>
      <c r="B8" s="79" t="inlineStr">
        <is>
          <t>2000</t>
        </is>
      </c>
      <c r="C8" s="79" t="inlineStr">
        <is>
          <t>AP</t>
        </is>
      </c>
      <c r="D8" s="79" t="inlineStr">
        <is>
          <t>Liability</t>
        </is>
      </c>
      <c r="E8" s="80">
        <f>IFERROR(SUMIF(General_Ledger!D6:D5000,"2000",General_Ledger!G6:G5000),0)</f>
        <v/>
      </c>
      <c r="F8" s="80">
        <f>IFERROR(SUMIF(General_Ledger!D6:D5000,"2000",General_Ledger!H6:H5000),0)</f>
        <v/>
      </c>
    </row>
    <row r="9" ht="15" customHeight="1">
      <c r="A9" s="81" t="n"/>
      <c r="B9" s="81" t="inlineStr">
        <is>
          <t>2200</t>
        </is>
      </c>
      <c r="C9" s="81" t="inlineStr">
        <is>
          <t>Loans</t>
        </is>
      </c>
      <c r="D9" s="81" t="inlineStr">
        <is>
          <t>Liability</t>
        </is>
      </c>
      <c r="E9" s="82">
        <f>IFERROR(SUMIF(General_Ledger!D6:D5000,"2200",General_Ledger!G6:G5000),0)</f>
        <v/>
      </c>
      <c r="F9" s="82">
        <f>IFERROR(SUMIF(General_Ledger!D6:D5000,"2200",General_Ledger!H6:H5000),0)</f>
        <v/>
      </c>
    </row>
    <row r="10" ht="15" customHeight="1">
      <c r="A10" s="79" t="n"/>
      <c r="B10" s="79" t="inlineStr">
        <is>
          <t>3000</t>
        </is>
      </c>
      <c r="C10" s="79" t="inlineStr">
        <is>
          <t>Equity</t>
        </is>
      </c>
      <c r="D10" s="79" t="inlineStr">
        <is>
          <t>Equity</t>
        </is>
      </c>
      <c r="E10" s="80">
        <f>IFERROR(SUMIF(General_Ledger!D6:D5000,"3000",General_Ledger!G6:G5000),0)</f>
        <v/>
      </c>
      <c r="F10" s="80">
        <f>IFERROR(SUMIF(General_Ledger!D6:D5000,"3000",General_Ledger!H6:H5000),0)</f>
        <v/>
      </c>
    </row>
    <row r="11" ht="15" customHeight="1">
      <c r="A11" s="81" t="n"/>
      <c r="B11" s="81" t="inlineStr">
        <is>
          <t>4000</t>
        </is>
      </c>
      <c r="C11" s="81" t="inlineStr">
        <is>
          <t>Room Rev</t>
        </is>
      </c>
      <c r="D11" s="81" t="inlineStr">
        <is>
          <t>Revenue</t>
        </is>
      </c>
      <c r="E11" s="82">
        <f>IFERROR(SUMIF(General_Ledger!D6:D5000,"4000",General_Ledger!G6:G5000),0)</f>
        <v/>
      </c>
      <c r="F11" s="82">
        <f>IFERROR(SUMIF(General_Ledger!D6:D5000,"4000",General_Ledger!H6:H5000),0)</f>
        <v/>
      </c>
    </row>
    <row r="12" ht="15" customHeight="1">
      <c r="A12" s="79" t="n"/>
      <c r="B12" s="79" t="inlineStr">
        <is>
          <t>4010</t>
        </is>
      </c>
      <c r="C12" s="79" t="inlineStr">
        <is>
          <t>Shop Rent</t>
        </is>
      </c>
      <c r="D12" s="79" t="inlineStr">
        <is>
          <t>Revenue</t>
        </is>
      </c>
      <c r="E12" s="80">
        <f>IFERROR(SUMIF(General_Ledger!D6:D5000,"4010",General_Ledger!G6:G5000),0)</f>
        <v/>
      </c>
      <c r="F12" s="80">
        <f>IFERROR(SUMIF(General_Ledger!D6:D5000,"4010",General_Ledger!H6:H5000),0)</f>
        <v/>
      </c>
    </row>
    <row r="13" ht="15" customHeight="1">
      <c r="A13" s="81" t="n"/>
      <c r="B13" s="81" t="inlineStr">
        <is>
          <t>4030</t>
        </is>
      </c>
      <c r="C13" s="81" t="inlineStr">
        <is>
          <t>Extras</t>
        </is>
      </c>
      <c r="D13" s="81" t="inlineStr">
        <is>
          <t>Revenue</t>
        </is>
      </c>
      <c r="E13" s="82">
        <f>IFERROR(SUMIF(General_Ledger!D6:D5000,"4030",General_Ledger!G6:G5000),0)</f>
        <v/>
      </c>
      <c r="F13" s="82">
        <f>IFERROR(SUMIF(General_Ledger!D6:D5000,"4030",General_Ledger!H6:H5000),0)</f>
        <v/>
      </c>
    </row>
    <row r="14" ht="15" customHeight="1">
      <c r="A14" s="79" t="n"/>
      <c r="B14" s="79" t="inlineStr">
        <is>
          <t>5000</t>
        </is>
      </c>
      <c r="C14" s="79" t="inlineStr">
        <is>
          <t>Salaries</t>
        </is>
      </c>
      <c r="D14" s="79" t="inlineStr">
        <is>
          <t>Expense</t>
        </is>
      </c>
      <c r="E14" s="80">
        <f>IFERROR(SUMIF(General_Ledger!D6:D5000,"5000",General_Ledger!G6:G5000),0)</f>
        <v/>
      </c>
      <c r="F14" s="80">
        <f>IFERROR(SUMIF(General_Ledger!D6:D5000,"5000",General_Ledger!H6:H5000),0)</f>
        <v/>
      </c>
    </row>
    <row r="15" ht="15" customHeight="1">
      <c r="A15" s="81" t="n"/>
      <c r="B15" s="81" t="inlineStr">
        <is>
          <t>5010</t>
        </is>
      </c>
      <c r="C15" s="81" t="inlineStr">
        <is>
          <t>Construction</t>
        </is>
      </c>
      <c r="D15" s="81" t="inlineStr">
        <is>
          <t>Expense</t>
        </is>
      </c>
      <c r="E15" s="82">
        <f>IFERROR(SUMIF(General_Ledger!D6:D5000,"5010",General_Ledger!G6:G5000),0)</f>
        <v/>
      </c>
      <c r="F15" s="82">
        <f>IFERROR(SUMIF(General_Ledger!D6:D5000,"5010",General_Ledger!H6:H5000),0)</f>
        <v/>
      </c>
    </row>
    <row r="16" ht="15" customHeight="1">
      <c r="A16" s="79" t="n"/>
      <c r="B16" s="79" t="inlineStr">
        <is>
          <t>5020</t>
        </is>
      </c>
      <c r="C16" s="79" t="inlineStr">
        <is>
          <t>Maintenance</t>
        </is>
      </c>
      <c r="D16" s="79" t="inlineStr">
        <is>
          <t>Expense</t>
        </is>
      </c>
      <c r="E16" s="80">
        <f>IFERROR(SUMIF(General_Ledger!D6:D5000,"5020",General_Ledger!G6:G5000),0)</f>
        <v/>
      </c>
      <c r="F16" s="80">
        <f>IFERROR(SUMIF(General_Ledger!D6:D5000,"5020",General_Ledger!H6:H5000),0)</f>
        <v/>
      </c>
    </row>
    <row r="17" ht="15" customHeight="1">
      <c r="A17" s="81" t="n"/>
      <c r="B17" s="81" t="inlineStr">
        <is>
          <t>5030</t>
        </is>
      </c>
      <c r="C17" s="81" t="inlineStr">
        <is>
          <t>Utilities</t>
        </is>
      </c>
      <c r="D17" s="81" t="inlineStr">
        <is>
          <t>Expense</t>
        </is>
      </c>
      <c r="E17" s="82">
        <f>IFERROR(SUMIF(General_Ledger!D6:D5000,"5030",General_Ledger!G6:G5000),0)</f>
        <v/>
      </c>
      <c r="F17" s="82">
        <f>IFERROR(SUMIF(General_Ledger!D6:D5000,"5030",General_Ledger!H6:H5000),0)</f>
        <v/>
      </c>
    </row>
    <row r="18" ht="15" customHeight="1">
      <c r="A18" s="79" t="n"/>
      <c r="B18" s="79" t="inlineStr">
        <is>
          <t>5080</t>
        </is>
      </c>
      <c r="C18" s="79" t="inlineStr">
        <is>
          <t>IT</t>
        </is>
      </c>
      <c r="D18" s="79" t="inlineStr">
        <is>
          <t>Expense</t>
        </is>
      </c>
      <c r="E18" s="80">
        <f>IFERROR(SUMIF(General_Ledger!D6:D5000,"5080",General_Ledger!G6:G5000),0)</f>
        <v/>
      </c>
      <c r="F18" s="80">
        <f>IFERROR(SUMIF(General_Ledger!D6:D5000,"5080",General_Ledger!H6:H5000),0)</f>
        <v/>
      </c>
    </row>
    <row r="19" ht="15" customHeight="1">
      <c r="A19" s="81" t="n"/>
      <c r="B19" s="81" t="inlineStr">
        <is>
          <t>5090</t>
        </is>
      </c>
      <c r="C19" s="81" t="inlineStr">
        <is>
          <t>Other</t>
        </is>
      </c>
      <c r="D19" s="81" t="inlineStr">
        <is>
          <t>Expense</t>
        </is>
      </c>
      <c r="E19" s="82">
        <f>IFERROR(SUMIF(General_Ledger!D6:D5000,"5090",General_Ledger!G6:G5000),0)</f>
        <v/>
      </c>
      <c r="F19" s="82">
        <f>IFERROR(SUMIF(General_Ledger!D6:D5000,"5090",General_Ledger!H6:H5000),0)</f>
        <v/>
      </c>
    </row>
    <row r="21" ht="15" customHeight="1">
      <c r="C21" s="17" t="inlineStr">
        <is>
          <t>TOTALS</t>
        </is>
      </c>
      <c r="E21" s="43">
        <f>SUM(E6:E19)</f>
        <v/>
      </c>
      <c r="F21" s="43">
        <f>SUM(F6:F19)</f>
        <v/>
      </c>
    </row>
    <row r="22" ht="15" customHeight="1">
      <c r="C22" s="83" t="inlineStr">
        <is>
          <t>DIFF</t>
        </is>
      </c>
      <c r="E22" s="78">
        <f>E21-F21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2:F32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3" customWidth="1" min="1" max="1"/>
    <col width="10" customWidth="1" min="2" max="2"/>
    <col width="22" customWidth="1" min="3" max="3"/>
    <col width="10" customWidth="1" min="4" max="4"/>
    <col width="6" customWidth="1" min="5" max="5"/>
    <col width="20" customWidth="1" min="6" max="6"/>
  </cols>
  <sheetData>
    <row r="2" ht="18" customHeight="1">
      <c r="B2" s="16" t="inlineStr">
        <is>
          <t>Chart of Accounts</t>
        </is>
      </c>
    </row>
    <row r="5" ht="15" customHeight="1">
      <c r="A5" s="19" t="n"/>
      <c r="B5" s="19" t="inlineStr">
        <is>
          <t>Code</t>
        </is>
      </c>
      <c r="C5" s="19" t="inlineStr">
        <is>
          <t>Account</t>
        </is>
      </c>
      <c r="D5" s="19" t="inlineStr">
        <is>
          <t>Type</t>
        </is>
      </c>
      <c r="E5" s="19" t="inlineStr">
        <is>
          <t>Bal</t>
        </is>
      </c>
      <c r="F5" s="19" t="inlineStr">
        <is>
          <t>Description</t>
        </is>
      </c>
    </row>
    <row r="6" ht="15" customHeight="1">
      <c r="A6" s="79" t="n"/>
      <c r="B6" s="79" t="inlineStr">
        <is>
          <t>1000</t>
        </is>
      </c>
      <c r="C6" s="79" t="inlineStr">
        <is>
          <t>Cash</t>
        </is>
      </c>
      <c r="D6" s="79" t="inlineStr">
        <is>
          <t>Asset</t>
        </is>
      </c>
      <c r="E6" s="79" t="inlineStr">
        <is>
          <t>Dr</t>
        </is>
      </c>
      <c r="F6" s="79" t="inlineStr">
        <is>
          <t>Cash on hand</t>
        </is>
      </c>
    </row>
    <row r="7" ht="15" customHeight="1">
      <c r="A7" s="81" t="n"/>
      <c r="B7" s="81" t="inlineStr">
        <is>
          <t>1010</t>
        </is>
      </c>
      <c r="C7" s="81" t="inlineStr">
        <is>
          <t>Bank Account</t>
        </is>
      </c>
      <c r="D7" s="81" t="inlineStr">
        <is>
          <t>Asset</t>
        </is>
      </c>
      <c r="E7" s="81" t="inlineStr">
        <is>
          <t>Dr</t>
        </is>
      </c>
      <c r="F7" s="81" t="inlineStr">
        <is>
          <t>Bank</t>
        </is>
      </c>
    </row>
    <row r="8" ht="15" customHeight="1">
      <c r="A8" s="79" t="n"/>
      <c r="B8" s="79" t="inlineStr">
        <is>
          <t>1100</t>
        </is>
      </c>
      <c r="C8" s="79" t="inlineStr">
        <is>
          <t>Accounts Receivable</t>
        </is>
      </c>
      <c r="D8" s="79" t="inlineStr">
        <is>
          <t>Asset</t>
        </is>
      </c>
      <c r="E8" s="79" t="inlineStr">
        <is>
          <t>Dr</t>
        </is>
      </c>
      <c r="F8" s="79" t="inlineStr">
        <is>
          <t>Owed by guests</t>
        </is>
      </c>
    </row>
    <row r="9" ht="15" customHeight="1">
      <c r="A9" s="81" t="n"/>
      <c r="B9" s="81" t="inlineStr">
        <is>
          <t>1200</t>
        </is>
      </c>
      <c r="C9" s="81" t="inlineStr">
        <is>
          <t>Inventory</t>
        </is>
      </c>
      <c r="D9" s="81" t="inlineStr">
        <is>
          <t>Asset</t>
        </is>
      </c>
      <c r="E9" s="81" t="inlineStr">
        <is>
          <t>Dr</t>
        </is>
      </c>
      <c r="F9" s="81" t="inlineStr">
        <is>
          <t>Supplies</t>
        </is>
      </c>
    </row>
    <row r="10" ht="15" customHeight="1">
      <c r="A10" s="79" t="n"/>
      <c r="B10" s="79" t="inlineStr">
        <is>
          <t>1300</t>
        </is>
      </c>
      <c r="C10" s="79" t="inlineStr">
        <is>
          <t>Fixed Assets</t>
        </is>
      </c>
      <c r="D10" s="79" t="inlineStr">
        <is>
          <t>Asset</t>
        </is>
      </c>
      <c r="E10" s="79" t="inlineStr">
        <is>
          <t>Dr</t>
        </is>
      </c>
      <c r="F10" s="79" t="inlineStr">
        <is>
          <t>Property/equip</t>
        </is>
      </c>
    </row>
    <row r="11" ht="15" customHeight="1">
      <c r="A11" s="81" t="n"/>
      <c r="B11" s="81" t="inlineStr">
        <is>
          <t>2000</t>
        </is>
      </c>
      <c r="C11" s="81" t="inlineStr">
        <is>
          <t>Accounts Payable</t>
        </is>
      </c>
      <c r="D11" s="81" t="inlineStr">
        <is>
          <t>Liability</t>
        </is>
      </c>
      <c r="E11" s="81" t="inlineStr">
        <is>
          <t>Cr</t>
        </is>
      </c>
      <c r="F11" s="81" t="inlineStr">
        <is>
          <t>Owed to vendors</t>
        </is>
      </c>
    </row>
    <row r="12" ht="15" customHeight="1">
      <c r="A12" s="79" t="n"/>
      <c r="B12" s="79" t="inlineStr">
        <is>
          <t>2100</t>
        </is>
      </c>
      <c r="C12" s="79" t="inlineStr">
        <is>
          <t>Salaries Payable</t>
        </is>
      </c>
      <c r="D12" s="79" t="inlineStr">
        <is>
          <t>Liability</t>
        </is>
      </c>
      <c r="E12" s="79" t="inlineStr">
        <is>
          <t>Cr</t>
        </is>
      </c>
      <c r="F12" s="79" t="inlineStr">
        <is>
          <t>Staff owed</t>
        </is>
      </c>
    </row>
    <row r="13" ht="15" customHeight="1">
      <c r="A13" s="81" t="n"/>
      <c r="B13" s="81" t="inlineStr">
        <is>
          <t>2200</t>
        </is>
      </c>
      <c r="C13" s="81" t="inlineStr">
        <is>
          <t>Loans Payable</t>
        </is>
      </c>
      <c r="D13" s="81" t="inlineStr">
        <is>
          <t>Liability</t>
        </is>
      </c>
      <c r="E13" s="81" t="inlineStr">
        <is>
          <t>Cr</t>
        </is>
      </c>
      <c r="F13" s="81" t="inlineStr">
        <is>
          <t>Loans</t>
        </is>
      </c>
    </row>
    <row r="14" ht="15" customHeight="1">
      <c r="A14" s="79" t="n"/>
      <c r="B14" s="79" t="inlineStr">
        <is>
          <t>2300</t>
        </is>
      </c>
      <c r="C14" s="79" t="inlineStr">
        <is>
          <t>Caution Deposits</t>
        </is>
      </c>
      <c r="D14" s="79" t="inlineStr">
        <is>
          <t>Liability</t>
        </is>
      </c>
      <c r="E14" s="79" t="inlineStr">
        <is>
          <t>Cr</t>
        </is>
      </c>
      <c r="F14" s="79" t="inlineStr">
        <is>
          <t>Guest deposits</t>
        </is>
      </c>
    </row>
    <row r="15" ht="15" customHeight="1">
      <c r="A15" s="81" t="n"/>
      <c r="B15" s="81" t="inlineStr">
        <is>
          <t>3000</t>
        </is>
      </c>
      <c r="C15" s="81" t="inlineStr">
        <is>
          <t>Owner Equity</t>
        </is>
      </c>
      <c r="D15" s="81" t="inlineStr">
        <is>
          <t>Equity</t>
        </is>
      </c>
      <c r="E15" s="81" t="inlineStr">
        <is>
          <t>Cr</t>
        </is>
      </c>
      <c r="F15" s="81" t="inlineStr">
        <is>
          <t>Capital</t>
        </is>
      </c>
    </row>
    <row r="16" ht="15" customHeight="1">
      <c r="A16" s="79" t="n"/>
      <c r="B16" s="79" t="inlineStr">
        <is>
          <t>3100</t>
        </is>
      </c>
      <c r="C16" s="79" t="inlineStr">
        <is>
          <t>Retained Earnings</t>
        </is>
      </c>
      <c r="D16" s="79" t="inlineStr">
        <is>
          <t>Equity</t>
        </is>
      </c>
      <c r="E16" s="79" t="inlineStr">
        <is>
          <t>Cr</t>
        </is>
      </c>
      <c r="F16" s="79" t="inlineStr">
        <is>
          <t>Profits</t>
        </is>
      </c>
    </row>
    <row r="17" ht="15" customHeight="1">
      <c r="A17" s="81" t="n"/>
      <c r="B17" s="81" t="inlineStr">
        <is>
          <t>4000</t>
        </is>
      </c>
      <c r="C17" s="81" t="inlineStr">
        <is>
          <t>Room Revenue</t>
        </is>
      </c>
      <c r="D17" s="81" t="inlineStr">
        <is>
          <t>Revenue</t>
        </is>
      </c>
      <c r="E17" s="81" t="inlineStr">
        <is>
          <t>Cr</t>
        </is>
      </c>
      <c r="F17" s="81" t="inlineStr">
        <is>
          <t>Bookings</t>
        </is>
      </c>
    </row>
    <row r="18" ht="15" customHeight="1">
      <c r="A18" s="79" t="n"/>
      <c r="B18" s="79" t="inlineStr">
        <is>
          <t>4010</t>
        </is>
      </c>
      <c r="C18" s="79" t="inlineStr">
        <is>
          <t>Shop Rent</t>
        </is>
      </c>
      <c r="D18" s="79" t="inlineStr">
        <is>
          <t>Revenue</t>
        </is>
      </c>
      <c r="E18" s="79" t="inlineStr">
        <is>
          <t>Cr</t>
        </is>
      </c>
      <c r="F18" s="79" t="inlineStr">
        <is>
          <t>Rental</t>
        </is>
      </c>
    </row>
    <row r="19" ht="15" customHeight="1">
      <c r="A19" s="81" t="n"/>
      <c r="B19" s="81" t="inlineStr">
        <is>
          <t>4020</t>
        </is>
      </c>
      <c r="C19" s="81" t="inlineStr">
        <is>
          <t>Caution Fee</t>
        </is>
      </c>
      <c r="D19" s="81" t="inlineStr">
        <is>
          <t>Revenue</t>
        </is>
      </c>
      <c r="E19" s="81" t="inlineStr">
        <is>
          <t>Cr</t>
        </is>
      </c>
      <c r="F19" s="81" t="inlineStr">
        <is>
          <t>Caution</t>
        </is>
      </c>
    </row>
    <row r="20" ht="15" customHeight="1">
      <c r="A20" s="79" t="n"/>
      <c r="B20" s="79" t="inlineStr">
        <is>
          <t>4030</t>
        </is>
      </c>
      <c r="C20" s="79" t="inlineStr">
        <is>
          <t>Extra Charges</t>
        </is>
      </c>
      <c r="D20" s="79" t="inlineStr">
        <is>
          <t>Revenue</t>
        </is>
      </c>
      <c r="E20" s="79" t="inlineStr">
        <is>
          <t>Cr</t>
        </is>
      </c>
      <c r="F20" s="79" t="inlineStr">
        <is>
          <t>Extras</t>
        </is>
      </c>
    </row>
    <row r="21" ht="15" customHeight="1">
      <c r="A21" s="81" t="n"/>
      <c r="B21" s="81" t="inlineStr">
        <is>
          <t>4040</t>
        </is>
      </c>
      <c r="C21" s="81" t="inlineStr">
        <is>
          <t>Form &amp; Legal</t>
        </is>
      </c>
      <c r="D21" s="81" t="inlineStr">
        <is>
          <t>Revenue</t>
        </is>
      </c>
      <c r="E21" s="81" t="inlineStr">
        <is>
          <t>Cr</t>
        </is>
      </c>
      <c r="F21" s="81" t="inlineStr">
        <is>
          <t>Forms</t>
        </is>
      </c>
    </row>
    <row r="22" ht="15" customHeight="1">
      <c r="A22" s="79" t="n"/>
      <c r="B22" s="79" t="inlineStr">
        <is>
          <t>4050</t>
        </is>
      </c>
      <c r="C22" s="79" t="inlineStr">
        <is>
          <t>Other Income</t>
        </is>
      </c>
      <c r="D22" s="79" t="inlineStr">
        <is>
          <t>Revenue</t>
        </is>
      </c>
      <c r="E22" s="79" t="inlineStr">
        <is>
          <t>Cr</t>
        </is>
      </c>
      <c r="F22" s="79" t="inlineStr">
        <is>
          <t>Misc</t>
        </is>
      </c>
    </row>
    <row r="23" ht="15" customHeight="1">
      <c r="A23" s="81" t="n"/>
      <c r="B23" s="81" t="inlineStr">
        <is>
          <t>5000</t>
        </is>
      </c>
      <c r="C23" s="81" t="inlineStr">
        <is>
          <t>Salaries</t>
        </is>
      </c>
      <c r="D23" s="81" t="inlineStr">
        <is>
          <t>Expense</t>
        </is>
      </c>
      <c r="E23" s="81" t="inlineStr">
        <is>
          <t>Dr</t>
        </is>
      </c>
      <c r="F23" s="81" t="inlineStr">
        <is>
          <t>Payroll</t>
        </is>
      </c>
    </row>
    <row r="24" ht="15" customHeight="1">
      <c r="A24" s="79" t="n"/>
      <c r="B24" s="79" t="inlineStr">
        <is>
          <t>5010</t>
        </is>
      </c>
      <c r="C24" s="79" t="inlineStr">
        <is>
          <t>Construction</t>
        </is>
      </c>
      <c r="D24" s="79" t="inlineStr">
        <is>
          <t>Expense</t>
        </is>
      </c>
      <c r="E24" s="79" t="inlineStr">
        <is>
          <t>Dr</t>
        </is>
      </c>
      <c r="F24" s="79" t="inlineStr">
        <is>
          <t>Building</t>
        </is>
      </c>
    </row>
    <row r="25" ht="15" customHeight="1">
      <c r="A25" s="81" t="n"/>
      <c r="B25" s="81" t="inlineStr">
        <is>
          <t>5020</t>
        </is>
      </c>
      <c r="C25" s="81" t="inlineStr">
        <is>
          <t>Maintenance</t>
        </is>
      </c>
      <c r="D25" s="81" t="inlineStr">
        <is>
          <t>Expense</t>
        </is>
      </c>
      <c r="E25" s="81" t="inlineStr">
        <is>
          <t>Dr</t>
        </is>
      </c>
      <c r="F25" s="81" t="inlineStr">
        <is>
          <t>Repairs</t>
        </is>
      </c>
    </row>
    <row r="26" ht="15" customHeight="1">
      <c r="A26" s="79" t="n"/>
      <c r="B26" s="79" t="inlineStr">
        <is>
          <t>5030</t>
        </is>
      </c>
      <c r="C26" s="79" t="inlineStr">
        <is>
          <t>Utilities</t>
        </is>
      </c>
      <c r="D26" s="79" t="inlineStr">
        <is>
          <t>Expense</t>
        </is>
      </c>
      <c r="E26" s="79" t="inlineStr">
        <is>
          <t>Dr</t>
        </is>
      </c>
      <c r="F26" s="79" t="inlineStr">
        <is>
          <t>Power/water</t>
        </is>
      </c>
    </row>
    <row r="27" ht="15" customHeight="1">
      <c r="A27" s="81" t="n"/>
      <c r="B27" s="81" t="inlineStr">
        <is>
          <t>5040</t>
        </is>
      </c>
      <c r="C27" s="81" t="inlineStr">
        <is>
          <t>Inventory</t>
        </is>
      </c>
      <c r="D27" s="81" t="inlineStr">
        <is>
          <t>Expense</t>
        </is>
      </c>
      <c r="E27" s="81" t="inlineStr">
        <is>
          <t>Dr</t>
        </is>
      </c>
      <c r="F27" s="81" t="inlineStr">
        <is>
          <t>Supplies</t>
        </is>
      </c>
    </row>
    <row r="28" ht="15" customHeight="1">
      <c r="A28" s="79" t="n"/>
      <c r="B28" s="79" t="inlineStr">
        <is>
          <t>5050</t>
        </is>
      </c>
      <c r="C28" s="79" t="inlineStr">
        <is>
          <t>Administrative</t>
        </is>
      </c>
      <c r="D28" s="79" t="inlineStr">
        <is>
          <t>Expense</t>
        </is>
      </c>
      <c r="E28" s="79" t="inlineStr">
        <is>
          <t>Dr</t>
        </is>
      </c>
      <c r="F28" s="79" t="inlineStr">
        <is>
          <t>Admin</t>
        </is>
      </c>
    </row>
    <row r="29" ht="15" customHeight="1">
      <c r="A29" s="81" t="n"/>
      <c r="B29" s="81" t="inlineStr">
        <is>
          <t>5060</t>
        </is>
      </c>
      <c r="C29" s="81" t="inlineStr">
        <is>
          <t>Loans &amp; Advances</t>
        </is>
      </c>
      <c r="D29" s="81" t="inlineStr">
        <is>
          <t>Expense</t>
        </is>
      </c>
      <c r="E29" s="81" t="inlineStr">
        <is>
          <t>Dr</t>
        </is>
      </c>
      <c r="F29" s="81" t="inlineStr">
        <is>
          <t>Loan repay</t>
        </is>
      </c>
    </row>
    <row r="30" ht="15" customHeight="1">
      <c r="A30" s="79" t="n"/>
      <c r="B30" s="79" t="inlineStr">
        <is>
          <t>5070</t>
        </is>
      </c>
      <c r="C30" s="79" t="inlineStr">
        <is>
          <t>Transportation</t>
        </is>
      </c>
      <c r="D30" s="79" t="inlineStr">
        <is>
          <t>Expense</t>
        </is>
      </c>
      <c r="E30" s="79" t="inlineStr">
        <is>
          <t>Dr</t>
        </is>
      </c>
      <c r="F30" s="79" t="inlineStr">
        <is>
          <t>Transport</t>
        </is>
      </c>
    </row>
    <row r="31" ht="15" customHeight="1">
      <c r="A31" s="81" t="n"/>
      <c r="B31" s="81" t="inlineStr">
        <is>
          <t>5080</t>
        </is>
      </c>
      <c r="C31" s="81" t="inlineStr">
        <is>
          <t>IT &amp; Comms</t>
        </is>
      </c>
      <c r="D31" s="81" t="inlineStr">
        <is>
          <t>Expense</t>
        </is>
      </c>
      <c r="E31" s="81" t="inlineStr">
        <is>
          <t>Dr</t>
        </is>
      </c>
      <c r="F31" s="81" t="inlineStr">
        <is>
          <t>Tech</t>
        </is>
      </c>
    </row>
    <row r="32" ht="15" customHeight="1">
      <c r="A32" s="79" t="n"/>
      <c r="B32" s="79" t="inlineStr">
        <is>
          <t>5090</t>
        </is>
      </c>
      <c r="C32" s="79" t="inlineStr">
        <is>
          <t>Other</t>
        </is>
      </c>
      <c r="D32" s="79" t="inlineStr">
        <is>
          <t>Expense</t>
        </is>
      </c>
      <c r="E32" s="79" t="inlineStr">
        <is>
          <t>Dr</t>
        </is>
      </c>
      <c r="F32" s="79" t="inlineStr">
        <is>
          <t>Misc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H18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16" customWidth="1" min="1" max="1"/>
    <col width="20" customWidth="1" min="2" max="2"/>
    <col width="22" customWidth="1" min="3" max="4"/>
    <col width="18" customWidth="1" min="5" max="5"/>
    <col width="16" customWidth="1" min="6" max="7"/>
    <col width="14" customWidth="1" min="8" max="8"/>
  </cols>
  <sheetData>
    <row r="1" ht="15" customHeight="1">
      <c r="A1" s="30" t="inlineStr">
        <is>
          <t>MASTER REFERENCE — DO NOT EDIT. All dropdowns reference this sheet. Add new items below the headers only.</t>
        </is>
      </c>
    </row>
    <row r="2" ht="23.25" customHeight="1">
      <c r="A2" s="19" t="inlineStr">
        <is>
          <t>Locations</t>
        </is>
      </c>
      <c r="B2" s="19" t="inlineStr">
        <is>
          <t>Unit Names</t>
        </is>
      </c>
      <c r="C2" s="19" t="inlineStr">
        <is>
          <t>Revenue Accounts</t>
        </is>
      </c>
      <c r="D2" s="19" t="inlineStr">
        <is>
          <t>Expense Categories</t>
        </is>
      </c>
      <c r="E2" s="19" t="inlineStr">
        <is>
          <t>Payment Methods</t>
        </is>
      </c>
      <c r="F2" s="19" t="inlineStr">
        <is>
          <t>Departments</t>
        </is>
      </c>
      <c r="G2" s="19" t="inlineStr">
        <is>
          <t>Months</t>
        </is>
      </c>
      <c r="H2" s="19" t="inlineStr">
        <is>
          <t>Staff Status</t>
        </is>
      </c>
    </row>
    <row r="3" ht="15" customHeight="1">
      <c r="A3" t="inlineStr">
        <is>
          <t>All</t>
        </is>
      </c>
    </row>
    <row r="4" ht="15" customHeight="1">
      <c r="A4" s="84" t="inlineStr">
        <is>
          <t>Agbowo</t>
        </is>
      </c>
      <c r="B4" s="84" t="inlineStr">
        <is>
          <t>Anooore 1</t>
        </is>
      </c>
      <c r="C4" s="84" t="inlineStr">
        <is>
          <t>Room Revenue</t>
        </is>
      </c>
      <c r="D4" s="84" t="inlineStr">
        <is>
          <t>Salaries</t>
        </is>
      </c>
      <c r="E4" s="84" t="inlineStr">
        <is>
          <t>Cash</t>
        </is>
      </c>
      <c r="F4" s="84" t="inlineStr">
        <is>
          <t>Admin</t>
        </is>
      </c>
      <c r="G4" s="84" t="inlineStr">
        <is>
          <t>January</t>
        </is>
      </c>
      <c r="H4" s="84" t="inlineStr">
        <is>
          <t>Active</t>
        </is>
      </c>
    </row>
    <row r="5" ht="15" customHeight="1">
      <c r="A5" s="84" t="inlineStr">
        <is>
          <t>UI</t>
        </is>
      </c>
      <c r="B5" s="84" t="inlineStr">
        <is>
          <t>Anooore 2</t>
        </is>
      </c>
      <c r="C5" s="84" t="inlineStr">
        <is>
          <t>Shop Rent</t>
        </is>
      </c>
      <c r="D5" s="84" t="inlineStr">
        <is>
          <t>Construction</t>
        </is>
      </c>
      <c r="E5" s="84" t="inlineStr">
        <is>
          <t>Bank Transfer</t>
        </is>
      </c>
      <c r="F5" s="84" t="inlineStr">
        <is>
          <t>Maintenance</t>
        </is>
      </c>
      <c r="G5" s="84" t="inlineStr">
        <is>
          <t>February</t>
        </is>
      </c>
      <c r="H5" s="84" t="inlineStr">
        <is>
          <t>Non Active</t>
        </is>
      </c>
    </row>
    <row r="6" ht="15" customHeight="1">
      <c r="B6" s="84" t="inlineStr">
        <is>
          <t>Anooore X</t>
        </is>
      </c>
      <c r="C6" s="84" t="inlineStr">
        <is>
          <t>Caution Fee Income</t>
        </is>
      </c>
      <c r="D6" s="84" t="inlineStr">
        <is>
          <t>Maintenance</t>
        </is>
      </c>
      <c r="E6" s="84" t="inlineStr">
        <is>
          <t>POS</t>
        </is>
      </c>
      <c r="F6" s="84" t="inlineStr">
        <is>
          <t>Project</t>
        </is>
      </c>
      <c r="G6" s="84" t="inlineStr">
        <is>
          <t>March</t>
        </is>
      </c>
    </row>
    <row r="7" ht="15" customHeight="1">
      <c r="B7" s="84" t="inlineStr">
        <is>
          <t>Scholar</t>
        </is>
      </c>
      <c r="C7" s="84" t="inlineStr">
        <is>
          <t>Extra Charges</t>
        </is>
      </c>
      <c r="D7" s="84" t="inlineStr">
        <is>
          <t>Utilities</t>
        </is>
      </c>
      <c r="E7" s="84" t="inlineStr">
        <is>
          <t>Mobile Transfer</t>
        </is>
      </c>
      <c r="F7" s="84" t="inlineStr">
        <is>
          <t>Inventory</t>
        </is>
      </c>
      <c r="G7" s="84" t="inlineStr">
        <is>
          <t>April</t>
        </is>
      </c>
    </row>
    <row r="8" ht="15" customHeight="1">
      <c r="B8" s="84" t="inlineStr">
        <is>
          <t>Scholar 2</t>
        </is>
      </c>
      <c r="C8" s="84" t="inlineStr">
        <is>
          <t>Form &amp; Legal Fees</t>
        </is>
      </c>
      <c r="D8" s="84" t="inlineStr">
        <is>
          <t>Inventory</t>
        </is>
      </c>
      <c r="E8" s="84" t="inlineStr">
        <is>
          <t>Cheque</t>
        </is>
      </c>
      <c r="F8" s="84" t="inlineStr">
        <is>
          <t>IT</t>
        </is>
      </c>
      <c r="G8" s="84" t="inlineStr">
        <is>
          <t>May</t>
        </is>
      </c>
    </row>
    <row r="9" ht="15" customHeight="1">
      <c r="B9" s="84" t="inlineStr">
        <is>
          <t>Vine</t>
        </is>
      </c>
      <c r="C9" s="84" t="inlineStr">
        <is>
          <t>Other Income</t>
        </is>
      </c>
      <c r="D9" s="84" t="inlineStr">
        <is>
          <t>Administrative</t>
        </is>
      </c>
      <c r="F9" s="84" t="inlineStr">
        <is>
          <t>Accounts</t>
        </is>
      </c>
      <c r="G9" s="84" t="inlineStr">
        <is>
          <t>June</t>
        </is>
      </c>
    </row>
    <row r="10" ht="15" customHeight="1">
      <c r="B10" s="84" t="inlineStr">
        <is>
          <t>Vine 1</t>
        </is>
      </c>
      <c r="D10" s="84" t="inlineStr">
        <is>
          <t>Loans &amp; Advances</t>
        </is>
      </c>
      <c r="G10" s="84" t="inlineStr">
        <is>
          <t>July</t>
        </is>
      </c>
    </row>
    <row r="11" ht="15" customHeight="1">
      <c r="B11" s="84" t="inlineStr">
        <is>
          <t>Vine 2</t>
        </is>
      </c>
      <c r="D11" s="84" t="inlineStr">
        <is>
          <t>Transportation</t>
        </is>
      </c>
      <c r="G11" s="84" t="inlineStr">
        <is>
          <t>August</t>
        </is>
      </c>
    </row>
    <row r="12" ht="15" customHeight="1">
      <c r="B12" s="84" t="inlineStr">
        <is>
          <t>Vine Special</t>
        </is>
      </c>
      <c r="D12" s="84" t="inlineStr">
        <is>
          <t>IT &amp; Communications</t>
        </is>
      </c>
      <c r="G12" s="84" t="inlineStr">
        <is>
          <t>September</t>
        </is>
      </c>
    </row>
    <row r="13" ht="15" customHeight="1">
      <c r="B13" s="84" t="inlineStr">
        <is>
          <t>VINE X</t>
        </is>
      </c>
      <c r="D13" s="84" t="inlineStr">
        <is>
          <t>Other</t>
        </is>
      </c>
      <c r="G13" s="84" t="inlineStr">
        <is>
          <t>October</t>
        </is>
      </c>
    </row>
    <row r="14" ht="15" customHeight="1">
      <c r="B14" s="84" t="inlineStr">
        <is>
          <t>Kollege</t>
        </is>
      </c>
      <c r="G14" s="84" t="inlineStr">
        <is>
          <t>November</t>
        </is>
      </c>
    </row>
    <row r="15" ht="15" customHeight="1">
      <c r="B15" s="84" t="inlineStr">
        <is>
          <t>Premier</t>
        </is>
      </c>
      <c r="G15" s="84" t="inlineStr">
        <is>
          <t>December</t>
        </is>
      </c>
    </row>
    <row r="16" ht="15" customHeight="1">
      <c r="B16" s="84" t="inlineStr">
        <is>
          <t>Provision Shop</t>
        </is>
      </c>
    </row>
    <row r="17" ht="15" customHeight="1">
      <c r="B17" s="84" t="inlineStr">
        <is>
          <t>Salon</t>
        </is>
      </c>
    </row>
    <row r="18" ht="15" customHeight="1">
      <c r="B18" s="84" t="inlineStr">
        <is>
          <t>Business Centre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2:I100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3" customWidth="1" min="1" max="1"/>
    <col width="8" customWidth="1" min="2" max="2"/>
    <col width="28" customWidth="1" min="3" max="3"/>
    <col width="22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</cols>
  <sheetData>
    <row r="2" ht="18" customHeight="1">
      <c r="B2" s="16" t="inlineStr">
        <is>
          <t>Employee Records</t>
        </is>
      </c>
    </row>
    <row r="3" ht="15" customHeight="1">
      <c r="B3" s="12" t="inlineStr">
        <is>
          <t>Staff payroll rates &amp; contact info</t>
        </is>
      </c>
    </row>
    <row r="5" ht="23.25" customHeight="1">
      <c r="A5" s="19" t="n"/>
      <c r="B5" s="19" t="inlineStr">
        <is>
          <t>ID</t>
        </is>
      </c>
      <c r="C5" s="19" t="inlineStr">
        <is>
          <t>Name</t>
        </is>
      </c>
      <c r="D5" s="19" t="inlineStr">
        <is>
          <t>Designation</t>
        </is>
      </c>
      <c r="E5" s="19" t="inlineStr">
        <is>
          <t>Gender</t>
        </is>
      </c>
      <c r="F5" s="19" t="inlineStr">
        <is>
          <t>Phone</t>
        </is>
      </c>
      <c r="G5" s="19" t="inlineStr">
        <is>
          <t>Email</t>
        </is>
      </c>
      <c r="H5" s="19" t="inlineStr">
        <is>
          <t>Monthly Salary</t>
        </is>
      </c>
      <c r="I5" s="19" t="inlineStr">
        <is>
          <t>Status</t>
        </is>
      </c>
    </row>
    <row r="6" ht="15" customHeight="1">
      <c r="A6" s="79" t="n"/>
      <c r="B6" s="21" t="inlineStr">
        <is>
          <t>E001</t>
        </is>
      </c>
      <c r="C6" s="21" t="inlineStr">
        <is>
          <t>Kingsley Chinedu Osuji</t>
        </is>
      </c>
      <c r="D6" s="21" t="inlineStr">
        <is>
          <t>Project Manager</t>
        </is>
      </c>
      <c r="E6" s="21" t="n"/>
      <c r="F6" s="21" t="inlineStr">
        <is>
          <t>N/A</t>
        </is>
      </c>
      <c r="G6" s="21" t="inlineStr">
        <is>
          <t>N/A</t>
        </is>
      </c>
      <c r="H6" s="22" t="n">
        <v>60000</v>
      </c>
      <c r="I6" s="21" t="inlineStr">
        <is>
          <t>Active</t>
        </is>
      </c>
    </row>
    <row r="7" ht="15" customHeight="1">
      <c r="A7" s="81" t="n"/>
      <c r="B7" s="28" t="inlineStr">
        <is>
          <t>E002</t>
        </is>
      </c>
      <c r="C7" s="28" t="inlineStr">
        <is>
          <t>Olapeju Omolayo Daniel</t>
        </is>
      </c>
      <c r="D7" s="28" t="inlineStr">
        <is>
          <t>Student Rel. Mgr</t>
        </is>
      </c>
      <c r="E7" s="28" t="n"/>
      <c r="F7" s="28" t="inlineStr">
        <is>
          <t>N/A</t>
        </is>
      </c>
      <c r="G7" s="28" t="inlineStr">
        <is>
          <t>N/A</t>
        </is>
      </c>
      <c r="H7" s="25" t="n">
        <v>60000</v>
      </c>
      <c r="I7" s="28" t="inlineStr">
        <is>
          <t>Active</t>
        </is>
      </c>
    </row>
    <row r="8" ht="15" customHeight="1">
      <c r="A8" s="79" t="n"/>
      <c r="B8" s="21" t="inlineStr">
        <is>
          <t>E003</t>
        </is>
      </c>
      <c r="C8" s="21" t="inlineStr">
        <is>
          <t>Sola A Dada</t>
        </is>
      </c>
      <c r="D8" s="21" t="inlineStr">
        <is>
          <t>Maintenance Officer</t>
        </is>
      </c>
      <c r="E8" s="21" t="n"/>
      <c r="F8" s="21" t="inlineStr">
        <is>
          <t>N/A</t>
        </is>
      </c>
      <c r="G8" s="21" t="inlineStr">
        <is>
          <t>N/A</t>
        </is>
      </c>
      <c r="H8" s="22" t="n">
        <v>50000</v>
      </c>
      <c r="I8" s="21" t="inlineStr">
        <is>
          <t>Active</t>
        </is>
      </c>
    </row>
    <row r="9" ht="15" customHeight="1">
      <c r="A9" s="81" t="n"/>
      <c r="B9" s="28" t="inlineStr">
        <is>
          <t>E004</t>
        </is>
      </c>
      <c r="C9" s="28" t="inlineStr">
        <is>
          <t>Salahudeen Fashiat Adeola</t>
        </is>
      </c>
      <c r="D9" s="28" t="inlineStr">
        <is>
          <t>Housekeeper</t>
        </is>
      </c>
      <c r="E9" s="28" t="n"/>
      <c r="F9" s="28" t="inlineStr">
        <is>
          <t>N/A</t>
        </is>
      </c>
      <c r="G9" s="28" t="inlineStr">
        <is>
          <t>N/A</t>
        </is>
      </c>
      <c r="H9" s="25" t="n">
        <v>25000</v>
      </c>
      <c r="I9" s="28" t="inlineStr">
        <is>
          <t>Active</t>
        </is>
      </c>
    </row>
    <row r="10" ht="15" customHeight="1">
      <c r="A10" s="79" t="n"/>
      <c r="B10" s="21" t="inlineStr">
        <is>
          <t>E005</t>
        </is>
      </c>
      <c r="C10" s="21" t="inlineStr">
        <is>
          <t>Oshobukola Bose Deborah</t>
        </is>
      </c>
      <c r="D10" s="21" t="inlineStr">
        <is>
          <t>Housekeeper</t>
        </is>
      </c>
      <c r="E10" s="21" t="n"/>
      <c r="F10" s="21" t="inlineStr">
        <is>
          <t>N/A</t>
        </is>
      </c>
      <c r="G10" s="21" t="inlineStr">
        <is>
          <t>N/A</t>
        </is>
      </c>
      <c r="H10" s="22" t="n">
        <v>25000</v>
      </c>
      <c r="I10" s="21" t="inlineStr">
        <is>
          <t>Active</t>
        </is>
      </c>
    </row>
    <row r="11" ht="15" customHeight="1">
      <c r="A11" s="81" t="n"/>
      <c r="B11" s="28" t="inlineStr">
        <is>
          <t>E006</t>
        </is>
      </c>
      <c r="C11" s="28" t="inlineStr">
        <is>
          <t>Abidemi Testimony Busari</t>
        </is>
      </c>
      <c r="D11" s="28" t="inlineStr">
        <is>
          <t>Front Desk</t>
        </is>
      </c>
      <c r="E11" s="28" t="n"/>
      <c r="F11" s="28" t="inlineStr">
        <is>
          <t>N/A</t>
        </is>
      </c>
      <c r="G11" s="28" t="inlineStr">
        <is>
          <t>N/A</t>
        </is>
      </c>
      <c r="H11" s="25" t="n">
        <v>30000</v>
      </c>
      <c r="I11" s="28" t="inlineStr">
        <is>
          <t>Active</t>
        </is>
      </c>
    </row>
    <row r="12" ht="15" customHeight="1">
      <c r="A12" s="79" t="n"/>
      <c r="B12" s="21" t="inlineStr">
        <is>
          <t>E007</t>
        </is>
      </c>
      <c r="C12" s="21" t="inlineStr">
        <is>
          <t>Oseni Bello Eniola</t>
        </is>
      </c>
      <c r="D12" s="21" t="inlineStr">
        <is>
          <t>Front Desk</t>
        </is>
      </c>
      <c r="E12" s="21" t="n"/>
      <c r="F12" s="21" t="inlineStr">
        <is>
          <t>N/A</t>
        </is>
      </c>
      <c r="G12" s="21" t="inlineStr">
        <is>
          <t>N/A</t>
        </is>
      </c>
      <c r="H12" s="22" t="n">
        <v>30000</v>
      </c>
      <c r="I12" s="21" t="inlineStr">
        <is>
          <t>Active</t>
        </is>
      </c>
    </row>
    <row r="13" ht="15" customHeight="1">
      <c r="A13" s="81" t="n"/>
      <c r="B13" s="28" t="inlineStr">
        <is>
          <t>E008</t>
        </is>
      </c>
      <c r="C13" s="28" t="inlineStr">
        <is>
          <t>Alaka Daniel Olayiwola</t>
        </is>
      </c>
      <c r="D13" s="28" t="inlineStr">
        <is>
          <t>Porter</t>
        </is>
      </c>
      <c r="E13" s="28" t="n"/>
      <c r="F13" s="28" t="inlineStr">
        <is>
          <t>N/A</t>
        </is>
      </c>
      <c r="G13" s="28" t="inlineStr">
        <is>
          <t>N/A</t>
        </is>
      </c>
      <c r="H13" s="25" t="n">
        <v>20000</v>
      </c>
      <c r="I13" s="28" t="inlineStr">
        <is>
          <t>Active</t>
        </is>
      </c>
    </row>
    <row r="14" ht="15" customHeight="1">
      <c r="A14" s="79" t="n"/>
      <c r="B14" s="21" t="inlineStr">
        <is>
          <t>E009</t>
        </is>
      </c>
      <c r="C14" s="21" t="inlineStr">
        <is>
          <t>Olajide Afolabi Nureen</t>
        </is>
      </c>
      <c r="D14" s="21" t="inlineStr">
        <is>
          <t>Cleaner</t>
        </is>
      </c>
      <c r="E14" s="21" t="n"/>
      <c r="F14" s="21" t="inlineStr">
        <is>
          <t>N/A</t>
        </is>
      </c>
      <c r="G14" s="21" t="inlineStr">
        <is>
          <t>N/A</t>
        </is>
      </c>
      <c r="H14" s="22" t="n">
        <v>20000</v>
      </c>
      <c r="I14" s="21" t="inlineStr">
        <is>
          <t>Active</t>
        </is>
      </c>
    </row>
    <row r="15" ht="15" customHeight="1">
      <c r="A15" s="81" t="n"/>
      <c r="B15" s="28" t="inlineStr">
        <is>
          <t>E010</t>
        </is>
      </c>
      <c r="C15" s="28" t="inlineStr">
        <is>
          <t>Security Guard 1</t>
        </is>
      </c>
      <c r="D15" s="28" t="inlineStr">
        <is>
          <t>Security</t>
        </is>
      </c>
      <c r="E15" s="28" t="n"/>
      <c r="F15" s="28" t="inlineStr">
        <is>
          <t>N/A</t>
        </is>
      </c>
      <c r="G15" s="28" t="inlineStr">
        <is>
          <t>N/A</t>
        </is>
      </c>
      <c r="H15" s="25" t="n">
        <v>25000</v>
      </c>
      <c r="I15" s="28" t="inlineStr">
        <is>
          <t>Active</t>
        </is>
      </c>
    </row>
    <row r="16" ht="15" customHeight="1">
      <c r="A16" s="79" t="n"/>
      <c r="B16" s="21" t="inlineStr">
        <is>
          <t>E011</t>
        </is>
      </c>
      <c r="C16" s="21" t="inlineStr">
        <is>
          <t>Security Guard 2</t>
        </is>
      </c>
      <c r="D16" s="21" t="inlineStr">
        <is>
          <t>Security</t>
        </is>
      </c>
      <c r="E16" s="21" t="n"/>
      <c r="F16" s="21" t="inlineStr">
        <is>
          <t>N/A</t>
        </is>
      </c>
      <c r="G16" s="21" t="inlineStr">
        <is>
          <t>N/A</t>
        </is>
      </c>
      <c r="H16" s="22" t="n">
        <v>25000</v>
      </c>
      <c r="I16" s="21" t="inlineStr">
        <is>
          <t>Active</t>
        </is>
      </c>
    </row>
    <row r="17" ht="15" customHeight="1">
      <c r="A17" s="81" t="n"/>
      <c r="B17" s="28" t="inlineStr">
        <is>
          <t>E012</t>
        </is>
      </c>
      <c r="C17" s="28" t="inlineStr">
        <is>
          <t>Eze David Chidi</t>
        </is>
      </c>
      <c r="D17" s="28" t="inlineStr">
        <is>
          <t>Electrician</t>
        </is>
      </c>
      <c r="E17" s="28" t="n"/>
      <c r="F17" s="28" t="inlineStr">
        <is>
          <t>N/A</t>
        </is>
      </c>
      <c r="G17" s="28" t="inlineStr">
        <is>
          <t>N/A</t>
        </is>
      </c>
      <c r="H17" s="25" t="n">
        <v>30000</v>
      </c>
      <c r="I17" s="28" t="inlineStr">
        <is>
          <t>Active</t>
        </is>
      </c>
    </row>
    <row r="18" ht="15" customHeight="1">
      <c r="B18" s="26" t="n"/>
      <c r="C18" s="85" t="inlineStr">
        <is>
          <t>MONTHLY PAYROLL TOTAL</t>
        </is>
      </c>
      <c r="D18" s="26" t="n"/>
      <c r="E18" s="26" t="n"/>
      <c r="F18" s="26" t="n"/>
      <c r="G18" s="26" t="n"/>
      <c r="H18" s="86">
        <f>SUMIF(I6:I5000,"Active",H6:H5000)</f>
        <v/>
      </c>
      <c r="I18" s="26" t="n"/>
    </row>
    <row r="19" ht="15" customHeight="1">
      <c r="B19" s="26" t="n"/>
      <c r="C19" s="26" t="n"/>
      <c r="D19" s="26" t="n"/>
      <c r="E19" s="26" t="n"/>
      <c r="F19" s="26" t="n"/>
      <c r="G19" s="26" t="n"/>
      <c r="H19" s="26" t="n"/>
      <c r="I19" s="26" t="n"/>
    </row>
    <row r="20" ht="15" customHeight="1">
      <c r="B20" s="26" t="n"/>
      <c r="C20" s="26" t="n"/>
      <c r="D20" s="26" t="n"/>
      <c r="E20" s="26" t="n"/>
      <c r="F20" s="26" t="n"/>
      <c r="G20" s="26" t="n"/>
      <c r="H20" s="26" t="n"/>
      <c r="I20" s="26" t="n"/>
    </row>
    <row r="21" ht="15" customHeight="1">
      <c r="B21" s="26" t="n"/>
      <c r="C21" s="26" t="n"/>
      <c r="D21" s="26" t="n"/>
      <c r="E21" s="26" t="n"/>
      <c r="F21" s="26" t="n"/>
      <c r="G21" s="26" t="n"/>
      <c r="H21" s="26" t="n"/>
      <c r="I21" s="26" t="n"/>
    </row>
    <row r="22" ht="15" customHeight="1">
      <c r="B22" s="26" t="n"/>
      <c r="C22" s="26" t="n"/>
      <c r="D22" s="26" t="n"/>
      <c r="E22" s="26" t="n"/>
      <c r="F22" s="26" t="n"/>
      <c r="G22" s="26" t="n"/>
      <c r="H22" s="26" t="n"/>
      <c r="I22" s="26" t="n"/>
    </row>
    <row r="23" ht="15" customHeight="1">
      <c r="B23" s="26" t="n"/>
      <c r="C23" s="26" t="n"/>
      <c r="D23" s="26" t="n"/>
      <c r="E23" s="26" t="n"/>
      <c r="F23" s="26" t="n"/>
      <c r="G23" s="26" t="n"/>
      <c r="H23" s="26" t="n"/>
      <c r="I23" s="26" t="n"/>
    </row>
    <row r="24" ht="15" customHeight="1">
      <c r="B24" s="26" t="n"/>
      <c r="C24" s="26" t="n"/>
      <c r="D24" s="26" t="n"/>
      <c r="E24" s="26" t="n"/>
      <c r="F24" s="26" t="n"/>
      <c r="G24" s="26" t="n"/>
      <c r="H24" s="26" t="n"/>
      <c r="I24" s="26" t="n"/>
    </row>
    <row r="25" ht="15" customHeight="1">
      <c r="B25" s="26" t="n"/>
      <c r="C25" s="26" t="n"/>
      <c r="D25" s="26" t="n"/>
      <c r="E25" s="26" t="n"/>
      <c r="F25" s="26" t="n"/>
      <c r="G25" s="26" t="n"/>
      <c r="H25" s="26" t="n"/>
      <c r="I25" s="26" t="n"/>
    </row>
    <row r="26" ht="15" customHeight="1">
      <c r="B26" s="26" t="n"/>
      <c r="C26" s="26" t="n"/>
      <c r="D26" s="26" t="n"/>
      <c r="E26" s="26" t="n"/>
      <c r="F26" s="26" t="n"/>
      <c r="G26" s="26" t="n"/>
      <c r="H26" s="26" t="n"/>
      <c r="I26" s="26" t="n"/>
    </row>
    <row r="27" ht="15" customHeight="1">
      <c r="B27" s="26" t="n"/>
      <c r="C27" s="26" t="n"/>
      <c r="D27" s="26" t="n"/>
      <c r="E27" s="26" t="n"/>
      <c r="F27" s="26" t="n"/>
      <c r="G27" s="26" t="n"/>
      <c r="H27" s="26" t="n"/>
      <c r="I27" s="26" t="n"/>
    </row>
    <row r="28" ht="15" customHeight="1">
      <c r="B28" s="26" t="n"/>
      <c r="C28" s="26" t="n"/>
      <c r="D28" s="26" t="n"/>
      <c r="E28" s="26" t="n"/>
      <c r="F28" s="26" t="n"/>
      <c r="G28" s="26" t="n"/>
      <c r="H28" s="26" t="n"/>
      <c r="I28" s="26" t="n"/>
    </row>
    <row r="29" ht="15" customHeight="1">
      <c r="B29" s="26" t="n"/>
      <c r="C29" s="26" t="n"/>
      <c r="D29" s="26" t="n"/>
      <c r="E29" s="26" t="n"/>
      <c r="F29" s="26" t="n"/>
      <c r="G29" s="26" t="n"/>
      <c r="H29" s="26" t="n"/>
      <c r="I29" s="26" t="n"/>
    </row>
    <row r="30" ht="15" customHeight="1">
      <c r="B30" s="26" t="n"/>
      <c r="C30" s="26" t="n"/>
      <c r="D30" s="26" t="n"/>
      <c r="E30" s="26" t="n"/>
      <c r="F30" s="26" t="n"/>
      <c r="G30" s="26" t="n"/>
      <c r="H30" s="26" t="n"/>
      <c r="I30" s="26" t="n"/>
    </row>
    <row r="31" ht="15" customHeight="1">
      <c r="B31" s="26" t="n"/>
      <c r="C31" s="26" t="n"/>
      <c r="D31" s="26" t="n"/>
      <c r="E31" s="26" t="n"/>
      <c r="F31" s="26" t="n"/>
      <c r="G31" s="26" t="n"/>
      <c r="H31" s="26" t="n"/>
      <c r="I31" s="26" t="n"/>
    </row>
    <row r="32" ht="15" customHeight="1">
      <c r="B32" s="26" t="n"/>
      <c r="C32" s="26" t="n"/>
      <c r="D32" s="26" t="n"/>
      <c r="E32" s="26" t="n"/>
      <c r="F32" s="26" t="n"/>
      <c r="G32" s="26" t="n"/>
      <c r="H32" s="26" t="n"/>
      <c r="I32" s="26" t="n"/>
    </row>
    <row r="33" ht="15" customHeight="1">
      <c r="B33" s="26" t="n"/>
      <c r="C33" s="26" t="n"/>
      <c r="D33" s="26" t="n"/>
      <c r="E33" s="26" t="n"/>
      <c r="F33" s="26" t="n"/>
      <c r="G33" s="26" t="n"/>
      <c r="H33" s="26" t="n"/>
      <c r="I33" s="26" t="n"/>
    </row>
    <row r="34" ht="15" customHeight="1">
      <c r="B34" s="26" t="n"/>
      <c r="C34" s="26" t="n"/>
      <c r="D34" s="26" t="n"/>
      <c r="E34" s="26" t="n"/>
      <c r="F34" s="26" t="n"/>
      <c r="G34" s="26" t="n"/>
      <c r="H34" s="26" t="n"/>
      <c r="I34" s="26" t="n"/>
    </row>
    <row r="35" ht="15" customHeight="1">
      <c r="B35" s="26" t="n"/>
      <c r="C35" s="26" t="n"/>
      <c r="D35" s="26" t="n"/>
      <c r="E35" s="26" t="n"/>
      <c r="F35" s="26" t="n"/>
      <c r="G35" s="26" t="n"/>
      <c r="H35" s="26" t="n"/>
      <c r="I35" s="26" t="n"/>
    </row>
    <row r="36" ht="15" customHeight="1">
      <c r="B36" s="26" t="n"/>
      <c r="C36" s="26" t="n"/>
      <c r="D36" s="26" t="n"/>
      <c r="E36" s="26" t="n"/>
      <c r="F36" s="26" t="n"/>
      <c r="G36" s="26" t="n"/>
      <c r="H36" s="26" t="n"/>
      <c r="I36" s="26" t="n"/>
    </row>
    <row r="37" ht="15" customHeight="1">
      <c r="B37" s="26" t="n"/>
      <c r="C37" s="26" t="n"/>
      <c r="D37" s="26" t="n"/>
      <c r="E37" s="26" t="n"/>
      <c r="F37" s="26" t="n"/>
      <c r="G37" s="26" t="n"/>
      <c r="H37" s="26" t="n"/>
      <c r="I37" s="26" t="n"/>
    </row>
    <row r="38" ht="15" customHeight="1">
      <c r="B38" s="26" t="n"/>
      <c r="C38" s="26" t="n"/>
      <c r="D38" s="26" t="n"/>
      <c r="E38" s="26" t="n"/>
      <c r="F38" s="26" t="n"/>
      <c r="G38" s="26" t="n"/>
      <c r="H38" s="26" t="n"/>
      <c r="I38" s="26" t="n"/>
    </row>
    <row r="39" ht="15" customHeight="1">
      <c r="B39" s="26" t="n"/>
      <c r="C39" s="26" t="n"/>
      <c r="D39" s="26" t="n"/>
      <c r="E39" s="26" t="n"/>
      <c r="F39" s="26" t="n"/>
      <c r="G39" s="26" t="n"/>
      <c r="H39" s="26" t="n"/>
      <c r="I39" s="26" t="n"/>
    </row>
    <row r="40" ht="15" customHeight="1">
      <c r="B40" s="26" t="n"/>
      <c r="C40" s="26" t="n"/>
      <c r="D40" s="26" t="n"/>
      <c r="E40" s="26" t="n"/>
      <c r="F40" s="26" t="n"/>
      <c r="G40" s="26" t="n"/>
      <c r="H40" s="26" t="n"/>
      <c r="I40" s="26" t="n"/>
    </row>
    <row r="41" ht="15" customHeight="1">
      <c r="B41" s="26" t="n"/>
      <c r="C41" s="26" t="n"/>
      <c r="D41" s="26" t="n"/>
      <c r="E41" s="26" t="n"/>
      <c r="F41" s="26" t="n"/>
      <c r="G41" s="26" t="n"/>
      <c r="H41" s="26" t="n"/>
      <c r="I41" s="26" t="n"/>
    </row>
    <row r="42" ht="15" customHeight="1">
      <c r="B42" s="26" t="n"/>
      <c r="C42" s="26" t="n"/>
      <c r="D42" s="26" t="n"/>
      <c r="E42" s="26" t="n"/>
      <c r="F42" s="26" t="n"/>
      <c r="G42" s="26" t="n"/>
      <c r="H42" s="26" t="n"/>
      <c r="I42" s="26" t="n"/>
    </row>
    <row r="43" ht="15" customHeight="1">
      <c r="B43" s="26" t="n"/>
      <c r="C43" s="26" t="n"/>
      <c r="D43" s="26" t="n"/>
      <c r="E43" s="26" t="n"/>
      <c r="F43" s="26" t="n"/>
      <c r="G43" s="26" t="n"/>
      <c r="H43" s="26" t="n"/>
      <c r="I43" s="26" t="n"/>
    </row>
    <row r="44" ht="15" customHeight="1">
      <c r="B44" s="26" t="n"/>
      <c r="C44" s="26" t="n"/>
      <c r="D44" s="26" t="n"/>
      <c r="E44" s="26" t="n"/>
      <c r="F44" s="26" t="n"/>
      <c r="G44" s="26" t="n"/>
      <c r="H44" s="26" t="n"/>
      <c r="I44" s="26" t="n"/>
    </row>
    <row r="45" ht="15" customHeight="1">
      <c r="B45" s="26" t="n"/>
      <c r="C45" s="26" t="n"/>
      <c r="D45" s="26" t="n"/>
      <c r="E45" s="26" t="n"/>
      <c r="F45" s="26" t="n"/>
      <c r="G45" s="26" t="n"/>
      <c r="H45" s="26" t="n"/>
      <c r="I45" s="26" t="n"/>
    </row>
    <row r="46" ht="15" customHeight="1">
      <c r="B46" s="26" t="n"/>
      <c r="C46" s="26" t="n"/>
      <c r="D46" s="26" t="n"/>
      <c r="E46" s="26" t="n"/>
      <c r="F46" s="26" t="n"/>
      <c r="G46" s="26" t="n"/>
      <c r="H46" s="26" t="n"/>
      <c r="I46" s="26" t="n"/>
    </row>
    <row r="47" ht="15" customHeight="1">
      <c r="B47" s="26" t="n"/>
      <c r="C47" s="26" t="n"/>
      <c r="D47" s="26" t="n"/>
      <c r="E47" s="26" t="n"/>
      <c r="F47" s="26" t="n"/>
      <c r="G47" s="26" t="n"/>
      <c r="H47" s="26" t="n"/>
      <c r="I47" s="26" t="n"/>
    </row>
    <row r="48" ht="15" customHeight="1">
      <c r="B48" s="26" t="n"/>
      <c r="C48" s="26" t="n"/>
      <c r="D48" s="26" t="n"/>
      <c r="E48" s="26" t="n"/>
      <c r="F48" s="26" t="n"/>
      <c r="G48" s="26" t="n"/>
      <c r="H48" s="26" t="n"/>
      <c r="I48" s="26" t="n"/>
    </row>
    <row r="49" ht="15" customHeight="1">
      <c r="B49" s="26" t="n"/>
      <c r="C49" s="26" t="n"/>
      <c r="D49" s="26" t="n"/>
      <c r="E49" s="26" t="n"/>
      <c r="F49" s="26" t="n"/>
      <c r="G49" s="26" t="n"/>
      <c r="H49" s="26" t="n"/>
      <c r="I49" s="26" t="n"/>
    </row>
    <row r="50" ht="15" customHeight="1">
      <c r="B50" s="26" t="n"/>
      <c r="C50" s="26" t="n"/>
      <c r="D50" s="26" t="n"/>
      <c r="E50" s="26" t="n"/>
      <c r="F50" s="26" t="n"/>
      <c r="G50" s="26" t="n"/>
      <c r="H50" s="26" t="n"/>
      <c r="I50" s="26" t="n"/>
    </row>
    <row r="51" ht="15" customHeight="1">
      <c r="B51" s="26" t="n"/>
      <c r="C51" s="26" t="n"/>
      <c r="D51" s="26" t="n"/>
      <c r="E51" s="26" t="n"/>
      <c r="F51" s="26" t="n"/>
      <c r="G51" s="26" t="n"/>
      <c r="H51" s="26" t="n"/>
      <c r="I51" s="26" t="n"/>
    </row>
    <row r="52" ht="15" customHeight="1">
      <c r="B52" s="26" t="n"/>
      <c r="C52" s="26" t="n"/>
      <c r="D52" s="26" t="n"/>
      <c r="E52" s="26" t="n"/>
      <c r="F52" s="26" t="n"/>
      <c r="G52" s="26" t="n"/>
      <c r="H52" s="26" t="n"/>
      <c r="I52" s="26" t="n"/>
    </row>
    <row r="53" ht="15" customHeight="1">
      <c r="B53" s="26" t="n"/>
      <c r="C53" s="26" t="n"/>
      <c r="D53" s="26" t="n"/>
      <c r="E53" s="26" t="n"/>
      <c r="F53" s="26" t="n"/>
      <c r="G53" s="26" t="n"/>
      <c r="H53" s="26" t="n"/>
      <c r="I53" s="26" t="n"/>
    </row>
    <row r="54" ht="15" customHeight="1">
      <c r="B54" s="26" t="n"/>
      <c r="C54" s="26" t="n"/>
      <c r="D54" s="26" t="n"/>
      <c r="E54" s="26" t="n"/>
      <c r="F54" s="26" t="n"/>
      <c r="G54" s="26" t="n"/>
      <c r="H54" s="26" t="n"/>
      <c r="I54" s="26" t="n"/>
    </row>
    <row r="55" ht="15" customHeight="1">
      <c r="B55" s="26" t="n"/>
      <c r="C55" s="26" t="n"/>
      <c r="D55" s="26" t="n"/>
      <c r="E55" s="26" t="n"/>
      <c r="F55" s="26" t="n"/>
      <c r="G55" s="26" t="n"/>
      <c r="H55" s="26" t="n"/>
      <c r="I55" s="26" t="n"/>
    </row>
    <row r="56" ht="15" customHeight="1">
      <c r="B56" s="26" t="n"/>
      <c r="C56" s="26" t="n"/>
      <c r="D56" s="26" t="n"/>
      <c r="E56" s="26" t="n"/>
      <c r="F56" s="26" t="n"/>
      <c r="G56" s="26" t="n"/>
      <c r="H56" s="26" t="n"/>
      <c r="I56" s="26" t="n"/>
    </row>
    <row r="57" ht="15" customHeight="1">
      <c r="B57" s="26" t="n"/>
      <c r="C57" s="26" t="n"/>
      <c r="D57" s="26" t="n"/>
      <c r="E57" s="26" t="n"/>
      <c r="F57" s="26" t="n"/>
      <c r="G57" s="26" t="n"/>
      <c r="H57" s="26" t="n"/>
      <c r="I57" s="26" t="n"/>
    </row>
    <row r="58" ht="15" customHeight="1">
      <c r="B58" s="26" t="n"/>
      <c r="C58" s="26" t="n"/>
      <c r="D58" s="26" t="n"/>
      <c r="E58" s="26" t="n"/>
      <c r="F58" s="26" t="n"/>
      <c r="G58" s="26" t="n"/>
      <c r="H58" s="26" t="n"/>
      <c r="I58" s="26" t="n"/>
    </row>
    <row r="59" ht="15" customHeight="1">
      <c r="B59" s="26" t="n"/>
      <c r="C59" s="26" t="n"/>
      <c r="D59" s="26" t="n"/>
      <c r="E59" s="26" t="n"/>
      <c r="F59" s="26" t="n"/>
      <c r="G59" s="26" t="n"/>
      <c r="H59" s="26" t="n"/>
      <c r="I59" s="26" t="n"/>
    </row>
    <row r="60" ht="15" customHeight="1">
      <c r="B60" s="26" t="n"/>
      <c r="C60" s="26" t="n"/>
      <c r="D60" s="26" t="n"/>
      <c r="E60" s="26" t="n"/>
      <c r="F60" s="26" t="n"/>
      <c r="G60" s="26" t="n"/>
      <c r="H60" s="26" t="n"/>
      <c r="I60" s="26" t="n"/>
    </row>
    <row r="61" ht="15" customHeight="1">
      <c r="B61" s="26" t="n"/>
      <c r="C61" s="26" t="n"/>
      <c r="D61" s="26" t="n"/>
      <c r="E61" s="26" t="n"/>
      <c r="F61" s="26" t="n"/>
      <c r="G61" s="26" t="n"/>
      <c r="H61" s="26" t="n"/>
      <c r="I61" s="26" t="n"/>
    </row>
    <row r="62" ht="15" customHeight="1">
      <c r="B62" s="26" t="n"/>
      <c r="C62" s="26" t="n"/>
      <c r="D62" s="26" t="n"/>
      <c r="E62" s="26" t="n"/>
      <c r="F62" s="26" t="n"/>
      <c r="G62" s="26" t="n"/>
      <c r="H62" s="26" t="n"/>
      <c r="I62" s="26" t="n"/>
    </row>
    <row r="63" ht="15" customHeight="1">
      <c r="B63" s="26" t="n"/>
      <c r="C63" s="26" t="n"/>
      <c r="D63" s="26" t="n"/>
      <c r="E63" s="26" t="n"/>
      <c r="F63" s="26" t="n"/>
      <c r="G63" s="26" t="n"/>
      <c r="H63" s="26" t="n"/>
      <c r="I63" s="26" t="n"/>
    </row>
    <row r="64" ht="15" customHeight="1">
      <c r="B64" s="26" t="n"/>
      <c r="C64" s="26" t="n"/>
      <c r="D64" s="26" t="n"/>
      <c r="E64" s="26" t="n"/>
      <c r="F64" s="26" t="n"/>
      <c r="G64" s="26" t="n"/>
      <c r="H64" s="26" t="n"/>
      <c r="I64" s="26" t="n"/>
    </row>
    <row r="65" ht="15" customHeight="1">
      <c r="B65" s="26" t="n"/>
      <c r="C65" s="26" t="n"/>
      <c r="D65" s="26" t="n"/>
      <c r="E65" s="26" t="n"/>
      <c r="F65" s="26" t="n"/>
      <c r="G65" s="26" t="n"/>
      <c r="H65" s="26" t="n"/>
      <c r="I65" s="26" t="n"/>
    </row>
    <row r="66" ht="15" customHeight="1">
      <c r="B66" s="26" t="n"/>
      <c r="C66" s="26" t="n"/>
      <c r="D66" s="26" t="n"/>
      <c r="E66" s="26" t="n"/>
      <c r="F66" s="26" t="n"/>
      <c r="G66" s="26" t="n"/>
      <c r="H66" s="26" t="n"/>
      <c r="I66" s="26" t="n"/>
    </row>
    <row r="67" ht="15" customHeight="1">
      <c r="B67" s="26" t="n"/>
      <c r="C67" s="26" t="n"/>
      <c r="D67" s="26" t="n"/>
      <c r="E67" s="26" t="n"/>
      <c r="F67" s="26" t="n"/>
      <c r="G67" s="26" t="n"/>
      <c r="H67" s="26" t="n"/>
      <c r="I67" s="26" t="n"/>
    </row>
    <row r="68" ht="15" customHeight="1">
      <c r="B68" s="26" t="n"/>
      <c r="C68" s="26" t="n"/>
      <c r="D68" s="26" t="n"/>
      <c r="E68" s="26" t="n"/>
      <c r="F68" s="26" t="n"/>
      <c r="G68" s="26" t="n"/>
      <c r="H68" s="26" t="n"/>
      <c r="I68" s="26" t="n"/>
    </row>
    <row r="69" ht="15" customHeight="1">
      <c r="B69" s="26" t="n"/>
      <c r="C69" s="26" t="n"/>
      <c r="D69" s="26" t="n"/>
      <c r="E69" s="26" t="n"/>
      <c r="F69" s="26" t="n"/>
      <c r="G69" s="26" t="n"/>
      <c r="H69" s="26" t="n"/>
      <c r="I69" s="26" t="n"/>
    </row>
    <row r="70" ht="15" customHeight="1">
      <c r="B70" s="26" t="n"/>
      <c r="C70" s="26" t="n"/>
      <c r="D70" s="26" t="n"/>
      <c r="E70" s="26" t="n"/>
      <c r="F70" s="26" t="n"/>
      <c r="G70" s="26" t="n"/>
      <c r="H70" s="26" t="n"/>
      <c r="I70" s="26" t="n"/>
    </row>
    <row r="71" ht="15" customHeight="1">
      <c r="B71" s="26" t="n"/>
      <c r="C71" s="26" t="n"/>
      <c r="D71" s="26" t="n"/>
      <c r="E71" s="26" t="n"/>
      <c r="F71" s="26" t="n"/>
      <c r="G71" s="26" t="n"/>
      <c r="H71" s="26" t="n"/>
      <c r="I71" s="26" t="n"/>
    </row>
    <row r="72" ht="15" customHeight="1">
      <c r="B72" s="26" t="n"/>
      <c r="C72" s="26" t="n"/>
      <c r="D72" s="26" t="n"/>
      <c r="E72" s="26" t="n"/>
      <c r="F72" s="26" t="n"/>
      <c r="G72" s="26" t="n"/>
      <c r="H72" s="26" t="n"/>
      <c r="I72" s="26" t="n"/>
    </row>
    <row r="73" ht="15" customHeight="1">
      <c r="B73" s="26" t="n"/>
      <c r="C73" s="26" t="n"/>
      <c r="D73" s="26" t="n"/>
      <c r="E73" s="26" t="n"/>
      <c r="F73" s="26" t="n"/>
      <c r="G73" s="26" t="n"/>
      <c r="H73" s="26" t="n"/>
      <c r="I73" s="26" t="n"/>
    </row>
    <row r="74" ht="15" customHeight="1">
      <c r="B74" s="26" t="n"/>
      <c r="C74" s="26" t="n"/>
      <c r="D74" s="26" t="n"/>
      <c r="E74" s="26" t="n"/>
      <c r="F74" s="26" t="n"/>
      <c r="G74" s="26" t="n"/>
      <c r="H74" s="26" t="n"/>
      <c r="I74" s="26" t="n"/>
    </row>
    <row r="75" ht="15" customHeight="1">
      <c r="B75" s="26" t="n"/>
      <c r="C75" s="26" t="n"/>
      <c r="D75" s="26" t="n"/>
      <c r="E75" s="26" t="n"/>
      <c r="F75" s="26" t="n"/>
      <c r="G75" s="26" t="n"/>
      <c r="H75" s="26" t="n"/>
      <c r="I75" s="26" t="n"/>
    </row>
    <row r="76" ht="15" customHeight="1">
      <c r="B76" s="26" t="n"/>
      <c r="C76" s="26" t="n"/>
      <c r="D76" s="26" t="n"/>
      <c r="E76" s="26" t="n"/>
      <c r="F76" s="26" t="n"/>
      <c r="G76" s="26" t="n"/>
      <c r="H76" s="26" t="n"/>
      <c r="I76" s="26" t="n"/>
    </row>
    <row r="77" ht="15" customHeight="1">
      <c r="B77" s="26" t="n"/>
      <c r="C77" s="26" t="n"/>
      <c r="D77" s="26" t="n"/>
      <c r="E77" s="26" t="n"/>
      <c r="F77" s="26" t="n"/>
      <c r="G77" s="26" t="n"/>
      <c r="H77" s="26" t="n"/>
      <c r="I77" s="26" t="n"/>
    </row>
    <row r="78" ht="15" customHeight="1">
      <c r="B78" s="26" t="n"/>
      <c r="C78" s="26" t="n"/>
      <c r="D78" s="26" t="n"/>
      <c r="E78" s="26" t="n"/>
      <c r="F78" s="26" t="n"/>
      <c r="G78" s="26" t="n"/>
      <c r="H78" s="26" t="n"/>
      <c r="I78" s="26" t="n"/>
    </row>
    <row r="79" ht="15" customHeight="1">
      <c r="B79" s="26" t="n"/>
      <c r="C79" s="26" t="n"/>
      <c r="D79" s="26" t="n"/>
      <c r="E79" s="26" t="n"/>
      <c r="F79" s="26" t="n"/>
      <c r="G79" s="26" t="n"/>
      <c r="H79" s="26" t="n"/>
      <c r="I79" s="26" t="n"/>
    </row>
    <row r="80" ht="15" customHeight="1">
      <c r="B80" s="26" t="n"/>
      <c r="C80" s="26" t="n"/>
      <c r="D80" s="26" t="n"/>
      <c r="E80" s="26" t="n"/>
      <c r="F80" s="26" t="n"/>
      <c r="G80" s="26" t="n"/>
      <c r="H80" s="26" t="n"/>
      <c r="I80" s="26" t="n"/>
    </row>
    <row r="81" ht="15" customHeight="1">
      <c r="B81" s="26" t="n"/>
      <c r="C81" s="26" t="n"/>
      <c r="D81" s="26" t="n"/>
      <c r="E81" s="26" t="n"/>
      <c r="F81" s="26" t="n"/>
      <c r="G81" s="26" t="n"/>
      <c r="H81" s="26" t="n"/>
      <c r="I81" s="26" t="n"/>
    </row>
    <row r="82" ht="15" customHeight="1">
      <c r="B82" s="26" t="n"/>
      <c r="C82" s="26" t="n"/>
      <c r="D82" s="26" t="n"/>
      <c r="E82" s="26" t="n"/>
      <c r="F82" s="26" t="n"/>
      <c r="G82" s="26" t="n"/>
      <c r="H82" s="26" t="n"/>
      <c r="I82" s="26" t="n"/>
    </row>
    <row r="83" ht="15" customHeight="1">
      <c r="B83" s="26" t="n"/>
      <c r="C83" s="26" t="n"/>
      <c r="D83" s="26" t="n"/>
      <c r="E83" s="26" t="n"/>
      <c r="F83" s="26" t="n"/>
      <c r="G83" s="26" t="n"/>
      <c r="H83" s="26" t="n"/>
      <c r="I83" s="26" t="n"/>
    </row>
    <row r="84" ht="15" customHeight="1">
      <c r="B84" s="26" t="n"/>
      <c r="C84" s="26" t="n"/>
      <c r="D84" s="26" t="n"/>
      <c r="E84" s="26" t="n"/>
      <c r="F84" s="26" t="n"/>
      <c r="G84" s="26" t="n"/>
      <c r="H84" s="26" t="n"/>
      <c r="I84" s="26" t="n"/>
    </row>
    <row r="85" ht="15" customHeight="1">
      <c r="B85" s="26" t="n"/>
      <c r="C85" s="26" t="n"/>
      <c r="D85" s="26" t="n"/>
      <c r="E85" s="26" t="n"/>
      <c r="F85" s="26" t="n"/>
      <c r="G85" s="26" t="n"/>
      <c r="H85" s="26" t="n"/>
      <c r="I85" s="26" t="n"/>
    </row>
    <row r="86" ht="15" customHeight="1">
      <c r="B86" s="26" t="n"/>
      <c r="C86" s="26" t="n"/>
      <c r="D86" s="26" t="n"/>
      <c r="E86" s="26" t="n"/>
      <c r="F86" s="26" t="n"/>
      <c r="G86" s="26" t="n"/>
      <c r="H86" s="26" t="n"/>
      <c r="I86" s="26" t="n"/>
    </row>
    <row r="87" ht="15" customHeight="1">
      <c r="B87" s="26" t="n"/>
      <c r="C87" s="26" t="n"/>
      <c r="D87" s="26" t="n"/>
      <c r="E87" s="26" t="n"/>
      <c r="F87" s="26" t="n"/>
      <c r="G87" s="26" t="n"/>
      <c r="H87" s="26" t="n"/>
      <c r="I87" s="26" t="n"/>
    </row>
    <row r="88" ht="15" customHeight="1">
      <c r="B88" s="26" t="n"/>
      <c r="C88" s="26" t="n"/>
      <c r="D88" s="26" t="n"/>
      <c r="E88" s="26" t="n"/>
      <c r="F88" s="26" t="n"/>
      <c r="G88" s="26" t="n"/>
      <c r="H88" s="26" t="n"/>
      <c r="I88" s="26" t="n"/>
    </row>
    <row r="89" ht="15" customHeight="1">
      <c r="B89" s="26" t="n"/>
      <c r="C89" s="26" t="n"/>
      <c r="D89" s="26" t="n"/>
      <c r="E89" s="26" t="n"/>
      <c r="F89" s="26" t="n"/>
      <c r="G89" s="26" t="n"/>
      <c r="H89" s="26" t="n"/>
      <c r="I89" s="26" t="n"/>
    </row>
    <row r="90" ht="15" customHeight="1">
      <c r="B90" s="26" t="n"/>
      <c r="C90" s="26" t="n"/>
      <c r="D90" s="26" t="n"/>
      <c r="E90" s="26" t="n"/>
      <c r="F90" s="26" t="n"/>
      <c r="G90" s="26" t="n"/>
      <c r="H90" s="26" t="n"/>
      <c r="I90" s="26" t="n"/>
    </row>
    <row r="91" ht="15" customHeight="1">
      <c r="B91" s="26" t="n"/>
      <c r="C91" s="26" t="n"/>
      <c r="D91" s="26" t="n"/>
      <c r="E91" s="26" t="n"/>
      <c r="F91" s="26" t="n"/>
      <c r="G91" s="26" t="n"/>
      <c r="H91" s="26" t="n"/>
      <c r="I91" s="26" t="n"/>
    </row>
    <row r="92" ht="15" customHeight="1">
      <c r="B92" s="26" t="n"/>
      <c r="C92" s="26" t="n"/>
      <c r="D92" s="26" t="n"/>
      <c r="E92" s="26" t="n"/>
      <c r="F92" s="26" t="n"/>
      <c r="G92" s="26" t="n"/>
      <c r="H92" s="26" t="n"/>
      <c r="I92" s="26" t="n"/>
    </row>
    <row r="93" ht="15" customHeight="1">
      <c r="B93" s="26" t="n"/>
      <c r="C93" s="26" t="n"/>
      <c r="D93" s="26" t="n"/>
      <c r="E93" s="26" t="n"/>
      <c r="F93" s="26" t="n"/>
      <c r="G93" s="26" t="n"/>
      <c r="H93" s="26" t="n"/>
      <c r="I93" s="26" t="n"/>
    </row>
    <row r="94" ht="15" customHeight="1">
      <c r="B94" s="26" t="n"/>
      <c r="C94" s="26" t="n"/>
      <c r="D94" s="26" t="n"/>
      <c r="E94" s="26" t="n"/>
      <c r="F94" s="26" t="n"/>
      <c r="G94" s="26" t="n"/>
      <c r="H94" s="26" t="n"/>
      <c r="I94" s="26" t="n"/>
    </row>
    <row r="95" ht="15" customHeight="1">
      <c r="B95" s="26" t="n"/>
      <c r="C95" s="26" t="n"/>
      <c r="D95" s="26" t="n"/>
      <c r="E95" s="26" t="n"/>
      <c r="F95" s="26" t="n"/>
      <c r="G95" s="26" t="n"/>
      <c r="H95" s="26" t="n"/>
      <c r="I95" s="26" t="n"/>
    </row>
    <row r="96" ht="15" customHeight="1">
      <c r="B96" s="26" t="n"/>
      <c r="C96" s="26" t="n"/>
      <c r="D96" s="26" t="n"/>
      <c r="E96" s="26" t="n"/>
      <c r="F96" s="26" t="n"/>
      <c r="G96" s="26" t="n"/>
      <c r="H96" s="26" t="n"/>
      <c r="I96" s="26" t="n"/>
    </row>
    <row r="97" ht="15" customHeight="1">
      <c r="B97" s="26" t="n"/>
      <c r="C97" s="26" t="n"/>
      <c r="D97" s="26" t="n"/>
      <c r="E97" s="26" t="n"/>
      <c r="F97" s="26" t="n"/>
      <c r="G97" s="26" t="n"/>
      <c r="H97" s="26" t="n"/>
      <c r="I97" s="26" t="n"/>
    </row>
    <row r="98" ht="15" customHeight="1">
      <c r="B98" s="26" t="n"/>
      <c r="C98" s="26" t="n"/>
      <c r="D98" s="26" t="n"/>
      <c r="E98" s="26" t="n"/>
      <c r="F98" s="26" t="n"/>
      <c r="G98" s="26" t="n"/>
      <c r="H98" s="26" t="n"/>
      <c r="I98" s="26" t="n"/>
    </row>
    <row r="99" ht="15" customHeight="1">
      <c r="B99" s="26" t="n"/>
      <c r="C99" s="26" t="n"/>
      <c r="D99" s="26" t="n"/>
      <c r="E99" s="26" t="n"/>
      <c r="F99" s="26" t="n"/>
      <c r="G99" s="26" t="n"/>
      <c r="H99" s="26" t="n"/>
      <c r="I99" s="26" t="n"/>
    </row>
    <row r="100" ht="15" customHeight="1">
      <c r="B100" s="26" t="n"/>
      <c r="C100" s="26" t="n"/>
      <c r="D100" s="26" t="n"/>
      <c r="E100" s="26" t="n"/>
      <c r="F100" s="26" t="n"/>
      <c r="G100" s="26" t="n"/>
      <c r="H100" s="26" t="n"/>
      <c r="I100" s="26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2026-03-10T03:44:14Z</dcterms:created>
  <dcterms:modified xmlns:dcterms="http://purl.org/dc/terms/" xmlns:xsi="http://www.w3.org/2001/XMLSchema-instance" xsi:type="dcterms:W3CDTF">2026-03-17T03:34:48Z</dcterms:modified>
  <cp:lastModifiedBy>ola Olarindehome</cp:lastModifiedBy>
  <cp:revision>5</cp:revision>
</cp:coreProperties>
</file>